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mc:AlternateContent xmlns:mc="http://schemas.openxmlformats.org/markup-compatibility/2006">
    <mc:Choice Requires="x15">
      <x15ac:absPath xmlns:x15ac="http://schemas.microsoft.com/office/spreadsheetml/2010/11/ac" url="D:\IIT Delhi\excel projects\market research\"/>
    </mc:Choice>
  </mc:AlternateContent>
  <xr:revisionPtr revIDLastSave="0" documentId="13_ncr:1_{0EC15EC0-C20F-4C9A-BF12-CA54ACE53A89}" xr6:coauthVersionLast="47" xr6:coauthVersionMax="47" xr10:uidLastSave="{00000000-0000-0000-0000-000000000000}"/>
  <bookViews>
    <workbookView xWindow="-108" yWindow="-108" windowWidth="23256" windowHeight="12456" tabRatio="500" xr2:uid="{00000000-000D-0000-FFFF-FFFF00000000}"/>
  </bookViews>
  <sheets>
    <sheet name="Dashboard" sheetId="1" r:id="rId1"/>
    <sheet name="Raw Data" sheetId="2" r:id="rId2"/>
    <sheet name="Cleaned Data" sheetId="3" r:id="rId3"/>
    <sheet name="Segmentation Logic" sheetId="4" r:id="rId4"/>
    <sheet name="KPI Summary" sheetId="5" r:id="rId5"/>
    <sheet name="Pivot Analysis" sheetId="6" r:id="rId6"/>
    <sheet name="Lookup Tables" sheetId="7" r:id="rId7"/>
    <sheet name="Formula Reference" sheetId="9" r:id="rId8"/>
  </sheets>
  <definedNames>
    <definedName name="NativeTimeline_Date">#N/A</definedName>
    <definedName name="Slicer_City_Region">#N/A</definedName>
    <definedName name="Slicer_CustomerSegment">#N/A</definedName>
    <definedName name="Slicer_PurchaseChannel">#N/A</definedName>
  </definedNames>
  <calcPr calcId="181029" iterateDelta="1E-4"/>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77" i="5" l="1"/>
  <c r="C77" i="5" a="1"/>
  <c r="C77" i="5" s="1"/>
  <c r="D76" i="5"/>
  <c r="C76" i="5" a="1"/>
  <c r="C76" i="5" s="1"/>
  <c r="D75" i="5"/>
  <c r="C75" i="5" a="1"/>
  <c r="C75" i="5" s="1"/>
  <c r="C74" i="5" a="1"/>
  <c r="C74" i="5" s="1"/>
  <c r="C73" i="5" a="1"/>
  <c r="C73" i="5" s="1"/>
  <c r="C72" i="5" a="1"/>
  <c r="C72" i="5" s="1"/>
  <c r="C71" i="5" a="1"/>
  <c r="C71" i="5" s="1"/>
  <c r="C70" i="5" a="1"/>
  <c r="C70" i="5" s="1"/>
  <c r="C69" i="5" a="1"/>
  <c r="C69" i="5" s="1"/>
  <c r="C68" i="5" a="1"/>
  <c r="C68" i="5" s="1"/>
  <c r="C67" i="5" a="1"/>
  <c r="C67" i="5" s="1"/>
  <c r="C66" i="5" a="1"/>
  <c r="C66" i="5" s="1"/>
  <c r="C65" i="5" a="1"/>
  <c r="C65" i="5" s="1"/>
  <c r="C64" i="5" a="1"/>
  <c r="C64" i="5" s="1"/>
  <c r="C63" i="5" a="1"/>
  <c r="C63" i="5" s="1"/>
  <c r="C62" i="5" a="1"/>
  <c r="C62" i="5" s="1"/>
  <c r="C61" i="5" a="1"/>
  <c r="C61" i="5" s="1"/>
  <c r="C60" i="5" a="1"/>
  <c r="C60" i="5" s="1"/>
  <c r="C59" i="5" a="1"/>
  <c r="C59" i="5" s="1"/>
  <c r="C58" i="5" a="1"/>
  <c r="C58" i="5" s="1"/>
  <c r="C57" i="5" a="1"/>
  <c r="C57" i="5" s="1"/>
  <c r="C56" i="5" a="1"/>
  <c r="C56" i="5" s="1"/>
  <c r="C55" i="5" a="1"/>
  <c r="C55" i="5" s="1"/>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3" i="2"/>
  <c r="B22" i="5"/>
  <c r="G45" i="1" s="1"/>
  <c r="B7" i="5" a="1"/>
  <c r="B7" i="5" s="1"/>
  <c r="C5" i="9"/>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N2" i="7"/>
  <c r="B43" i="5"/>
  <c r="B41" i="5"/>
  <c r="B40" i="5"/>
  <c r="B18" i="5"/>
  <c r="B17" i="5"/>
  <c r="B12" i="5"/>
  <c r="I43" i="1" s="1"/>
  <c r="B11" i="5"/>
  <c r="C4" i="9" s="1"/>
  <c r="B5" i="5"/>
  <c r="B4" i="5"/>
  <c r="F202" i="4"/>
  <c r="L202" i="6" s="1"/>
  <c r="F201" i="4"/>
  <c r="L201" i="6" s="1"/>
  <c r="F200" i="4"/>
  <c r="F199" i="4"/>
  <c r="L199" i="6" s="1"/>
  <c r="F198" i="4"/>
  <c r="L198" i="6" s="1"/>
  <c r="F197" i="4"/>
  <c r="L197" i="6" s="1"/>
  <c r="F196" i="4"/>
  <c r="F195" i="4"/>
  <c r="L195" i="6" s="1"/>
  <c r="F194" i="4"/>
  <c r="L194" i="6" s="1"/>
  <c r="F193" i="4"/>
  <c r="F192" i="4"/>
  <c r="F191" i="4"/>
  <c r="L191" i="6" s="1"/>
  <c r="F190" i="4"/>
  <c r="L190" i="6" s="1"/>
  <c r="F189" i="4"/>
  <c r="L189" i="6" s="1"/>
  <c r="F188" i="4"/>
  <c r="F187" i="4"/>
  <c r="L187" i="6" s="1"/>
  <c r="F186" i="4"/>
  <c r="L186" i="6" s="1"/>
  <c r="F185" i="4"/>
  <c r="L185" i="6" s="1"/>
  <c r="F184" i="4"/>
  <c r="F183" i="4"/>
  <c r="L183" i="6" s="1"/>
  <c r="F182" i="4"/>
  <c r="L182" i="6" s="1"/>
  <c r="F181" i="4"/>
  <c r="L181" i="6" s="1"/>
  <c r="F180" i="4"/>
  <c r="F179" i="4"/>
  <c r="L179" i="6" s="1"/>
  <c r="F178" i="4"/>
  <c r="L178" i="6" s="1"/>
  <c r="F177" i="4"/>
  <c r="L177" i="6" s="1"/>
  <c r="F176" i="4"/>
  <c r="F175" i="4"/>
  <c r="L175" i="6" s="1"/>
  <c r="F174" i="4"/>
  <c r="L174" i="6" s="1"/>
  <c r="F173" i="4"/>
  <c r="L173" i="6" s="1"/>
  <c r="F172" i="4"/>
  <c r="L172" i="6" s="1"/>
  <c r="F171" i="4"/>
  <c r="L171" i="6" s="1"/>
  <c r="F170" i="4"/>
  <c r="L170" i="6" s="1"/>
  <c r="F169" i="4"/>
  <c r="L169" i="6" s="1"/>
  <c r="F168" i="4"/>
  <c r="L168" i="6" s="1"/>
  <c r="F167" i="4"/>
  <c r="L167" i="6" s="1"/>
  <c r="F166" i="4"/>
  <c r="F165" i="4"/>
  <c r="L165" i="6" s="1"/>
  <c r="F164" i="4"/>
  <c r="L164" i="6" s="1"/>
  <c r="F163" i="4"/>
  <c r="L163" i="6" s="1"/>
  <c r="F162" i="4"/>
  <c r="L162" i="6" s="1"/>
  <c r="F161" i="4"/>
  <c r="L161" i="6" s="1"/>
  <c r="F160" i="4"/>
  <c r="L160" i="6" s="1"/>
  <c r="F159" i="4"/>
  <c r="L159" i="6" s="1"/>
  <c r="F158" i="4"/>
  <c r="L158" i="6" s="1"/>
  <c r="F157" i="4"/>
  <c r="L157" i="6" s="1"/>
  <c r="F156" i="4"/>
  <c r="L156" i="6" s="1"/>
  <c r="F155" i="4"/>
  <c r="F154" i="4"/>
  <c r="L154" i="6" s="1"/>
  <c r="F153" i="4"/>
  <c r="L153" i="6" s="1"/>
  <c r="F152" i="4"/>
  <c r="F151" i="4"/>
  <c r="L151" i="6" s="1"/>
  <c r="F150" i="4"/>
  <c r="L150" i="6" s="1"/>
  <c r="F149" i="4"/>
  <c r="L149" i="6" s="1"/>
  <c r="F148" i="4"/>
  <c r="L148" i="6" s="1"/>
  <c r="F147" i="4"/>
  <c r="L147" i="6" s="1"/>
  <c r="F146" i="4"/>
  <c r="L146" i="6" s="1"/>
  <c r="F145" i="4"/>
  <c r="L145" i="6" s="1"/>
  <c r="F144" i="4"/>
  <c r="L144" i="6" s="1"/>
  <c r="F143" i="4"/>
  <c r="F142" i="4"/>
  <c r="L142" i="6" s="1"/>
  <c r="F141" i="4"/>
  <c r="L141" i="6" s="1"/>
  <c r="F140" i="4"/>
  <c r="L140" i="6" s="1"/>
  <c r="F139" i="4"/>
  <c r="F138" i="4"/>
  <c r="F137" i="4"/>
  <c r="L137" i="6" s="1"/>
  <c r="F136" i="4"/>
  <c r="L136" i="6" s="1"/>
  <c r="F135" i="4"/>
  <c r="L135" i="6" s="1"/>
  <c r="F134" i="4"/>
  <c r="L134" i="6" s="1"/>
  <c r="F133" i="4"/>
  <c r="F132" i="4"/>
  <c r="L132" i="6" s="1"/>
  <c r="F131" i="4"/>
  <c r="L131" i="6" s="1"/>
  <c r="F130" i="4"/>
  <c r="L130" i="6" s="1"/>
  <c r="F129" i="4"/>
  <c r="F128" i="4"/>
  <c r="L128" i="6" s="1"/>
  <c r="F127" i="4"/>
  <c r="L127" i="6" s="1"/>
  <c r="F126" i="4"/>
  <c r="L126" i="6" s="1"/>
  <c r="F125" i="4"/>
  <c r="L125" i="6" s="1"/>
  <c r="F124" i="4"/>
  <c r="L124" i="6" s="1"/>
  <c r="F123" i="4"/>
  <c r="L123" i="6" s="1"/>
  <c r="F122" i="4"/>
  <c r="L122" i="6" s="1"/>
  <c r="F121" i="4"/>
  <c r="L121" i="6" s="1"/>
  <c r="F120" i="4"/>
  <c r="L120" i="6" s="1"/>
  <c r="F119" i="4"/>
  <c r="L119" i="6" s="1"/>
  <c r="F118" i="4"/>
  <c r="L118" i="6" s="1"/>
  <c r="F117" i="4"/>
  <c r="L117" i="6" s="1"/>
  <c r="F116" i="4"/>
  <c r="L116" i="6" s="1"/>
  <c r="F115" i="4"/>
  <c r="L115" i="6" s="1"/>
  <c r="F114" i="4"/>
  <c r="L114" i="6" s="1"/>
  <c r="F113" i="4"/>
  <c r="L113" i="6" s="1"/>
  <c r="F112" i="4"/>
  <c r="L112" i="6" s="1"/>
  <c r="F111" i="4"/>
  <c r="L111" i="6" s="1"/>
  <c r="F110" i="4"/>
  <c r="L110" i="6" s="1"/>
  <c r="F109" i="4"/>
  <c r="L109" i="6" s="1"/>
  <c r="F108" i="4"/>
  <c r="L108" i="6" s="1"/>
  <c r="F107" i="4"/>
  <c r="L107" i="6" s="1"/>
  <c r="F106" i="4"/>
  <c r="L106" i="6" s="1"/>
  <c r="F105" i="4"/>
  <c r="L105" i="6" s="1"/>
  <c r="F104" i="4"/>
  <c r="L104" i="6" s="1"/>
  <c r="F103" i="4"/>
  <c r="L103" i="6" s="1"/>
  <c r="F102" i="4"/>
  <c r="L102" i="6" s="1"/>
  <c r="F101" i="4"/>
  <c r="L101" i="6" s="1"/>
  <c r="F100" i="4"/>
  <c r="L100" i="6" s="1"/>
  <c r="F99" i="4"/>
  <c r="F98" i="4"/>
  <c r="L98" i="6" s="1"/>
  <c r="F97" i="4"/>
  <c r="L97" i="6" s="1"/>
  <c r="F96" i="4"/>
  <c r="L96" i="6" s="1"/>
  <c r="F95" i="4"/>
  <c r="L95" i="6" s="1"/>
  <c r="F94" i="4"/>
  <c r="L94" i="6" s="1"/>
  <c r="F93" i="4"/>
  <c r="L93" i="6" s="1"/>
  <c r="F92" i="4"/>
  <c r="L92" i="6" s="1"/>
  <c r="F91" i="4"/>
  <c r="L91" i="6" s="1"/>
  <c r="F90" i="4"/>
  <c r="L90" i="6" s="1"/>
  <c r="F89" i="4"/>
  <c r="L89" i="6" s="1"/>
  <c r="F88" i="4"/>
  <c r="L88" i="6" s="1"/>
  <c r="F87" i="4"/>
  <c r="L87" i="6" s="1"/>
  <c r="F86" i="4"/>
  <c r="L86" i="6" s="1"/>
  <c r="F85" i="4"/>
  <c r="L85" i="6" s="1"/>
  <c r="F84" i="4"/>
  <c r="L84" i="6" s="1"/>
  <c r="F83" i="4"/>
  <c r="L83" i="6" s="1"/>
  <c r="F82" i="4"/>
  <c r="F81" i="4"/>
  <c r="L81" i="6" s="1"/>
  <c r="F80" i="4"/>
  <c r="L80" i="6" s="1"/>
  <c r="F79" i="4"/>
  <c r="F78" i="4"/>
  <c r="L78" i="6" s="1"/>
  <c r="F77" i="4"/>
  <c r="L77" i="6" s="1"/>
  <c r="F76" i="4"/>
  <c r="L76" i="6" s="1"/>
  <c r="F75" i="4"/>
  <c r="L75" i="6" s="1"/>
  <c r="F74" i="4"/>
  <c r="L74" i="6" s="1"/>
  <c r="F73" i="4"/>
  <c r="F72" i="4"/>
  <c r="L72" i="6" s="1"/>
  <c r="F71" i="4"/>
  <c r="L71" i="6" s="1"/>
  <c r="F70" i="4"/>
  <c r="L70" i="6" s="1"/>
  <c r="F69" i="4"/>
  <c r="F68" i="4"/>
  <c r="L68" i="6" s="1"/>
  <c r="F67" i="4"/>
  <c r="L67" i="6" s="1"/>
  <c r="F66" i="4"/>
  <c r="L66" i="6" s="1"/>
  <c r="F65" i="4"/>
  <c r="F64" i="4"/>
  <c r="F63" i="4"/>
  <c r="F62" i="4"/>
  <c r="F61" i="4"/>
  <c r="L61" i="6" s="1"/>
  <c r="F60" i="4"/>
  <c r="L60" i="6" s="1"/>
  <c r="F59" i="4"/>
  <c r="L59" i="6" s="1"/>
  <c r="F58" i="4"/>
  <c r="L58" i="6" s="1"/>
  <c r="F57" i="4"/>
  <c r="L57" i="6" s="1"/>
  <c r="F56" i="4"/>
  <c r="L56" i="6" s="1"/>
  <c r="F55" i="4"/>
  <c r="L55" i="6" s="1"/>
  <c r="F54" i="4"/>
  <c r="F53" i="4"/>
  <c r="F52" i="4"/>
  <c r="F51" i="4"/>
  <c r="F50" i="4"/>
  <c r="L50" i="6" s="1"/>
  <c r="F49" i="4"/>
  <c r="L49" i="6" s="1"/>
  <c r="F48" i="4"/>
  <c r="L48" i="6" s="1"/>
  <c r="F47" i="4"/>
  <c r="L47" i="6" s="1"/>
  <c r="F46" i="4"/>
  <c r="L46" i="6" s="1"/>
  <c r="F45" i="4"/>
  <c r="L45" i="6" s="1"/>
  <c r="F44" i="4"/>
  <c r="L44" i="6" s="1"/>
  <c r="F43" i="4"/>
  <c r="F42" i="4"/>
  <c r="L42" i="6" s="1"/>
  <c r="F41" i="4"/>
  <c r="F40" i="4"/>
  <c r="F39" i="4"/>
  <c r="F38" i="4"/>
  <c r="L38" i="6" s="1"/>
  <c r="F37" i="4"/>
  <c r="F36" i="4"/>
  <c r="L36" i="6" s="1"/>
  <c r="F35" i="4"/>
  <c r="F34" i="4"/>
  <c r="L34" i="6" s="1"/>
  <c r="F33" i="4"/>
  <c r="F32" i="4"/>
  <c r="L32" i="6" s="1"/>
  <c r="F31" i="4"/>
  <c r="F30" i="4"/>
  <c r="L30" i="6" s="1"/>
  <c r="F29" i="4"/>
  <c r="F28" i="4"/>
  <c r="L28" i="6" s="1"/>
  <c r="F27" i="4"/>
  <c r="F26" i="4"/>
  <c r="L26" i="6" s="1"/>
  <c r="F25" i="4"/>
  <c r="F24" i="4"/>
  <c r="L24" i="6" s="1"/>
  <c r="F23" i="4"/>
  <c r="F22" i="4"/>
  <c r="L22" i="6" s="1"/>
  <c r="F21" i="4"/>
  <c r="F20" i="4"/>
  <c r="L20" i="6" s="1"/>
  <c r="F19" i="4"/>
  <c r="F18" i="4"/>
  <c r="L18" i="6" s="1"/>
  <c r="F17" i="4"/>
  <c r="F16" i="4"/>
  <c r="L16" i="6" s="1"/>
  <c r="F15" i="4"/>
  <c r="F14" i="4"/>
  <c r="L14" i="6" s="1"/>
  <c r="F13" i="4"/>
  <c r="F12" i="4"/>
  <c r="L12" i="6" s="1"/>
  <c r="F11" i="4"/>
  <c r="F10" i="4"/>
  <c r="L10" i="6" s="1"/>
  <c r="F9" i="4"/>
  <c r="F8" i="4"/>
  <c r="L8" i="6" s="1"/>
  <c r="F7" i="4"/>
  <c r="F6" i="4"/>
  <c r="L6" i="6" s="1"/>
  <c r="F5" i="4"/>
  <c r="F4" i="4"/>
  <c r="L4" i="6" s="1"/>
  <c r="F3" i="4"/>
  <c r="S202" i="3"/>
  <c r="R202" i="3"/>
  <c r="Q202" i="3"/>
  <c r="P202" i="3"/>
  <c r="O202" i="3"/>
  <c r="Q202" i="4" s="1"/>
  <c r="F202" i="6" s="1"/>
  <c r="N202" i="3"/>
  <c r="P202" i="4" s="1"/>
  <c r="D202" i="6" s="1"/>
  <c r="M202" i="3"/>
  <c r="L202" i="3"/>
  <c r="K202" i="3"/>
  <c r="E202" i="4" s="1"/>
  <c r="J202" i="3"/>
  <c r="D202" i="4" s="1"/>
  <c r="G202" i="6" s="1"/>
  <c r="I202" i="3"/>
  <c r="H202" i="3"/>
  <c r="G202" i="3"/>
  <c r="F202" i="3"/>
  <c r="E202" i="3"/>
  <c r="C202" i="4" s="1"/>
  <c r="E202" i="6" s="1"/>
  <c r="D202" i="3"/>
  <c r="C202" i="3"/>
  <c r="B202" i="3"/>
  <c r="B202" i="4" s="1"/>
  <c r="B202" i="6" s="1"/>
  <c r="A202" i="3"/>
  <c r="A202" i="4" s="1"/>
  <c r="U202" i="4" s="1"/>
  <c r="J202" i="6" s="1"/>
  <c r="S201" i="3"/>
  <c r="R201" i="3"/>
  <c r="Q201" i="3"/>
  <c r="P201" i="3"/>
  <c r="O201" i="3"/>
  <c r="Q201" i="4" s="1"/>
  <c r="F201" i="6" s="1"/>
  <c r="N201" i="3"/>
  <c r="P201" i="4" s="1"/>
  <c r="D201" i="6" s="1"/>
  <c r="M201" i="3"/>
  <c r="L201" i="3"/>
  <c r="K201" i="3"/>
  <c r="E201" i="4" s="1"/>
  <c r="J201" i="3"/>
  <c r="D201" i="4" s="1"/>
  <c r="G201" i="6" s="1"/>
  <c r="I201" i="3"/>
  <c r="H201" i="3"/>
  <c r="G201" i="3"/>
  <c r="F201" i="3"/>
  <c r="E201" i="3"/>
  <c r="C201" i="4" s="1"/>
  <c r="E201" i="6" s="1"/>
  <c r="D201" i="3"/>
  <c r="C201" i="3"/>
  <c r="B201" i="3"/>
  <c r="B201" i="4" s="1"/>
  <c r="B201" i="6" s="1"/>
  <c r="A201" i="3"/>
  <c r="A201" i="4" s="1"/>
  <c r="U201" i="4" s="1"/>
  <c r="J201" i="6" s="1"/>
  <c r="S200" i="3"/>
  <c r="R200" i="3"/>
  <c r="Q200" i="3"/>
  <c r="P200" i="3"/>
  <c r="O200" i="3"/>
  <c r="Q200" i="4" s="1"/>
  <c r="F200" i="6" s="1"/>
  <c r="N200" i="3"/>
  <c r="P200" i="4" s="1"/>
  <c r="D200" i="6" s="1"/>
  <c r="M200" i="3"/>
  <c r="L200" i="3"/>
  <c r="K200" i="3"/>
  <c r="E200" i="4" s="1"/>
  <c r="J200" i="3"/>
  <c r="D200" i="4" s="1"/>
  <c r="G200" i="6" s="1"/>
  <c r="I200" i="3"/>
  <c r="H200" i="3"/>
  <c r="G200" i="3"/>
  <c r="F200" i="3"/>
  <c r="E200" i="3"/>
  <c r="C200" i="4" s="1"/>
  <c r="E200" i="6" s="1"/>
  <c r="D200" i="3"/>
  <c r="C200" i="3"/>
  <c r="B200" i="3"/>
  <c r="B200" i="4" s="1"/>
  <c r="B200" i="6" s="1"/>
  <c r="A200" i="3"/>
  <c r="A200" i="4" s="1"/>
  <c r="U200" i="4" s="1"/>
  <c r="J200" i="6" s="1"/>
  <c r="S199" i="3"/>
  <c r="R199" i="3"/>
  <c r="Q199" i="3"/>
  <c r="P199" i="3"/>
  <c r="O199" i="3"/>
  <c r="Q199" i="4" s="1"/>
  <c r="F199" i="6" s="1"/>
  <c r="N199" i="3"/>
  <c r="P199" i="4" s="1"/>
  <c r="D199" i="6" s="1"/>
  <c r="M199" i="3"/>
  <c r="L199" i="3"/>
  <c r="K199" i="3"/>
  <c r="E199" i="4" s="1"/>
  <c r="J199" i="3"/>
  <c r="D199" i="4" s="1"/>
  <c r="G199" i="6" s="1"/>
  <c r="I199" i="3"/>
  <c r="H199" i="3"/>
  <c r="G199" i="3"/>
  <c r="F199" i="3"/>
  <c r="E199" i="3"/>
  <c r="C199" i="4" s="1"/>
  <c r="E199" i="6" s="1"/>
  <c r="D199" i="3"/>
  <c r="C199" i="3"/>
  <c r="B199" i="3"/>
  <c r="B199" i="4" s="1"/>
  <c r="B199" i="6" s="1"/>
  <c r="A199" i="3"/>
  <c r="A199" i="4" s="1"/>
  <c r="U199" i="4" s="1"/>
  <c r="J199" i="6" s="1"/>
  <c r="S198" i="3"/>
  <c r="R198" i="3"/>
  <c r="Q198" i="3"/>
  <c r="P198" i="3"/>
  <c r="O198" i="3"/>
  <c r="Q198" i="4" s="1"/>
  <c r="F198" i="6" s="1"/>
  <c r="N198" i="3"/>
  <c r="P198" i="4" s="1"/>
  <c r="D198" i="6" s="1"/>
  <c r="M198" i="3"/>
  <c r="L198" i="3"/>
  <c r="K198" i="3"/>
  <c r="E198" i="4" s="1"/>
  <c r="J198" i="3"/>
  <c r="D198" i="4" s="1"/>
  <c r="G198" i="6" s="1"/>
  <c r="I198" i="3"/>
  <c r="H198" i="3"/>
  <c r="G198" i="3"/>
  <c r="F198" i="3"/>
  <c r="E198" i="3"/>
  <c r="C198" i="4" s="1"/>
  <c r="E198" i="6" s="1"/>
  <c r="D198" i="3"/>
  <c r="C198" i="3"/>
  <c r="B198" i="3"/>
  <c r="B198" i="4" s="1"/>
  <c r="B198" i="6" s="1"/>
  <c r="A198" i="3"/>
  <c r="A198" i="4" s="1"/>
  <c r="U198" i="4" s="1"/>
  <c r="J198" i="6" s="1"/>
  <c r="S197" i="3"/>
  <c r="R197" i="3"/>
  <c r="Q197" i="3"/>
  <c r="P197" i="3"/>
  <c r="O197" i="3"/>
  <c r="Q197" i="4" s="1"/>
  <c r="F197" i="6" s="1"/>
  <c r="N197" i="3"/>
  <c r="P197" i="4" s="1"/>
  <c r="D197" i="6" s="1"/>
  <c r="M197" i="3"/>
  <c r="L197" i="3"/>
  <c r="K197" i="3"/>
  <c r="E197" i="4" s="1"/>
  <c r="J197" i="3"/>
  <c r="D197" i="4" s="1"/>
  <c r="G197" i="6" s="1"/>
  <c r="I197" i="3"/>
  <c r="H197" i="3"/>
  <c r="G197" i="3"/>
  <c r="F197" i="3"/>
  <c r="E197" i="3"/>
  <c r="C197" i="4" s="1"/>
  <c r="E197" i="6" s="1"/>
  <c r="D197" i="3"/>
  <c r="C197" i="3"/>
  <c r="B197" i="3"/>
  <c r="B197" i="4" s="1"/>
  <c r="B197" i="6" s="1"/>
  <c r="A197" i="3"/>
  <c r="A197" i="4" s="1"/>
  <c r="U197" i="4" s="1"/>
  <c r="J197" i="6" s="1"/>
  <c r="S196" i="3"/>
  <c r="R196" i="3"/>
  <c r="Q196" i="3"/>
  <c r="P196" i="3"/>
  <c r="O196" i="3"/>
  <c r="Q196" i="4" s="1"/>
  <c r="F196" i="6" s="1"/>
  <c r="N196" i="3"/>
  <c r="P196" i="4" s="1"/>
  <c r="D196" i="6" s="1"/>
  <c r="M196" i="3"/>
  <c r="L196" i="3"/>
  <c r="K196" i="3"/>
  <c r="E196" i="4" s="1"/>
  <c r="J196" i="3"/>
  <c r="D196" i="4" s="1"/>
  <c r="G196" i="6" s="1"/>
  <c r="I196" i="3"/>
  <c r="H196" i="3"/>
  <c r="G196" i="3"/>
  <c r="F196" i="3"/>
  <c r="E196" i="3"/>
  <c r="C196" i="4" s="1"/>
  <c r="E196" i="6" s="1"/>
  <c r="D196" i="3"/>
  <c r="C196" i="3"/>
  <c r="B196" i="3"/>
  <c r="B196" i="4" s="1"/>
  <c r="B196" i="6" s="1"/>
  <c r="A196" i="3"/>
  <c r="A196" i="4" s="1"/>
  <c r="U196" i="4" s="1"/>
  <c r="J196" i="6" s="1"/>
  <c r="S195" i="3"/>
  <c r="R195" i="3"/>
  <c r="Q195" i="3"/>
  <c r="P195" i="3"/>
  <c r="O195" i="3"/>
  <c r="Q195" i="4" s="1"/>
  <c r="F195" i="6" s="1"/>
  <c r="N195" i="3"/>
  <c r="P195" i="4" s="1"/>
  <c r="D195" i="6" s="1"/>
  <c r="M195" i="3"/>
  <c r="L195" i="3"/>
  <c r="K195" i="3"/>
  <c r="E195" i="4" s="1"/>
  <c r="J195" i="3"/>
  <c r="D195" i="4" s="1"/>
  <c r="G195" i="6" s="1"/>
  <c r="I195" i="3"/>
  <c r="H195" i="3"/>
  <c r="G195" i="3"/>
  <c r="F195" i="3"/>
  <c r="E195" i="3"/>
  <c r="C195" i="4" s="1"/>
  <c r="E195" i="6" s="1"/>
  <c r="D195" i="3"/>
  <c r="C195" i="3"/>
  <c r="B195" i="3"/>
  <c r="B195" i="4" s="1"/>
  <c r="B195" i="6" s="1"/>
  <c r="A195" i="3"/>
  <c r="A195" i="4" s="1"/>
  <c r="U195" i="4" s="1"/>
  <c r="J195" i="6" s="1"/>
  <c r="S194" i="3"/>
  <c r="R194" i="3"/>
  <c r="Q194" i="3"/>
  <c r="P194" i="3"/>
  <c r="O194" i="3"/>
  <c r="Q194" i="4" s="1"/>
  <c r="F194" i="6" s="1"/>
  <c r="N194" i="3"/>
  <c r="P194" i="4" s="1"/>
  <c r="D194" i="6" s="1"/>
  <c r="M194" i="3"/>
  <c r="L194" i="3"/>
  <c r="K194" i="3"/>
  <c r="E194" i="4" s="1"/>
  <c r="J194" i="3"/>
  <c r="D194" i="4" s="1"/>
  <c r="G194" i="6" s="1"/>
  <c r="I194" i="3"/>
  <c r="H194" i="3"/>
  <c r="G194" i="3"/>
  <c r="F194" i="3"/>
  <c r="E194" i="3"/>
  <c r="C194" i="4" s="1"/>
  <c r="E194" i="6" s="1"/>
  <c r="D194" i="3"/>
  <c r="C194" i="3"/>
  <c r="B194" i="3"/>
  <c r="B194" i="4" s="1"/>
  <c r="B194" i="6" s="1"/>
  <c r="A194" i="3"/>
  <c r="A194" i="4" s="1"/>
  <c r="U194" i="4" s="1"/>
  <c r="J194" i="6" s="1"/>
  <c r="S193" i="3"/>
  <c r="R193" i="3"/>
  <c r="Q193" i="3"/>
  <c r="P193" i="3"/>
  <c r="O193" i="3"/>
  <c r="Q193" i="4" s="1"/>
  <c r="F193" i="6" s="1"/>
  <c r="N193" i="3"/>
  <c r="P193" i="4" s="1"/>
  <c r="D193" i="6" s="1"/>
  <c r="M193" i="3"/>
  <c r="L193" i="3"/>
  <c r="K193" i="3"/>
  <c r="E193" i="4" s="1"/>
  <c r="J193" i="3"/>
  <c r="D193" i="4" s="1"/>
  <c r="G193" i="6" s="1"/>
  <c r="I193" i="3"/>
  <c r="H193" i="3"/>
  <c r="G193" i="3"/>
  <c r="F193" i="3"/>
  <c r="E193" i="3"/>
  <c r="C193" i="4" s="1"/>
  <c r="E193" i="6" s="1"/>
  <c r="D193" i="3"/>
  <c r="C193" i="3"/>
  <c r="B193" i="3"/>
  <c r="B193" i="4" s="1"/>
  <c r="B193" i="6" s="1"/>
  <c r="A193" i="3"/>
  <c r="A193" i="4" s="1"/>
  <c r="U193" i="4" s="1"/>
  <c r="J193" i="6" s="1"/>
  <c r="S192" i="3"/>
  <c r="R192" i="3"/>
  <c r="Q192" i="3"/>
  <c r="P192" i="3"/>
  <c r="O192" i="3"/>
  <c r="Q192" i="4" s="1"/>
  <c r="F192" i="6" s="1"/>
  <c r="N192" i="3"/>
  <c r="P192" i="4" s="1"/>
  <c r="D192" i="6" s="1"/>
  <c r="M192" i="3"/>
  <c r="L192" i="3"/>
  <c r="K192" i="3"/>
  <c r="E192" i="4" s="1"/>
  <c r="J192" i="3"/>
  <c r="D192" i="4" s="1"/>
  <c r="G192" i="6" s="1"/>
  <c r="I192" i="3"/>
  <c r="H192" i="3"/>
  <c r="G192" i="3"/>
  <c r="F192" i="3"/>
  <c r="E192" i="3"/>
  <c r="C192" i="4" s="1"/>
  <c r="E192" i="6" s="1"/>
  <c r="D192" i="3"/>
  <c r="C192" i="3"/>
  <c r="B192" i="3"/>
  <c r="B192" i="4" s="1"/>
  <c r="B192" i="6" s="1"/>
  <c r="A192" i="3"/>
  <c r="A192" i="4" s="1"/>
  <c r="U192" i="4" s="1"/>
  <c r="J192" i="6" s="1"/>
  <c r="S191" i="3"/>
  <c r="R191" i="3"/>
  <c r="Q191" i="3"/>
  <c r="P191" i="3"/>
  <c r="O191" i="3"/>
  <c r="Q191" i="4" s="1"/>
  <c r="F191" i="6" s="1"/>
  <c r="N191" i="3"/>
  <c r="P191" i="4" s="1"/>
  <c r="D191" i="6" s="1"/>
  <c r="M191" i="3"/>
  <c r="L191" i="3"/>
  <c r="K191" i="3"/>
  <c r="E191" i="4" s="1"/>
  <c r="J191" i="3"/>
  <c r="D191" i="4" s="1"/>
  <c r="G191" i="6" s="1"/>
  <c r="I191" i="3"/>
  <c r="H191" i="3"/>
  <c r="G191" i="3"/>
  <c r="F191" i="3"/>
  <c r="E191" i="3"/>
  <c r="C191" i="4" s="1"/>
  <c r="E191" i="6" s="1"/>
  <c r="D191" i="3"/>
  <c r="C191" i="3"/>
  <c r="B191" i="3"/>
  <c r="B191" i="4" s="1"/>
  <c r="B191" i="6" s="1"/>
  <c r="A191" i="3"/>
  <c r="A191" i="4" s="1"/>
  <c r="U191" i="4" s="1"/>
  <c r="J191" i="6" s="1"/>
  <c r="S190" i="3"/>
  <c r="R190" i="3"/>
  <c r="Q190" i="3"/>
  <c r="P190" i="3"/>
  <c r="O190" i="3"/>
  <c r="Q190" i="4" s="1"/>
  <c r="F190" i="6" s="1"/>
  <c r="N190" i="3"/>
  <c r="P190" i="4" s="1"/>
  <c r="D190" i="6" s="1"/>
  <c r="M190" i="3"/>
  <c r="L190" i="3"/>
  <c r="K190" i="3"/>
  <c r="E190" i="4" s="1"/>
  <c r="J190" i="3"/>
  <c r="D190" i="4" s="1"/>
  <c r="G190" i="6" s="1"/>
  <c r="I190" i="3"/>
  <c r="H190" i="3"/>
  <c r="G190" i="3"/>
  <c r="F190" i="3"/>
  <c r="E190" i="3"/>
  <c r="C190" i="4" s="1"/>
  <c r="E190" i="6" s="1"/>
  <c r="D190" i="3"/>
  <c r="C190" i="3"/>
  <c r="B190" i="3"/>
  <c r="B190" i="4" s="1"/>
  <c r="B190" i="6" s="1"/>
  <c r="A190" i="3"/>
  <c r="A190" i="4" s="1"/>
  <c r="U190" i="4" s="1"/>
  <c r="J190" i="6" s="1"/>
  <c r="S189" i="3"/>
  <c r="R189" i="3"/>
  <c r="Q189" i="3"/>
  <c r="P189" i="3"/>
  <c r="O189" i="3"/>
  <c r="Q189" i="4" s="1"/>
  <c r="F189" i="6" s="1"/>
  <c r="N189" i="3"/>
  <c r="P189" i="4" s="1"/>
  <c r="D189" i="6" s="1"/>
  <c r="M189" i="3"/>
  <c r="L189" i="3"/>
  <c r="K189" i="3"/>
  <c r="E189" i="4" s="1"/>
  <c r="J189" i="3"/>
  <c r="D189" i="4" s="1"/>
  <c r="G189" i="6" s="1"/>
  <c r="I189" i="3"/>
  <c r="H189" i="3"/>
  <c r="G189" i="3"/>
  <c r="F189" i="3"/>
  <c r="E189" i="3"/>
  <c r="C189" i="4" s="1"/>
  <c r="E189" i="6" s="1"/>
  <c r="D189" i="3"/>
  <c r="C189" i="3"/>
  <c r="B189" i="3"/>
  <c r="B189" i="4" s="1"/>
  <c r="B189" i="6" s="1"/>
  <c r="A189" i="3"/>
  <c r="A189" i="4" s="1"/>
  <c r="U189" i="4" s="1"/>
  <c r="J189" i="6" s="1"/>
  <c r="S188" i="3"/>
  <c r="R188" i="3"/>
  <c r="Q188" i="3"/>
  <c r="P188" i="3"/>
  <c r="O188" i="3"/>
  <c r="Q188" i="4" s="1"/>
  <c r="F188" i="6" s="1"/>
  <c r="N188" i="3"/>
  <c r="P188" i="4" s="1"/>
  <c r="D188" i="6" s="1"/>
  <c r="M188" i="3"/>
  <c r="L188" i="3"/>
  <c r="K188" i="3"/>
  <c r="E188" i="4" s="1"/>
  <c r="J188" i="3"/>
  <c r="D188" i="4" s="1"/>
  <c r="G188" i="6" s="1"/>
  <c r="I188" i="3"/>
  <c r="H188" i="3"/>
  <c r="G188" i="3"/>
  <c r="F188" i="3"/>
  <c r="E188" i="3"/>
  <c r="C188" i="4" s="1"/>
  <c r="E188" i="6" s="1"/>
  <c r="D188" i="3"/>
  <c r="C188" i="3"/>
  <c r="B188" i="3"/>
  <c r="B188" i="4" s="1"/>
  <c r="B188" i="6" s="1"/>
  <c r="A188" i="3"/>
  <c r="A188" i="4" s="1"/>
  <c r="U188" i="4" s="1"/>
  <c r="J188" i="6" s="1"/>
  <c r="S187" i="3"/>
  <c r="R187" i="3"/>
  <c r="Q187" i="3"/>
  <c r="P187" i="3"/>
  <c r="O187" i="3"/>
  <c r="Q187" i="4" s="1"/>
  <c r="F187" i="6" s="1"/>
  <c r="N187" i="3"/>
  <c r="P187" i="4" s="1"/>
  <c r="D187" i="6" s="1"/>
  <c r="M187" i="3"/>
  <c r="L187" i="3"/>
  <c r="K187" i="3"/>
  <c r="E187" i="4" s="1"/>
  <c r="J187" i="3"/>
  <c r="D187" i="4" s="1"/>
  <c r="G187" i="6" s="1"/>
  <c r="I187" i="3"/>
  <c r="H187" i="3"/>
  <c r="G187" i="3"/>
  <c r="F187" i="3"/>
  <c r="E187" i="3"/>
  <c r="C187" i="4" s="1"/>
  <c r="E187" i="6" s="1"/>
  <c r="D187" i="3"/>
  <c r="C187" i="3"/>
  <c r="B187" i="3"/>
  <c r="B187" i="4" s="1"/>
  <c r="B187" i="6" s="1"/>
  <c r="A187" i="3"/>
  <c r="A187" i="4" s="1"/>
  <c r="U187" i="4" s="1"/>
  <c r="J187" i="6" s="1"/>
  <c r="S186" i="3"/>
  <c r="R186" i="3"/>
  <c r="Q186" i="3"/>
  <c r="P186" i="3"/>
  <c r="O186" i="3"/>
  <c r="Q186" i="4" s="1"/>
  <c r="F186" i="6" s="1"/>
  <c r="N186" i="3"/>
  <c r="P186" i="4" s="1"/>
  <c r="D186" i="6" s="1"/>
  <c r="M186" i="3"/>
  <c r="L186" i="3"/>
  <c r="K186" i="3"/>
  <c r="E186" i="4" s="1"/>
  <c r="J186" i="3"/>
  <c r="D186" i="4" s="1"/>
  <c r="G186" i="6" s="1"/>
  <c r="I186" i="3"/>
  <c r="H186" i="3"/>
  <c r="G186" i="3"/>
  <c r="F186" i="3"/>
  <c r="E186" i="3"/>
  <c r="C186" i="4" s="1"/>
  <c r="E186" i="6" s="1"/>
  <c r="D186" i="3"/>
  <c r="C186" i="3"/>
  <c r="B186" i="3"/>
  <c r="B186" i="4" s="1"/>
  <c r="B186" i="6" s="1"/>
  <c r="A186" i="3"/>
  <c r="A186" i="4" s="1"/>
  <c r="U186" i="4" s="1"/>
  <c r="J186" i="6" s="1"/>
  <c r="S185" i="3"/>
  <c r="R185" i="3"/>
  <c r="Q185" i="3"/>
  <c r="P185" i="3"/>
  <c r="O185" i="3"/>
  <c r="Q185" i="4" s="1"/>
  <c r="F185" i="6" s="1"/>
  <c r="N185" i="3"/>
  <c r="P185" i="4" s="1"/>
  <c r="D185" i="6" s="1"/>
  <c r="M185" i="3"/>
  <c r="L185" i="3"/>
  <c r="K185" i="3"/>
  <c r="E185" i="4" s="1"/>
  <c r="J185" i="3"/>
  <c r="D185" i="4" s="1"/>
  <c r="G185" i="6" s="1"/>
  <c r="I185" i="3"/>
  <c r="H185" i="3"/>
  <c r="G185" i="3"/>
  <c r="F185" i="3"/>
  <c r="E185" i="3"/>
  <c r="C185" i="4" s="1"/>
  <c r="E185" i="6" s="1"/>
  <c r="D185" i="3"/>
  <c r="C185" i="3"/>
  <c r="B185" i="3"/>
  <c r="B185" i="4" s="1"/>
  <c r="B185" i="6" s="1"/>
  <c r="A185" i="3"/>
  <c r="A185" i="4" s="1"/>
  <c r="U185" i="4" s="1"/>
  <c r="J185" i="6" s="1"/>
  <c r="S184" i="3"/>
  <c r="R184" i="3"/>
  <c r="Q184" i="3"/>
  <c r="P184" i="3"/>
  <c r="O184" i="3"/>
  <c r="Q184" i="4" s="1"/>
  <c r="F184" i="6" s="1"/>
  <c r="N184" i="3"/>
  <c r="P184" i="4" s="1"/>
  <c r="D184" i="6" s="1"/>
  <c r="M184" i="3"/>
  <c r="L184" i="3"/>
  <c r="K184" i="3"/>
  <c r="E184" i="4" s="1"/>
  <c r="J184" i="3"/>
  <c r="D184" i="4" s="1"/>
  <c r="G184" i="6" s="1"/>
  <c r="I184" i="3"/>
  <c r="H184" i="3"/>
  <c r="G184" i="3"/>
  <c r="F184" i="3"/>
  <c r="E184" i="3"/>
  <c r="C184" i="4" s="1"/>
  <c r="E184" i="6" s="1"/>
  <c r="D184" i="3"/>
  <c r="C184" i="3"/>
  <c r="B184" i="3"/>
  <c r="B184" i="4" s="1"/>
  <c r="B184" i="6" s="1"/>
  <c r="A184" i="3"/>
  <c r="A184" i="4" s="1"/>
  <c r="U184" i="4" s="1"/>
  <c r="J184" i="6" s="1"/>
  <c r="S183" i="3"/>
  <c r="R183" i="3"/>
  <c r="Q183" i="3"/>
  <c r="P183" i="3"/>
  <c r="O183" i="3"/>
  <c r="Q183" i="4" s="1"/>
  <c r="F183" i="6" s="1"/>
  <c r="N183" i="3"/>
  <c r="P183" i="4" s="1"/>
  <c r="D183" i="6" s="1"/>
  <c r="M183" i="3"/>
  <c r="L183" i="3"/>
  <c r="K183" i="3"/>
  <c r="E183" i="4" s="1"/>
  <c r="J183" i="3"/>
  <c r="D183" i="4" s="1"/>
  <c r="G183" i="6" s="1"/>
  <c r="I183" i="3"/>
  <c r="H183" i="3"/>
  <c r="G183" i="3"/>
  <c r="F183" i="3"/>
  <c r="E183" i="3"/>
  <c r="C183" i="4" s="1"/>
  <c r="E183" i="6" s="1"/>
  <c r="D183" i="3"/>
  <c r="C183" i="3"/>
  <c r="B183" i="3"/>
  <c r="B183" i="4" s="1"/>
  <c r="B183" i="6" s="1"/>
  <c r="A183" i="3"/>
  <c r="A183" i="4" s="1"/>
  <c r="U183" i="4" s="1"/>
  <c r="J183" i="6" s="1"/>
  <c r="S182" i="3"/>
  <c r="R182" i="3"/>
  <c r="Q182" i="3"/>
  <c r="P182" i="3"/>
  <c r="O182" i="3"/>
  <c r="Q182" i="4" s="1"/>
  <c r="F182" i="6" s="1"/>
  <c r="N182" i="3"/>
  <c r="P182" i="4" s="1"/>
  <c r="D182" i="6" s="1"/>
  <c r="M182" i="3"/>
  <c r="L182" i="3"/>
  <c r="K182" i="3"/>
  <c r="E182" i="4" s="1"/>
  <c r="J182" i="3"/>
  <c r="D182" i="4" s="1"/>
  <c r="G182" i="6" s="1"/>
  <c r="I182" i="3"/>
  <c r="H182" i="3"/>
  <c r="G182" i="3"/>
  <c r="F182" i="3"/>
  <c r="E182" i="3"/>
  <c r="C182" i="4" s="1"/>
  <c r="E182" i="6" s="1"/>
  <c r="D182" i="3"/>
  <c r="C182" i="3"/>
  <c r="B182" i="3"/>
  <c r="B182" i="4" s="1"/>
  <c r="B182" i="6" s="1"/>
  <c r="A182" i="3"/>
  <c r="A182" i="4" s="1"/>
  <c r="U182" i="4" s="1"/>
  <c r="J182" i="6" s="1"/>
  <c r="S181" i="3"/>
  <c r="R181" i="3"/>
  <c r="Q181" i="3"/>
  <c r="P181" i="3"/>
  <c r="O181" i="3"/>
  <c r="Q181" i="4" s="1"/>
  <c r="F181" i="6" s="1"/>
  <c r="N181" i="3"/>
  <c r="P181" i="4" s="1"/>
  <c r="D181" i="6" s="1"/>
  <c r="M181" i="3"/>
  <c r="L181" i="3"/>
  <c r="K181" i="3"/>
  <c r="E181" i="4" s="1"/>
  <c r="J181" i="3"/>
  <c r="D181" i="4" s="1"/>
  <c r="G181" i="6" s="1"/>
  <c r="I181" i="3"/>
  <c r="H181" i="3"/>
  <c r="G181" i="3"/>
  <c r="F181" i="3"/>
  <c r="E181" i="3"/>
  <c r="C181" i="4" s="1"/>
  <c r="E181" i="6" s="1"/>
  <c r="D181" i="3"/>
  <c r="C181" i="3"/>
  <c r="B181" i="3"/>
  <c r="B181" i="4" s="1"/>
  <c r="B181" i="6" s="1"/>
  <c r="A181" i="3"/>
  <c r="A181" i="4" s="1"/>
  <c r="U181" i="4" s="1"/>
  <c r="J181" i="6" s="1"/>
  <c r="S180" i="3"/>
  <c r="R180" i="3"/>
  <c r="Q180" i="3"/>
  <c r="P180" i="3"/>
  <c r="O180" i="3"/>
  <c r="Q180" i="4" s="1"/>
  <c r="F180" i="6" s="1"/>
  <c r="N180" i="3"/>
  <c r="P180" i="4" s="1"/>
  <c r="D180" i="6" s="1"/>
  <c r="M180" i="3"/>
  <c r="L180" i="3"/>
  <c r="K180" i="3"/>
  <c r="E180" i="4" s="1"/>
  <c r="J180" i="3"/>
  <c r="D180" i="4" s="1"/>
  <c r="G180" i="6" s="1"/>
  <c r="I180" i="3"/>
  <c r="H180" i="3"/>
  <c r="G180" i="3"/>
  <c r="F180" i="3"/>
  <c r="E180" i="3"/>
  <c r="C180" i="4" s="1"/>
  <c r="E180" i="6" s="1"/>
  <c r="D180" i="3"/>
  <c r="C180" i="3"/>
  <c r="B180" i="3"/>
  <c r="B180" i="4" s="1"/>
  <c r="B180" i="6" s="1"/>
  <c r="A180" i="3"/>
  <c r="A180" i="4" s="1"/>
  <c r="U180" i="4" s="1"/>
  <c r="J180" i="6" s="1"/>
  <c r="S179" i="3"/>
  <c r="R179" i="3"/>
  <c r="Q179" i="3"/>
  <c r="P179" i="3"/>
  <c r="O179" i="3"/>
  <c r="Q179" i="4" s="1"/>
  <c r="F179" i="6" s="1"/>
  <c r="N179" i="3"/>
  <c r="P179" i="4" s="1"/>
  <c r="D179" i="6" s="1"/>
  <c r="M179" i="3"/>
  <c r="L179" i="3"/>
  <c r="K179" i="3"/>
  <c r="E179" i="4" s="1"/>
  <c r="J179" i="3"/>
  <c r="D179" i="4" s="1"/>
  <c r="G179" i="6" s="1"/>
  <c r="I179" i="3"/>
  <c r="H179" i="3"/>
  <c r="G179" i="3"/>
  <c r="F179" i="3"/>
  <c r="E179" i="3"/>
  <c r="C179" i="4" s="1"/>
  <c r="E179" i="6" s="1"/>
  <c r="D179" i="3"/>
  <c r="C179" i="3"/>
  <c r="B179" i="3"/>
  <c r="B179" i="4" s="1"/>
  <c r="B179" i="6" s="1"/>
  <c r="A179" i="3"/>
  <c r="A179" i="4" s="1"/>
  <c r="U179" i="4" s="1"/>
  <c r="J179" i="6" s="1"/>
  <c r="S178" i="3"/>
  <c r="R178" i="3"/>
  <c r="Q178" i="3"/>
  <c r="P178" i="3"/>
  <c r="O178" i="3"/>
  <c r="Q178" i="4" s="1"/>
  <c r="F178" i="6" s="1"/>
  <c r="N178" i="3"/>
  <c r="P178" i="4" s="1"/>
  <c r="D178" i="6" s="1"/>
  <c r="M178" i="3"/>
  <c r="L178" i="3"/>
  <c r="K178" i="3"/>
  <c r="E178" i="4" s="1"/>
  <c r="J178" i="3"/>
  <c r="D178" i="4" s="1"/>
  <c r="G178" i="6" s="1"/>
  <c r="I178" i="3"/>
  <c r="H178" i="3"/>
  <c r="G178" i="3"/>
  <c r="F178" i="3"/>
  <c r="E178" i="3"/>
  <c r="C178" i="4" s="1"/>
  <c r="E178" i="6" s="1"/>
  <c r="D178" i="3"/>
  <c r="C178" i="3"/>
  <c r="B178" i="3"/>
  <c r="B178" i="4" s="1"/>
  <c r="B178" i="6" s="1"/>
  <c r="A178" i="3"/>
  <c r="A178" i="4" s="1"/>
  <c r="U178" i="4" s="1"/>
  <c r="J178" i="6" s="1"/>
  <c r="S177" i="3"/>
  <c r="R177" i="3"/>
  <c r="Q177" i="3"/>
  <c r="P177" i="3"/>
  <c r="O177" i="3"/>
  <c r="Q177" i="4" s="1"/>
  <c r="F177" i="6" s="1"/>
  <c r="N177" i="3"/>
  <c r="P177" i="4" s="1"/>
  <c r="D177" i="6" s="1"/>
  <c r="M177" i="3"/>
  <c r="L177" i="3"/>
  <c r="K177" i="3"/>
  <c r="E177" i="4" s="1"/>
  <c r="J177" i="3"/>
  <c r="D177" i="4" s="1"/>
  <c r="G177" i="6" s="1"/>
  <c r="I177" i="3"/>
  <c r="H177" i="3"/>
  <c r="G177" i="3"/>
  <c r="F177" i="3"/>
  <c r="E177" i="3"/>
  <c r="C177" i="4" s="1"/>
  <c r="E177" i="6" s="1"/>
  <c r="D177" i="3"/>
  <c r="C177" i="3"/>
  <c r="B177" i="3"/>
  <c r="B177" i="4" s="1"/>
  <c r="B177" i="6" s="1"/>
  <c r="A177" i="3"/>
  <c r="A177" i="4" s="1"/>
  <c r="U177" i="4" s="1"/>
  <c r="J177" i="6" s="1"/>
  <c r="S176" i="3"/>
  <c r="R176" i="3"/>
  <c r="Q176" i="3"/>
  <c r="P176" i="3"/>
  <c r="O176" i="3"/>
  <c r="Q176" i="4" s="1"/>
  <c r="F176" i="6" s="1"/>
  <c r="N176" i="3"/>
  <c r="P176" i="4" s="1"/>
  <c r="D176" i="6" s="1"/>
  <c r="M176" i="3"/>
  <c r="L176" i="3"/>
  <c r="K176" i="3"/>
  <c r="E176" i="4" s="1"/>
  <c r="J176" i="3"/>
  <c r="D176" i="4" s="1"/>
  <c r="G176" i="6" s="1"/>
  <c r="I176" i="3"/>
  <c r="H176" i="3"/>
  <c r="G176" i="3"/>
  <c r="F176" i="3"/>
  <c r="E176" i="3"/>
  <c r="C176" i="4" s="1"/>
  <c r="E176" i="6" s="1"/>
  <c r="D176" i="3"/>
  <c r="C176" i="3"/>
  <c r="B176" i="3"/>
  <c r="B176" i="4" s="1"/>
  <c r="B176" i="6" s="1"/>
  <c r="A176" i="3"/>
  <c r="A176" i="4" s="1"/>
  <c r="U176" i="4" s="1"/>
  <c r="J176" i="6" s="1"/>
  <c r="S175" i="3"/>
  <c r="R175" i="3"/>
  <c r="Q175" i="3"/>
  <c r="P175" i="3"/>
  <c r="O175" i="3"/>
  <c r="Q175" i="4" s="1"/>
  <c r="F175" i="6" s="1"/>
  <c r="N175" i="3"/>
  <c r="P175" i="4" s="1"/>
  <c r="D175" i="6" s="1"/>
  <c r="M175" i="3"/>
  <c r="L175" i="3"/>
  <c r="K175" i="3"/>
  <c r="E175" i="4" s="1"/>
  <c r="J175" i="3"/>
  <c r="D175" i="4" s="1"/>
  <c r="G175" i="6" s="1"/>
  <c r="I175" i="3"/>
  <c r="H175" i="3"/>
  <c r="G175" i="3"/>
  <c r="F175" i="3"/>
  <c r="E175" i="3"/>
  <c r="C175" i="4" s="1"/>
  <c r="E175" i="6" s="1"/>
  <c r="D175" i="3"/>
  <c r="C175" i="3"/>
  <c r="B175" i="3"/>
  <c r="B175" i="4" s="1"/>
  <c r="B175" i="6" s="1"/>
  <c r="A175" i="3"/>
  <c r="A175" i="4" s="1"/>
  <c r="U175" i="4" s="1"/>
  <c r="J175" i="6" s="1"/>
  <c r="S174" i="3"/>
  <c r="R174" i="3"/>
  <c r="Q174" i="3"/>
  <c r="P174" i="3"/>
  <c r="O174" i="3"/>
  <c r="Q174" i="4" s="1"/>
  <c r="F174" i="6" s="1"/>
  <c r="N174" i="3"/>
  <c r="P174" i="4" s="1"/>
  <c r="D174" i="6" s="1"/>
  <c r="M174" i="3"/>
  <c r="L174" i="3"/>
  <c r="K174" i="3"/>
  <c r="E174" i="4" s="1"/>
  <c r="J174" i="3"/>
  <c r="D174" i="4" s="1"/>
  <c r="G174" i="6" s="1"/>
  <c r="I174" i="3"/>
  <c r="H174" i="3"/>
  <c r="G174" i="3"/>
  <c r="F174" i="3"/>
  <c r="E174" i="3"/>
  <c r="C174" i="4" s="1"/>
  <c r="E174" i="6" s="1"/>
  <c r="D174" i="3"/>
  <c r="C174" i="3"/>
  <c r="B174" i="3"/>
  <c r="B174" i="4" s="1"/>
  <c r="B174" i="6" s="1"/>
  <c r="A174" i="3"/>
  <c r="A174" i="4" s="1"/>
  <c r="U174" i="4" s="1"/>
  <c r="J174" i="6" s="1"/>
  <c r="S173" i="3"/>
  <c r="R173" i="3"/>
  <c r="Q173" i="3"/>
  <c r="P173" i="3"/>
  <c r="O173" i="3"/>
  <c r="Q173" i="4" s="1"/>
  <c r="F173" i="6" s="1"/>
  <c r="N173" i="3"/>
  <c r="P173" i="4" s="1"/>
  <c r="D173" i="6" s="1"/>
  <c r="M173" i="3"/>
  <c r="L173" i="3"/>
  <c r="K173" i="3"/>
  <c r="E173" i="4" s="1"/>
  <c r="J173" i="3"/>
  <c r="D173" i="4" s="1"/>
  <c r="G173" i="6" s="1"/>
  <c r="I173" i="3"/>
  <c r="H173" i="3"/>
  <c r="G173" i="3"/>
  <c r="F173" i="3"/>
  <c r="E173" i="3"/>
  <c r="C173" i="4" s="1"/>
  <c r="E173" i="6" s="1"/>
  <c r="D173" i="3"/>
  <c r="C173" i="3"/>
  <c r="B173" i="3"/>
  <c r="B173" i="4" s="1"/>
  <c r="B173" i="6" s="1"/>
  <c r="A173" i="3"/>
  <c r="A173" i="4" s="1"/>
  <c r="U173" i="4" s="1"/>
  <c r="J173" i="6" s="1"/>
  <c r="S172" i="3"/>
  <c r="R172" i="3"/>
  <c r="Q172" i="3"/>
  <c r="P172" i="3"/>
  <c r="O172" i="3"/>
  <c r="Q172" i="4" s="1"/>
  <c r="F172" i="6" s="1"/>
  <c r="N172" i="3"/>
  <c r="P172" i="4" s="1"/>
  <c r="D172" i="6" s="1"/>
  <c r="M172" i="3"/>
  <c r="L172" i="3"/>
  <c r="K172" i="3"/>
  <c r="E172" i="4" s="1"/>
  <c r="J172" i="3"/>
  <c r="D172" i="4" s="1"/>
  <c r="G172" i="6" s="1"/>
  <c r="I172" i="3"/>
  <c r="H172" i="3"/>
  <c r="G172" i="3"/>
  <c r="F172" i="3"/>
  <c r="E172" i="3"/>
  <c r="C172" i="4" s="1"/>
  <c r="E172" i="6" s="1"/>
  <c r="D172" i="3"/>
  <c r="C172" i="3"/>
  <c r="B172" i="3"/>
  <c r="B172" i="4" s="1"/>
  <c r="B172" i="6" s="1"/>
  <c r="A172" i="3"/>
  <c r="A172" i="4" s="1"/>
  <c r="U172" i="4" s="1"/>
  <c r="J172" i="6" s="1"/>
  <c r="S171" i="3"/>
  <c r="R171" i="3"/>
  <c r="Q171" i="3"/>
  <c r="P171" i="3"/>
  <c r="O171" i="3"/>
  <c r="Q171" i="4" s="1"/>
  <c r="F171" i="6" s="1"/>
  <c r="N171" i="3"/>
  <c r="P171" i="4" s="1"/>
  <c r="D171" i="6" s="1"/>
  <c r="M171" i="3"/>
  <c r="L171" i="3"/>
  <c r="K171" i="3"/>
  <c r="E171" i="4" s="1"/>
  <c r="J171" i="3"/>
  <c r="D171" i="4" s="1"/>
  <c r="G171" i="6" s="1"/>
  <c r="I171" i="3"/>
  <c r="H171" i="3"/>
  <c r="G171" i="3"/>
  <c r="F171" i="3"/>
  <c r="E171" i="3"/>
  <c r="C171" i="4" s="1"/>
  <c r="E171" i="6" s="1"/>
  <c r="D171" i="3"/>
  <c r="C171" i="3"/>
  <c r="B171" i="3"/>
  <c r="B171" i="4" s="1"/>
  <c r="B171" i="6" s="1"/>
  <c r="A171" i="3"/>
  <c r="A171" i="4" s="1"/>
  <c r="U171" i="4" s="1"/>
  <c r="J171" i="6" s="1"/>
  <c r="S170" i="3"/>
  <c r="R170" i="3"/>
  <c r="Q170" i="3"/>
  <c r="P170" i="3"/>
  <c r="O170" i="3"/>
  <c r="Q170" i="4" s="1"/>
  <c r="F170" i="6" s="1"/>
  <c r="N170" i="3"/>
  <c r="P170" i="4" s="1"/>
  <c r="D170" i="6" s="1"/>
  <c r="M170" i="3"/>
  <c r="L170" i="3"/>
  <c r="K170" i="3"/>
  <c r="E170" i="4" s="1"/>
  <c r="J170" i="3"/>
  <c r="D170" i="4" s="1"/>
  <c r="G170" i="6" s="1"/>
  <c r="I170" i="3"/>
  <c r="H170" i="3"/>
  <c r="G170" i="3"/>
  <c r="F170" i="3"/>
  <c r="E170" i="3"/>
  <c r="C170" i="4" s="1"/>
  <c r="E170" i="6" s="1"/>
  <c r="D170" i="3"/>
  <c r="C170" i="3"/>
  <c r="B170" i="3"/>
  <c r="B170" i="4" s="1"/>
  <c r="B170" i="6" s="1"/>
  <c r="A170" i="3"/>
  <c r="A170" i="4" s="1"/>
  <c r="U170" i="4" s="1"/>
  <c r="J170" i="6" s="1"/>
  <c r="S169" i="3"/>
  <c r="R169" i="3"/>
  <c r="Q169" i="3"/>
  <c r="P169" i="3"/>
  <c r="O169" i="3"/>
  <c r="Q169" i="4" s="1"/>
  <c r="F169" i="6" s="1"/>
  <c r="N169" i="3"/>
  <c r="P169" i="4" s="1"/>
  <c r="D169" i="6" s="1"/>
  <c r="M169" i="3"/>
  <c r="L169" i="3"/>
  <c r="K169" i="3"/>
  <c r="E169" i="4" s="1"/>
  <c r="J169" i="3"/>
  <c r="D169" i="4" s="1"/>
  <c r="G169" i="6" s="1"/>
  <c r="I169" i="3"/>
  <c r="H169" i="3"/>
  <c r="G169" i="3"/>
  <c r="F169" i="3"/>
  <c r="E169" i="3"/>
  <c r="C169" i="4" s="1"/>
  <c r="E169" i="6" s="1"/>
  <c r="D169" i="3"/>
  <c r="C169" i="3"/>
  <c r="B169" i="3"/>
  <c r="B169" i="4" s="1"/>
  <c r="B169" i="6" s="1"/>
  <c r="A169" i="3"/>
  <c r="A169" i="4" s="1"/>
  <c r="U169" i="4" s="1"/>
  <c r="J169" i="6" s="1"/>
  <c r="S168" i="3"/>
  <c r="R168" i="3"/>
  <c r="Q168" i="3"/>
  <c r="P168" i="3"/>
  <c r="O168" i="3"/>
  <c r="Q168" i="4" s="1"/>
  <c r="F168" i="6" s="1"/>
  <c r="N168" i="3"/>
  <c r="P168" i="4" s="1"/>
  <c r="D168" i="6" s="1"/>
  <c r="M168" i="3"/>
  <c r="L168" i="3"/>
  <c r="K168" i="3"/>
  <c r="E168" i="4" s="1"/>
  <c r="J168" i="3"/>
  <c r="D168" i="4" s="1"/>
  <c r="G168" i="6" s="1"/>
  <c r="I168" i="3"/>
  <c r="H168" i="3"/>
  <c r="G168" i="3"/>
  <c r="F168" i="3"/>
  <c r="E168" i="3"/>
  <c r="C168" i="4" s="1"/>
  <c r="E168" i="6" s="1"/>
  <c r="D168" i="3"/>
  <c r="C168" i="3"/>
  <c r="B168" i="3"/>
  <c r="B168" i="4" s="1"/>
  <c r="B168" i="6" s="1"/>
  <c r="A168" i="3"/>
  <c r="A168" i="4" s="1"/>
  <c r="U168" i="4" s="1"/>
  <c r="J168" i="6" s="1"/>
  <c r="S167" i="3"/>
  <c r="R167" i="3"/>
  <c r="Q167" i="3"/>
  <c r="P167" i="3"/>
  <c r="O167" i="3"/>
  <c r="Q167" i="4" s="1"/>
  <c r="F167" i="6" s="1"/>
  <c r="N167" i="3"/>
  <c r="P167" i="4" s="1"/>
  <c r="D167" i="6" s="1"/>
  <c r="M167" i="3"/>
  <c r="L167" i="3"/>
  <c r="K167" i="3"/>
  <c r="E167" i="4" s="1"/>
  <c r="J167" i="3"/>
  <c r="D167" i="4" s="1"/>
  <c r="G167" i="6" s="1"/>
  <c r="I167" i="3"/>
  <c r="H167" i="3"/>
  <c r="G167" i="3"/>
  <c r="F167" i="3"/>
  <c r="E167" i="3"/>
  <c r="C167" i="4" s="1"/>
  <c r="E167" i="6" s="1"/>
  <c r="D167" i="3"/>
  <c r="C167" i="3"/>
  <c r="B167" i="3"/>
  <c r="B167" i="4" s="1"/>
  <c r="B167" i="6" s="1"/>
  <c r="A167" i="3"/>
  <c r="A167" i="4" s="1"/>
  <c r="U167" i="4" s="1"/>
  <c r="J167" i="6" s="1"/>
  <c r="S166" i="3"/>
  <c r="R166" i="3"/>
  <c r="Q166" i="3"/>
  <c r="P166" i="3"/>
  <c r="O166" i="3"/>
  <c r="Q166" i="4" s="1"/>
  <c r="F166" i="6" s="1"/>
  <c r="N166" i="3"/>
  <c r="P166" i="4" s="1"/>
  <c r="D166" i="6" s="1"/>
  <c r="M166" i="3"/>
  <c r="L166" i="3"/>
  <c r="K166" i="3"/>
  <c r="E166" i="4" s="1"/>
  <c r="J166" i="3"/>
  <c r="D166" i="4" s="1"/>
  <c r="G166" i="6" s="1"/>
  <c r="I166" i="3"/>
  <c r="H166" i="3"/>
  <c r="G166" i="3"/>
  <c r="F166" i="3"/>
  <c r="E166" i="3"/>
  <c r="C166" i="4" s="1"/>
  <c r="E166" i="6" s="1"/>
  <c r="D166" i="3"/>
  <c r="C166" i="3"/>
  <c r="B166" i="3"/>
  <c r="B166" i="4" s="1"/>
  <c r="B166" i="6" s="1"/>
  <c r="A166" i="3"/>
  <c r="A166" i="4" s="1"/>
  <c r="U166" i="4" s="1"/>
  <c r="J166" i="6" s="1"/>
  <c r="S165" i="3"/>
  <c r="R165" i="3"/>
  <c r="Q165" i="3"/>
  <c r="P165" i="3"/>
  <c r="O165" i="3"/>
  <c r="Q165" i="4" s="1"/>
  <c r="F165" i="6" s="1"/>
  <c r="N165" i="3"/>
  <c r="P165" i="4" s="1"/>
  <c r="D165" i="6" s="1"/>
  <c r="M165" i="3"/>
  <c r="L165" i="3"/>
  <c r="K165" i="3"/>
  <c r="E165" i="4" s="1"/>
  <c r="J165" i="3"/>
  <c r="D165" i="4" s="1"/>
  <c r="G165" i="6" s="1"/>
  <c r="I165" i="3"/>
  <c r="H165" i="3"/>
  <c r="G165" i="3"/>
  <c r="F165" i="3"/>
  <c r="E165" i="3"/>
  <c r="C165" i="4" s="1"/>
  <c r="E165" i="6" s="1"/>
  <c r="D165" i="3"/>
  <c r="C165" i="3"/>
  <c r="B165" i="3"/>
  <c r="B165" i="4" s="1"/>
  <c r="B165" i="6" s="1"/>
  <c r="A165" i="3"/>
  <c r="A165" i="4" s="1"/>
  <c r="U165" i="4" s="1"/>
  <c r="J165" i="6" s="1"/>
  <c r="S164" i="3"/>
  <c r="R164" i="3"/>
  <c r="Q164" i="3"/>
  <c r="P164" i="3"/>
  <c r="O164" i="3"/>
  <c r="Q164" i="4" s="1"/>
  <c r="F164" i="6" s="1"/>
  <c r="N164" i="3"/>
  <c r="P164" i="4" s="1"/>
  <c r="D164" i="6" s="1"/>
  <c r="M164" i="3"/>
  <c r="L164" i="3"/>
  <c r="K164" i="3"/>
  <c r="E164" i="4" s="1"/>
  <c r="J164" i="3"/>
  <c r="D164" i="4" s="1"/>
  <c r="G164" i="6" s="1"/>
  <c r="I164" i="3"/>
  <c r="H164" i="3"/>
  <c r="G164" i="3"/>
  <c r="F164" i="3"/>
  <c r="E164" i="3"/>
  <c r="C164" i="4" s="1"/>
  <c r="E164" i="6" s="1"/>
  <c r="D164" i="3"/>
  <c r="C164" i="3"/>
  <c r="B164" i="3"/>
  <c r="B164" i="4" s="1"/>
  <c r="B164" i="6" s="1"/>
  <c r="A164" i="3"/>
  <c r="A164" i="4" s="1"/>
  <c r="U164" i="4" s="1"/>
  <c r="J164" i="6" s="1"/>
  <c r="S163" i="3"/>
  <c r="R163" i="3"/>
  <c r="Q163" i="3"/>
  <c r="P163" i="3"/>
  <c r="O163" i="3"/>
  <c r="Q163" i="4" s="1"/>
  <c r="F163" i="6" s="1"/>
  <c r="N163" i="3"/>
  <c r="P163" i="4" s="1"/>
  <c r="D163" i="6" s="1"/>
  <c r="M163" i="3"/>
  <c r="L163" i="3"/>
  <c r="K163" i="3"/>
  <c r="E163" i="4" s="1"/>
  <c r="J163" i="3"/>
  <c r="D163" i="4" s="1"/>
  <c r="G163" i="6" s="1"/>
  <c r="I163" i="3"/>
  <c r="H163" i="3"/>
  <c r="G163" i="3"/>
  <c r="F163" i="3"/>
  <c r="E163" i="3"/>
  <c r="C163" i="4" s="1"/>
  <c r="E163" i="6" s="1"/>
  <c r="D163" i="3"/>
  <c r="C163" i="3"/>
  <c r="B163" i="3"/>
  <c r="B163" i="4" s="1"/>
  <c r="B163" i="6" s="1"/>
  <c r="A163" i="3"/>
  <c r="A163" i="4" s="1"/>
  <c r="U163" i="4" s="1"/>
  <c r="J163" i="6" s="1"/>
  <c r="S162" i="3"/>
  <c r="R162" i="3"/>
  <c r="Q162" i="3"/>
  <c r="P162" i="3"/>
  <c r="O162" i="3"/>
  <c r="Q162" i="4" s="1"/>
  <c r="F162" i="6" s="1"/>
  <c r="N162" i="3"/>
  <c r="P162" i="4" s="1"/>
  <c r="D162" i="6" s="1"/>
  <c r="M162" i="3"/>
  <c r="L162" i="3"/>
  <c r="K162" i="3"/>
  <c r="E162" i="4" s="1"/>
  <c r="J162" i="3"/>
  <c r="D162" i="4" s="1"/>
  <c r="G162" i="6" s="1"/>
  <c r="I162" i="3"/>
  <c r="H162" i="3"/>
  <c r="G162" i="3"/>
  <c r="F162" i="3"/>
  <c r="E162" i="3"/>
  <c r="C162" i="4" s="1"/>
  <c r="E162" i="6" s="1"/>
  <c r="D162" i="3"/>
  <c r="C162" i="3"/>
  <c r="B162" i="3"/>
  <c r="B162" i="4" s="1"/>
  <c r="B162" i="6" s="1"/>
  <c r="A162" i="3"/>
  <c r="A162" i="4" s="1"/>
  <c r="U162" i="4" s="1"/>
  <c r="J162" i="6" s="1"/>
  <c r="S161" i="3"/>
  <c r="R161" i="3"/>
  <c r="Q161" i="3"/>
  <c r="P161" i="3"/>
  <c r="O161" i="3"/>
  <c r="Q161" i="4" s="1"/>
  <c r="F161" i="6" s="1"/>
  <c r="N161" i="3"/>
  <c r="P161" i="4" s="1"/>
  <c r="D161" i="6" s="1"/>
  <c r="M161" i="3"/>
  <c r="L161" i="3"/>
  <c r="K161" i="3"/>
  <c r="E161" i="4" s="1"/>
  <c r="J161" i="3"/>
  <c r="D161" i="4" s="1"/>
  <c r="G161" i="6" s="1"/>
  <c r="I161" i="3"/>
  <c r="H161" i="3"/>
  <c r="G161" i="3"/>
  <c r="F161" i="3"/>
  <c r="E161" i="3"/>
  <c r="C161" i="4" s="1"/>
  <c r="E161" i="6" s="1"/>
  <c r="D161" i="3"/>
  <c r="C161" i="3"/>
  <c r="B161" i="3"/>
  <c r="B161" i="4" s="1"/>
  <c r="B161" i="6" s="1"/>
  <c r="A161" i="3"/>
  <c r="A161" i="4" s="1"/>
  <c r="U161" i="4" s="1"/>
  <c r="J161" i="6" s="1"/>
  <c r="S160" i="3"/>
  <c r="R160" i="3"/>
  <c r="Q160" i="3"/>
  <c r="P160" i="3"/>
  <c r="O160" i="3"/>
  <c r="Q160" i="4" s="1"/>
  <c r="F160" i="6" s="1"/>
  <c r="N160" i="3"/>
  <c r="P160" i="4" s="1"/>
  <c r="D160" i="6" s="1"/>
  <c r="M160" i="3"/>
  <c r="L160" i="3"/>
  <c r="K160" i="3"/>
  <c r="E160" i="4" s="1"/>
  <c r="J160" i="3"/>
  <c r="D160" i="4" s="1"/>
  <c r="G160" i="6" s="1"/>
  <c r="I160" i="3"/>
  <c r="H160" i="3"/>
  <c r="G160" i="3"/>
  <c r="F160" i="3"/>
  <c r="E160" i="3"/>
  <c r="C160" i="4" s="1"/>
  <c r="E160" i="6" s="1"/>
  <c r="D160" i="3"/>
  <c r="C160" i="3"/>
  <c r="B160" i="3"/>
  <c r="B160" i="4" s="1"/>
  <c r="B160" i="6" s="1"/>
  <c r="A160" i="3"/>
  <c r="A160" i="4" s="1"/>
  <c r="U160" i="4" s="1"/>
  <c r="J160" i="6" s="1"/>
  <c r="S159" i="3"/>
  <c r="R159" i="3"/>
  <c r="Q159" i="3"/>
  <c r="P159" i="3"/>
  <c r="O159" i="3"/>
  <c r="Q159" i="4" s="1"/>
  <c r="F159" i="6" s="1"/>
  <c r="N159" i="3"/>
  <c r="P159" i="4" s="1"/>
  <c r="D159" i="6" s="1"/>
  <c r="M159" i="3"/>
  <c r="L159" i="3"/>
  <c r="K159" i="3"/>
  <c r="E159" i="4" s="1"/>
  <c r="J159" i="3"/>
  <c r="D159" i="4" s="1"/>
  <c r="G159" i="6" s="1"/>
  <c r="I159" i="3"/>
  <c r="H159" i="3"/>
  <c r="G159" i="3"/>
  <c r="F159" i="3"/>
  <c r="E159" i="3"/>
  <c r="C159" i="4" s="1"/>
  <c r="E159" i="6" s="1"/>
  <c r="D159" i="3"/>
  <c r="C159" i="3"/>
  <c r="B159" i="3"/>
  <c r="B159" i="4" s="1"/>
  <c r="B159" i="6" s="1"/>
  <c r="A159" i="3"/>
  <c r="A159" i="4" s="1"/>
  <c r="U159" i="4" s="1"/>
  <c r="J159" i="6" s="1"/>
  <c r="S158" i="3"/>
  <c r="R158" i="3"/>
  <c r="Q158" i="3"/>
  <c r="P158" i="3"/>
  <c r="O158" i="3"/>
  <c r="Q158" i="4" s="1"/>
  <c r="F158" i="6" s="1"/>
  <c r="N158" i="3"/>
  <c r="P158" i="4" s="1"/>
  <c r="D158" i="6" s="1"/>
  <c r="M158" i="3"/>
  <c r="L158" i="3"/>
  <c r="K158" i="3"/>
  <c r="E158" i="4" s="1"/>
  <c r="J158" i="3"/>
  <c r="D158" i="4" s="1"/>
  <c r="G158" i="6" s="1"/>
  <c r="I158" i="3"/>
  <c r="H158" i="3"/>
  <c r="G158" i="3"/>
  <c r="F158" i="3"/>
  <c r="E158" i="3"/>
  <c r="C158" i="4" s="1"/>
  <c r="E158" i="6" s="1"/>
  <c r="D158" i="3"/>
  <c r="C158" i="3"/>
  <c r="B158" i="3"/>
  <c r="B158" i="4" s="1"/>
  <c r="B158" i="6" s="1"/>
  <c r="A158" i="3"/>
  <c r="A158" i="4" s="1"/>
  <c r="U158" i="4" s="1"/>
  <c r="J158" i="6" s="1"/>
  <c r="S157" i="3"/>
  <c r="R157" i="3"/>
  <c r="Q157" i="3"/>
  <c r="P157" i="3"/>
  <c r="O157" i="3"/>
  <c r="Q157" i="4" s="1"/>
  <c r="F157" i="6" s="1"/>
  <c r="N157" i="3"/>
  <c r="P157" i="4" s="1"/>
  <c r="D157" i="6" s="1"/>
  <c r="M157" i="3"/>
  <c r="L157" i="3"/>
  <c r="K157" i="3"/>
  <c r="E157" i="4" s="1"/>
  <c r="J157" i="3"/>
  <c r="D157" i="4" s="1"/>
  <c r="G157" i="6" s="1"/>
  <c r="I157" i="3"/>
  <c r="H157" i="3"/>
  <c r="G157" i="3"/>
  <c r="F157" i="3"/>
  <c r="E157" i="3"/>
  <c r="C157" i="4" s="1"/>
  <c r="E157" i="6" s="1"/>
  <c r="D157" i="3"/>
  <c r="C157" i="3"/>
  <c r="B157" i="3"/>
  <c r="B157" i="4" s="1"/>
  <c r="B157" i="6" s="1"/>
  <c r="A157" i="3"/>
  <c r="A157" i="4" s="1"/>
  <c r="U157" i="4" s="1"/>
  <c r="J157" i="6" s="1"/>
  <c r="S156" i="3"/>
  <c r="R156" i="3"/>
  <c r="Q156" i="3"/>
  <c r="P156" i="3"/>
  <c r="O156" i="3"/>
  <c r="Q156" i="4" s="1"/>
  <c r="F156" i="6" s="1"/>
  <c r="N156" i="3"/>
  <c r="P156" i="4" s="1"/>
  <c r="D156" i="6" s="1"/>
  <c r="M156" i="3"/>
  <c r="L156" i="3"/>
  <c r="K156" i="3"/>
  <c r="E156" i="4" s="1"/>
  <c r="J156" i="3"/>
  <c r="D156" i="4" s="1"/>
  <c r="G156" i="6" s="1"/>
  <c r="I156" i="3"/>
  <c r="H156" i="3"/>
  <c r="G156" i="3"/>
  <c r="F156" i="3"/>
  <c r="E156" i="3"/>
  <c r="C156" i="4" s="1"/>
  <c r="E156" i="6" s="1"/>
  <c r="D156" i="3"/>
  <c r="C156" i="3"/>
  <c r="B156" i="3"/>
  <c r="B156" i="4" s="1"/>
  <c r="B156" i="6" s="1"/>
  <c r="A156" i="3"/>
  <c r="A156" i="4" s="1"/>
  <c r="U156" i="4" s="1"/>
  <c r="J156" i="6" s="1"/>
  <c r="S155" i="3"/>
  <c r="R155" i="3"/>
  <c r="Q155" i="3"/>
  <c r="P155" i="3"/>
  <c r="O155" i="3"/>
  <c r="Q155" i="4" s="1"/>
  <c r="F155" i="6" s="1"/>
  <c r="N155" i="3"/>
  <c r="P155" i="4" s="1"/>
  <c r="D155" i="6" s="1"/>
  <c r="M155" i="3"/>
  <c r="L155" i="3"/>
  <c r="K155" i="3"/>
  <c r="E155" i="4" s="1"/>
  <c r="J155" i="3"/>
  <c r="D155" i="4" s="1"/>
  <c r="G155" i="6" s="1"/>
  <c r="I155" i="3"/>
  <c r="H155" i="3"/>
  <c r="G155" i="3"/>
  <c r="F155" i="3"/>
  <c r="E155" i="3"/>
  <c r="C155" i="4" s="1"/>
  <c r="E155" i="6" s="1"/>
  <c r="D155" i="3"/>
  <c r="C155" i="3"/>
  <c r="B155" i="3"/>
  <c r="B155" i="4" s="1"/>
  <c r="B155" i="6" s="1"/>
  <c r="A155" i="3"/>
  <c r="A155" i="4" s="1"/>
  <c r="U155" i="4" s="1"/>
  <c r="J155" i="6" s="1"/>
  <c r="S154" i="3"/>
  <c r="R154" i="3"/>
  <c r="Q154" i="3"/>
  <c r="P154" i="3"/>
  <c r="O154" i="3"/>
  <c r="Q154" i="4" s="1"/>
  <c r="F154" i="6" s="1"/>
  <c r="N154" i="3"/>
  <c r="P154" i="4" s="1"/>
  <c r="D154" i="6" s="1"/>
  <c r="M154" i="3"/>
  <c r="L154" i="3"/>
  <c r="K154" i="3"/>
  <c r="E154" i="4" s="1"/>
  <c r="J154" i="3"/>
  <c r="D154" i="4" s="1"/>
  <c r="G154" i="6" s="1"/>
  <c r="I154" i="3"/>
  <c r="H154" i="3"/>
  <c r="G154" i="3"/>
  <c r="F154" i="3"/>
  <c r="E154" i="3"/>
  <c r="C154" i="4" s="1"/>
  <c r="E154" i="6" s="1"/>
  <c r="D154" i="3"/>
  <c r="C154" i="3"/>
  <c r="B154" i="3"/>
  <c r="B154" i="4" s="1"/>
  <c r="B154" i="6" s="1"/>
  <c r="A154" i="3"/>
  <c r="A154" i="4" s="1"/>
  <c r="U154" i="4" s="1"/>
  <c r="J154" i="6" s="1"/>
  <c r="S153" i="3"/>
  <c r="R153" i="3"/>
  <c r="Q153" i="3"/>
  <c r="P153" i="3"/>
  <c r="O153" i="3"/>
  <c r="Q153" i="4" s="1"/>
  <c r="F153" i="6" s="1"/>
  <c r="N153" i="3"/>
  <c r="P153" i="4" s="1"/>
  <c r="D153" i="6" s="1"/>
  <c r="M153" i="3"/>
  <c r="L153" i="3"/>
  <c r="K153" i="3"/>
  <c r="E153" i="4" s="1"/>
  <c r="J153" i="3"/>
  <c r="D153" i="4" s="1"/>
  <c r="G153" i="6" s="1"/>
  <c r="I153" i="3"/>
  <c r="H153" i="3"/>
  <c r="G153" i="3"/>
  <c r="F153" i="3"/>
  <c r="E153" i="3"/>
  <c r="C153" i="4" s="1"/>
  <c r="E153" i="6" s="1"/>
  <c r="D153" i="3"/>
  <c r="C153" i="3"/>
  <c r="B153" i="3"/>
  <c r="B153" i="4" s="1"/>
  <c r="B153" i="6" s="1"/>
  <c r="A153" i="3"/>
  <c r="A153" i="4" s="1"/>
  <c r="U153" i="4" s="1"/>
  <c r="J153" i="6" s="1"/>
  <c r="S152" i="3"/>
  <c r="R152" i="3"/>
  <c r="Q152" i="3"/>
  <c r="P152" i="3"/>
  <c r="O152" i="3"/>
  <c r="Q152" i="4" s="1"/>
  <c r="F152" i="6" s="1"/>
  <c r="N152" i="3"/>
  <c r="P152" i="4" s="1"/>
  <c r="D152" i="6" s="1"/>
  <c r="M152" i="3"/>
  <c r="L152" i="3"/>
  <c r="K152" i="3"/>
  <c r="E152" i="4" s="1"/>
  <c r="J152" i="3"/>
  <c r="D152" i="4" s="1"/>
  <c r="G152" i="6" s="1"/>
  <c r="I152" i="3"/>
  <c r="H152" i="3"/>
  <c r="G152" i="3"/>
  <c r="F152" i="3"/>
  <c r="E152" i="3"/>
  <c r="C152" i="4" s="1"/>
  <c r="E152" i="6" s="1"/>
  <c r="D152" i="3"/>
  <c r="C152" i="3"/>
  <c r="B152" i="3"/>
  <c r="B152" i="4" s="1"/>
  <c r="B152" i="6" s="1"/>
  <c r="A152" i="3"/>
  <c r="A152" i="4" s="1"/>
  <c r="U152" i="4" s="1"/>
  <c r="J152" i="6" s="1"/>
  <c r="S151" i="3"/>
  <c r="R151" i="3"/>
  <c r="Q151" i="3"/>
  <c r="P151" i="3"/>
  <c r="O151" i="3"/>
  <c r="Q151" i="4" s="1"/>
  <c r="F151" i="6" s="1"/>
  <c r="N151" i="3"/>
  <c r="P151" i="4" s="1"/>
  <c r="D151" i="6" s="1"/>
  <c r="M151" i="3"/>
  <c r="L151" i="3"/>
  <c r="K151" i="3"/>
  <c r="E151" i="4" s="1"/>
  <c r="J151" i="3"/>
  <c r="D151" i="4" s="1"/>
  <c r="G151" i="6" s="1"/>
  <c r="I151" i="3"/>
  <c r="H151" i="3"/>
  <c r="G151" i="3"/>
  <c r="F151" i="3"/>
  <c r="E151" i="3"/>
  <c r="C151" i="4" s="1"/>
  <c r="E151" i="6" s="1"/>
  <c r="D151" i="3"/>
  <c r="C151" i="3"/>
  <c r="B151" i="3"/>
  <c r="B151" i="4" s="1"/>
  <c r="B151" i="6" s="1"/>
  <c r="A151" i="3"/>
  <c r="A151" i="4" s="1"/>
  <c r="U151" i="4" s="1"/>
  <c r="J151" i="6" s="1"/>
  <c r="S150" i="3"/>
  <c r="R150" i="3"/>
  <c r="Q150" i="3"/>
  <c r="P150" i="3"/>
  <c r="O150" i="3"/>
  <c r="Q150" i="4" s="1"/>
  <c r="F150" i="6" s="1"/>
  <c r="N150" i="3"/>
  <c r="P150" i="4" s="1"/>
  <c r="D150" i="6" s="1"/>
  <c r="M150" i="3"/>
  <c r="L150" i="3"/>
  <c r="K150" i="3"/>
  <c r="E150" i="4" s="1"/>
  <c r="J150" i="3"/>
  <c r="D150" i="4" s="1"/>
  <c r="G150" i="6" s="1"/>
  <c r="I150" i="3"/>
  <c r="H150" i="3"/>
  <c r="G150" i="3"/>
  <c r="F150" i="3"/>
  <c r="E150" i="3"/>
  <c r="C150" i="4" s="1"/>
  <c r="E150" i="6" s="1"/>
  <c r="D150" i="3"/>
  <c r="C150" i="3"/>
  <c r="B150" i="3"/>
  <c r="B150" i="4" s="1"/>
  <c r="B150" i="6" s="1"/>
  <c r="A150" i="3"/>
  <c r="A150" i="4" s="1"/>
  <c r="U150" i="4" s="1"/>
  <c r="J150" i="6" s="1"/>
  <c r="S149" i="3"/>
  <c r="R149" i="3"/>
  <c r="Q149" i="3"/>
  <c r="P149" i="3"/>
  <c r="O149" i="3"/>
  <c r="Q149" i="4" s="1"/>
  <c r="F149" i="6" s="1"/>
  <c r="N149" i="3"/>
  <c r="P149" i="4" s="1"/>
  <c r="D149" i="6" s="1"/>
  <c r="M149" i="3"/>
  <c r="L149" i="3"/>
  <c r="K149" i="3"/>
  <c r="E149" i="4" s="1"/>
  <c r="J149" i="3"/>
  <c r="D149" i="4" s="1"/>
  <c r="G149" i="6" s="1"/>
  <c r="I149" i="3"/>
  <c r="H149" i="3"/>
  <c r="G149" i="3"/>
  <c r="F149" i="3"/>
  <c r="E149" i="3"/>
  <c r="C149" i="4" s="1"/>
  <c r="E149" i="6" s="1"/>
  <c r="D149" i="3"/>
  <c r="C149" i="3"/>
  <c r="B149" i="3"/>
  <c r="B149" i="4" s="1"/>
  <c r="B149" i="6" s="1"/>
  <c r="A149" i="3"/>
  <c r="A149" i="4" s="1"/>
  <c r="U149" i="4" s="1"/>
  <c r="J149" i="6" s="1"/>
  <c r="S148" i="3"/>
  <c r="R148" i="3"/>
  <c r="Q148" i="3"/>
  <c r="P148" i="3"/>
  <c r="O148" i="3"/>
  <c r="Q148" i="4" s="1"/>
  <c r="F148" i="6" s="1"/>
  <c r="N148" i="3"/>
  <c r="P148" i="4" s="1"/>
  <c r="D148" i="6" s="1"/>
  <c r="M148" i="3"/>
  <c r="L148" i="3"/>
  <c r="K148" i="3"/>
  <c r="E148" i="4" s="1"/>
  <c r="J148" i="3"/>
  <c r="D148" i="4" s="1"/>
  <c r="G148" i="6" s="1"/>
  <c r="I148" i="3"/>
  <c r="H148" i="3"/>
  <c r="G148" i="3"/>
  <c r="F148" i="3"/>
  <c r="E148" i="3"/>
  <c r="C148" i="4" s="1"/>
  <c r="E148" i="6" s="1"/>
  <c r="D148" i="3"/>
  <c r="C148" i="3"/>
  <c r="B148" i="3"/>
  <c r="B148" i="4" s="1"/>
  <c r="B148" i="6" s="1"/>
  <c r="A148" i="3"/>
  <c r="A148" i="4" s="1"/>
  <c r="U148" i="4" s="1"/>
  <c r="J148" i="6" s="1"/>
  <c r="S147" i="3"/>
  <c r="R147" i="3"/>
  <c r="Q147" i="3"/>
  <c r="P147" i="3"/>
  <c r="O147" i="3"/>
  <c r="Q147" i="4" s="1"/>
  <c r="F147" i="6" s="1"/>
  <c r="N147" i="3"/>
  <c r="P147" i="4" s="1"/>
  <c r="D147" i="6" s="1"/>
  <c r="M147" i="3"/>
  <c r="L147" i="3"/>
  <c r="K147" i="3"/>
  <c r="E147" i="4" s="1"/>
  <c r="J147" i="3"/>
  <c r="D147" i="4" s="1"/>
  <c r="G147" i="6" s="1"/>
  <c r="I147" i="3"/>
  <c r="H147" i="3"/>
  <c r="G147" i="3"/>
  <c r="F147" i="3"/>
  <c r="E147" i="3"/>
  <c r="C147" i="4" s="1"/>
  <c r="E147" i="6" s="1"/>
  <c r="D147" i="3"/>
  <c r="C147" i="3"/>
  <c r="B147" i="3"/>
  <c r="B147" i="4" s="1"/>
  <c r="B147" i="6" s="1"/>
  <c r="A147" i="3"/>
  <c r="A147" i="4" s="1"/>
  <c r="U147" i="4" s="1"/>
  <c r="J147" i="6" s="1"/>
  <c r="S146" i="3"/>
  <c r="R146" i="3"/>
  <c r="Q146" i="3"/>
  <c r="P146" i="3"/>
  <c r="O146" i="3"/>
  <c r="Q146" i="4" s="1"/>
  <c r="F146" i="6" s="1"/>
  <c r="N146" i="3"/>
  <c r="P146" i="4" s="1"/>
  <c r="D146" i="6" s="1"/>
  <c r="M146" i="3"/>
  <c r="L146" i="3"/>
  <c r="K146" i="3"/>
  <c r="E146" i="4" s="1"/>
  <c r="J146" i="3"/>
  <c r="D146" i="4" s="1"/>
  <c r="G146" i="6" s="1"/>
  <c r="I146" i="3"/>
  <c r="H146" i="3"/>
  <c r="G146" i="3"/>
  <c r="F146" i="3"/>
  <c r="E146" i="3"/>
  <c r="C146" i="4" s="1"/>
  <c r="E146" i="6" s="1"/>
  <c r="D146" i="3"/>
  <c r="C146" i="3"/>
  <c r="B146" i="3"/>
  <c r="B146" i="4" s="1"/>
  <c r="B146" i="6" s="1"/>
  <c r="A146" i="3"/>
  <c r="A146" i="4" s="1"/>
  <c r="U146" i="4" s="1"/>
  <c r="J146" i="6" s="1"/>
  <c r="S145" i="3"/>
  <c r="R145" i="3"/>
  <c r="Q145" i="3"/>
  <c r="P145" i="3"/>
  <c r="O145" i="3"/>
  <c r="Q145" i="4" s="1"/>
  <c r="F145" i="6" s="1"/>
  <c r="N145" i="3"/>
  <c r="P145" i="4" s="1"/>
  <c r="D145" i="6" s="1"/>
  <c r="M145" i="3"/>
  <c r="L145" i="3"/>
  <c r="K145" i="3"/>
  <c r="E145" i="4" s="1"/>
  <c r="J145" i="3"/>
  <c r="D145" i="4" s="1"/>
  <c r="G145" i="6" s="1"/>
  <c r="I145" i="3"/>
  <c r="H145" i="3"/>
  <c r="G145" i="3"/>
  <c r="F145" i="3"/>
  <c r="E145" i="3"/>
  <c r="C145" i="4" s="1"/>
  <c r="E145" i="6" s="1"/>
  <c r="D145" i="3"/>
  <c r="C145" i="3"/>
  <c r="B145" i="3"/>
  <c r="B145" i="4" s="1"/>
  <c r="B145" i="6" s="1"/>
  <c r="A145" i="3"/>
  <c r="A145" i="4" s="1"/>
  <c r="U145" i="4" s="1"/>
  <c r="J145" i="6" s="1"/>
  <c r="S144" i="3"/>
  <c r="R144" i="3"/>
  <c r="Q144" i="3"/>
  <c r="P144" i="3"/>
  <c r="O144" i="3"/>
  <c r="Q144" i="4" s="1"/>
  <c r="F144" i="6" s="1"/>
  <c r="N144" i="3"/>
  <c r="P144" i="4" s="1"/>
  <c r="D144" i="6" s="1"/>
  <c r="M144" i="3"/>
  <c r="L144" i="3"/>
  <c r="K144" i="3"/>
  <c r="E144" i="4" s="1"/>
  <c r="J144" i="3"/>
  <c r="D144" i="4" s="1"/>
  <c r="G144" i="6" s="1"/>
  <c r="I144" i="3"/>
  <c r="H144" i="3"/>
  <c r="G144" i="3"/>
  <c r="F144" i="3"/>
  <c r="E144" i="3"/>
  <c r="C144" i="4" s="1"/>
  <c r="E144" i="6" s="1"/>
  <c r="D144" i="3"/>
  <c r="C144" i="3"/>
  <c r="B144" i="3"/>
  <c r="B144" i="4" s="1"/>
  <c r="B144" i="6" s="1"/>
  <c r="A144" i="3"/>
  <c r="A144" i="4" s="1"/>
  <c r="U144" i="4" s="1"/>
  <c r="J144" i="6" s="1"/>
  <c r="S143" i="3"/>
  <c r="R143" i="3"/>
  <c r="Q143" i="3"/>
  <c r="P143" i="3"/>
  <c r="O143" i="3"/>
  <c r="Q143" i="4" s="1"/>
  <c r="F143" i="6" s="1"/>
  <c r="N143" i="3"/>
  <c r="P143" i="4" s="1"/>
  <c r="D143" i="6" s="1"/>
  <c r="M143" i="3"/>
  <c r="L143" i="3"/>
  <c r="K143" i="3"/>
  <c r="E143" i="4" s="1"/>
  <c r="J143" i="3"/>
  <c r="D143" i="4" s="1"/>
  <c r="G143" i="6" s="1"/>
  <c r="I143" i="3"/>
  <c r="H143" i="3"/>
  <c r="G143" i="3"/>
  <c r="F143" i="3"/>
  <c r="E143" i="3"/>
  <c r="C143" i="4" s="1"/>
  <c r="E143" i="6" s="1"/>
  <c r="D143" i="3"/>
  <c r="C143" i="3"/>
  <c r="B143" i="3"/>
  <c r="B143" i="4" s="1"/>
  <c r="B143" i="6" s="1"/>
  <c r="A143" i="3"/>
  <c r="A143" i="4" s="1"/>
  <c r="U143" i="4" s="1"/>
  <c r="J143" i="6" s="1"/>
  <c r="S142" i="3"/>
  <c r="R142" i="3"/>
  <c r="Q142" i="3"/>
  <c r="P142" i="3"/>
  <c r="O142" i="3"/>
  <c r="Q142" i="4" s="1"/>
  <c r="F142" i="6" s="1"/>
  <c r="N142" i="3"/>
  <c r="P142" i="4" s="1"/>
  <c r="D142" i="6" s="1"/>
  <c r="M142" i="3"/>
  <c r="L142" i="3"/>
  <c r="K142" i="3"/>
  <c r="E142" i="4" s="1"/>
  <c r="J142" i="3"/>
  <c r="D142" i="4" s="1"/>
  <c r="G142" i="6" s="1"/>
  <c r="I142" i="3"/>
  <c r="H142" i="3"/>
  <c r="G142" i="3"/>
  <c r="F142" i="3"/>
  <c r="E142" i="3"/>
  <c r="C142" i="4" s="1"/>
  <c r="E142" i="6" s="1"/>
  <c r="D142" i="3"/>
  <c r="C142" i="3"/>
  <c r="B142" i="3"/>
  <c r="B142" i="4" s="1"/>
  <c r="B142" i="6" s="1"/>
  <c r="A142" i="3"/>
  <c r="A142" i="4" s="1"/>
  <c r="U142" i="4" s="1"/>
  <c r="J142" i="6" s="1"/>
  <c r="S141" i="3"/>
  <c r="R141" i="3"/>
  <c r="Q141" i="3"/>
  <c r="P141" i="3"/>
  <c r="O141" i="3"/>
  <c r="Q141" i="4" s="1"/>
  <c r="F141" i="6" s="1"/>
  <c r="N141" i="3"/>
  <c r="P141" i="4" s="1"/>
  <c r="D141" i="6" s="1"/>
  <c r="M141" i="3"/>
  <c r="L141" i="3"/>
  <c r="K141" i="3"/>
  <c r="E141" i="4" s="1"/>
  <c r="J141" i="3"/>
  <c r="D141" i="4" s="1"/>
  <c r="G141" i="6" s="1"/>
  <c r="I141" i="3"/>
  <c r="H141" i="3"/>
  <c r="G141" i="3"/>
  <c r="F141" i="3"/>
  <c r="E141" i="3"/>
  <c r="C141" i="4" s="1"/>
  <c r="E141" i="6" s="1"/>
  <c r="D141" i="3"/>
  <c r="C141" i="3"/>
  <c r="B141" i="3"/>
  <c r="B141" i="4" s="1"/>
  <c r="B141" i="6" s="1"/>
  <c r="A141" i="3"/>
  <c r="A141" i="4" s="1"/>
  <c r="U141" i="4" s="1"/>
  <c r="J141" i="6" s="1"/>
  <c r="S140" i="3"/>
  <c r="R140" i="3"/>
  <c r="Q140" i="3"/>
  <c r="P140" i="3"/>
  <c r="O140" i="3"/>
  <c r="Q140" i="4" s="1"/>
  <c r="F140" i="6" s="1"/>
  <c r="N140" i="3"/>
  <c r="P140" i="4" s="1"/>
  <c r="D140" i="6" s="1"/>
  <c r="M140" i="3"/>
  <c r="L140" i="3"/>
  <c r="K140" i="3"/>
  <c r="E140" i="4" s="1"/>
  <c r="J140" i="3"/>
  <c r="D140" i="4" s="1"/>
  <c r="G140" i="6" s="1"/>
  <c r="I140" i="3"/>
  <c r="H140" i="3"/>
  <c r="G140" i="3"/>
  <c r="F140" i="3"/>
  <c r="E140" i="3"/>
  <c r="C140" i="4" s="1"/>
  <c r="E140" i="6" s="1"/>
  <c r="D140" i="3"/>
  <c r="C140" i="3"/>
  <c r="B140" i="3"/>
  <c r="B140" i="4" s="1"/>
  <c r="B140" i="6" s="1"/>
  <c r="A140" i="3"/>
  <c r="A140" i="4" s="1"/>
  <c r="U140" i="4" s="1"/>
  <c r="J140" i="6" s="1"/>
  <c r="S139" i="3"/>
  <c r="R139" i="3"/>
  <c r="Q139" i="3"/>
  <c r="P139" i="3"/>
  <c r="O139" i="3"/>
  <c r="Q139" i="4" s="1"/>
  <c r="F139" i="6" s="1"/>
  <c r="N139" i="3"/>
  <c r="P139" i="4" s="1"/>
  <c r="D139" i="6" s="1"/>
  <c r="M139" i="3"/>
  <c r="L139" i="3"/>
  <c r="K139" i="3"/>
  <c r="E139" i="4" s="1"/>
  <c r="J139" i="3"/>
  <c r="D139" i="4" s="1"/>
  <c r="G139" i="6" s="1"/>
  <c r="I139" i="3"/>
  <c r="H139" i="3"/>
  <c r="G139" i="3"/>
  <c r="F139" i="3"/>
  <c r="E139" i="3"/>
  <c r="C139" i="4" s="1"/>
  <c r="E139" i="6" s="1"/>
  <c r="D139" i="3"/>
  <c r="C139" i="3"/>
  <c r="B139" i="3"/>
  <c r="B139" i="4" s="1"/>
  <c r="B139" i="6" s="1"/>
  <c r="A139" i="3"/>
  <c r="A139" i="4" s="1"/>
  <c r="U139" i="4" s="1"/>
  <c r="J139" i="6" s="1"/>
  <c r="S138" i="3"/>
  <c r="R138" i="3"/>
  <c r="Q138" i="3"/>
  <c r="P138" i="3"/>
  <c r="O138" i="3"/>
  <c r="Q138" i="4" s="1"/>
  <c r="F138" i="6" s="1"/>
  <c r="N138" i="3"/>
  <c r="P138" i="4" s="1"/>
  <c r="D138" i="6" s="1"/>
  <c r="M138" i="3"/>
  <c r="L138" i="3"/>
  <c r="K138" i="3"/>
  <c r="E138" i="4" s="1"/>
  <c r="J138" i="3"/>
  <c r="D138" i="4" s="1"/>
  <c r="G138" i="6" s="1"/>
  <c r="I138" i="3"/>
  <c r="H138" i="3"/>
  <c r="G138" i="3"/>
  <c r="F138" i="3"/>
  <c r="E138" i="3"/>
  <c r="C138" i="4" s="1"/>
  <c r="E138" i="6" s="1"/>
  <c r="D138" i="3"/>
  <c r="C138" i="3"/>
  <c r="B138" i="3"/>
  <c r="B138" i="4" s="1"/>
  <c r="B138" i="6" s="1"/>
  <c r="A138" i="3"/>
  <c r="A138" i="4" s="1"/>
  <c r="U138" i="4" s="1"/>
  <c r="J138" i="6" s="1"/>
  <c r="S137" i="3"/>
  <c r="R137" i="3"/>
  <c r="Q137" i="3"/>
  <c r="P137" i="3"/>
  <c r="O137" i="3"/>
  <c r="Q137" i="4" s="1"/>
  <c r="F137" i="6" s="1"/>
  <c r="N137" i="3"/>
  <c r="P137" i="4" s="1"/>
  <c r="D137" i="6" s="1"/>
  <c r="M137" i="3"/>
  <c r="L137" i="3"/>
  <c r="K137" i="3"/>
  <c r="E137" i="4" s="1"/>
  <c r="J137" i="3"/>
  <c r="D137" i="4" s="1"/>
  <c r="G137" i="6" s="1"/>
  <c r="I137" i="3"/>
  <c r="H137" i="3"/>
  <c r="G137" i="3"/>
  <c r="F137" i="3"/>
  <c r="E137" i="3"/>
  <c r="C137" i="4" s="1"/>
  <c r="E137" i="6" s="1"/>
  <c r="D137" i="3"/>
  <c r="C137" i="3"/>
  <c r="B137" i="3"/>
  <c r="B137" i="4" s="1"/>
  <c r="B137" i="6" s="1"/>
  <c r="A137" i="3"/>
  <c r="A137" i="4" s="1"/>
  <c r="U137" i="4" s="1"/>
  <c r="J137" i="6" s="1"/>
  <c r="S136" i="3"/>
  <c r="R136" i="3"/>
  <c r="Q136" i="3"/>
  <c r="P136" i="3"/>
  <c r="O136" i="3"/>
  <c r="Q136" i="4" s="1"/>
  <c r="F136" i="6" s="1"/>
  <c r="N136" i="3"/>
  <c r="P136" i="4" s="1"/>
  <c r="D136" i="6" s="1"/>
  <c r="M136" i="3"/>
  <c r="L136" i="3"/>
  <c r="K136" i="3"/>
  <c r="E136" i="4" s="1"/>
  <c r="J136" i="3"/>
  <c r="D136" i="4" s="1"/>
  <c r="G136" i="6" s="1"/>
  <c r="I136" i="3"/>
  <c r="H136" i="3"/>
  <c r="G136" i="3"/>
  <c r="F136" i="3"/>
  <c r="E136" i="3"/>
  <c r="C136" i="4" s="1"/>
  <c r="E136" i="6" s="1"/>
  <c r="D136" i="3"/>
  <c r="C136" i="3"/>
  <c r="B136" i="3"/>
  <c r="B136" i="4" s="1"/>
  <c r="B136" i="6" s="1"/>
  <c r="A136" i="3"/>
  <c r="A136" i="4" s="1"/>
  <c r="U136" i="4" s="1"/>
  <c r="J136" i="6" s="1"/>
  <c r="S135" i="3"/>
  <c r="R135" i="3"/>
  <c r="Q135" i="3"/>
  <c r="P135" i="3"/>
  <c r="O135" i="3"/>
  <c r="Q135" i="4" s="1"/>
  <c r="F135" i="6" s="1"/>
  <c r="N135" i="3"/>
  <c r="P135" i="4" s="1"/>
  <c r="D135" i="6" s="1"/>
  <c r="M135" i="3"/>
  <c r="L135" i="3"/>
  <c r="K135" i="3"/>
  <c r="E135" i="4" s="1"/>
  <c r="J135" i="3"/>
  <c r="D135" i="4" s="1"/>
  <c r="G135" i="6" s="1"/>
  <c r="I135" i="3"/>
  <c r="H135" i="3"/>
  <c r="G135" i="3"/>
  <c r="F135" i="3"/>
  <c r="E135" i="3"/>
  <c r="C135" i="4" s="1"/>
  <c r="E135" i="6" s="1"/>
  <c r="D135" i="3"/>
  <c r="C135" i="3"/>
  <c r="B135" i="3"/>
  <c r="B135" i="4" s="1"/>
  <c r="B135" i="6" s="1"/>
  <c r="A135" i="3"/>
  <c r="A135" i="4" s="1"/>
  <c r="U135" i="4" s="1"/>
  <c r="J135" i="6" s="1"/>
  <c r="S134" i="3"/>
  <c r="R134" i="3"/>
  <c r="Q134" i="3"/>
  <c r="P134" i="3"/>
  <c r="O134" i="3"/>
  <c r="Q134" i="4" s="1"/>
  <c r="F134" i="6" s="1"/>
  <c r="N134" i="3"/>
  <c r="P134" i="4" s="1"/>
  <c r="D134" i="6" s="1"/>
  <c r="M134" i="3"/>
  <c r="L134" i="3"/>
  <c r="K134" i="3"/>
  <c r="E134" i="4" s="1"/>
  <c r="J134" i="3"/>
  <c r="D134" i="4" s="1"/>
  <c r="G134" i="6" s="1"/>
  <c r="I134" i="3"/>
  <c r="H134" i="3"/>
  <c r="G134" i="3"/>
  <c r="F134" i="3"/>
  <c r="E134" i="3"/>
  <c r="C134" i="4" s="1"/>
  <c r="E134" i="6" s="1"/>
  <c r="D134" i="3"/>
  <c r="C134" i="3"/>
  <c r="B134" i="3"/>
  <c r="B134" i="4" s="1"/>
  <c r="B134" i="6" s="1"/>
  <c r="A134" i="3"/>
  <c r="A134" i="4" s="1"/>
  <c r="U134" i="4" s="1"/>
  <c r="J134" i="6" s="1"/>
  <c r="S133" i="3"/>
  <c r="R133" i="3"/>
  <c r="Q133" i="3"/>
  <c r="P133" i="3"/>
  <c r="O133" i="3"/>
  <c r="Q133" i="4" s="1"/>
  <c r="F133" i="6" s="1"/>
  <c r="N133" i="3"/>
  <c r="P133" i="4" s="1"/>
  <c r="D133" i="6" s="1"/>
  <c r="M133" i="3"/>
  <c r="L133" i="3"/>
  <c r="K133" i="3"/>
  <c r="E133" i="4" s="1"/>
  <c r="J133" i="3"/>
  <c r="D133" i="4" s="1"/>
  <c r="G133" i="6" s="1"/>
  <c r="I133" i="3"/>
  <c r="H133" i="3"/>
  <c r="G133" i="3"/>
  <c r="F133" i="3"/>
  <c r="E133" i="3"/>
  <c r="C133" i="4" s="1"/>
  <c r="E133" i="6" s="1"/>
  <c r="D133" i="3"/>
  <c r="C133" i="3"/>
  <c r="B133" i="3"/>
  <c r="B133" i="4" s="1"/>
  <c r="B133" i="6" s="1"/>
  <c r="A133" i="3"/>
  <c r="A133" i="4" s="1"/>
  <c r="U133" i="4" s="1"/>
  <c r="J133" i="6" s="1"/>
  <c r="S132" i="3"/>
  <c r="R132" i="3"/>
  <c r="Q132" i="3"/>
  <c r="P132" i="3"/>
  <c r="O132" i="3"/>
  <c r="Q132" i="4" s="1"/>
  <c r="F132" i="6" s="1"/>
  <c r="N132" i="3"/>
  <c r="P132" i="4" s="1"/>
  <c r="D132" i="6" s="1"/>
  <c r="M132" i="3"/>
  <c r="L132" i="3"/>
  <c r="K132" i="3"/>
  <c r="E132" i="4" s="1"/>
  <c r="J132" i="3"/>
  <c r="D132" i="4" s="1"/>
  <c r="G132" i="6" s="1"/>
  <c r="I132" i="3"/>
  <c r="H132" i="3"/>
  <c r="G132" i="3"/>
  <c r="F132" i="3"/>
  <c r="E132" i="3"/>
  <c r="C132" i="4" s="1"/>
  <c r="E132" i="6" s="1"/>
  <c r="D132" i="3"/>
  <c r="C132" i="3"/>
  <c r="B132" i="3"/>
  <c r="B132" i="4" s="1"/>
  <c r="B132" i="6" s="1"/>
  <c r="A132" i="3"/>
  <c r="A132" i="4" s="1"/>
  <c r="U132" i="4" s="1"/>
  <c r="J132" i="6" s="1"/>
  <c r="S131" i="3"/>
  <c r="R131" i="3"/>
  <c r="Q131" i="3"/>
  <c r="P131" i="3"/>
  <c r="O131" i="3"/>
  <c r="Q131" i="4" s="1"/>
  <c r="F131" i="6" s="1"/>
  <c r="N131" i="3"/>
  <c r="P131" i="4" s="1"/>
  <c r="D131" i="6" s="1"/>
  <c r="M131" i="3"/>
  <c r="L131" i="3"/>
  <c r="K131" i="3"/>
  <c r="E131" i="4" s="1"/>
  <c r="J131" i="3"/>
  <c r="D131" i="4" s="1"/>
  <c r="G131" i="6" s="1"/>
  <c r="I131" i="3"/>
  <c r="H131" i="3"/>
  <c r="G131" i="3"/>
  <c r="F131" i="3"/>
  <c r="E131" i="3"/>
  <c r="C131" i="4" s="1"/>
  <c r="E131" i="6" s="1"/>
  <c r="D131" i="3"/>
  <c r="C131" i="3"/>
  <c r="B131" i="3"/>
  <c r="B131" i="4" s="1"/>
  <c r="B131" i="6" s="1"/>
  <c r="A131" i="3"/>
  <c r="A131" i="4" s="1"/>
  <c r="U131" i="4" s="1"/>
  <c r="J131" i="6" s="1"/>
  <c r="S130" i="3"/>
  <c r="R130" i="3"/>
  <c r="Q130" i="3"/>
  <c r="P130" i="3"/>
  <c r="O130" i="3"/>
  <c r="Q130" i="4" s="1"/>
  <c r="F130" i="6" s="1"/>
  <c r="N130" i="3"/>
  <c r="P130" i="4" s="1"/>
  <c r="D130" i="6" s="1"/>
  <c r="M130" i="3"/>
  <c r="L130" i="3"/>
  <c r="K130" i="3"/>
  <c r="E130" i="4" s="1"/>
  <c r="J130" i="3"/>
  <c r="D130" i="4" s="1"/>
  <c r="G130" i="6" s="1"/>
  <c r="I130" i="3"/>
  <c r="H130" i="3"/>
  <c r="G130" i="3"/>
  <c r="F130" i="3"/>
  <c r="E130" i="3"/>
  <c r="C130" i="4" s="1"/>
  <c r="E130" i="6" s="1"/>
  <c r="D130" i="3"/>
  <c r="C130" i="3"/>
  <c r="B130" i="3"/>
  <c r="B130" i="4" s="1"/>
  <c r="B130" i="6" s="1"/>
  <c r="A130" i="3"/>
  <c r="A130" i="4" s="1"/>
  <c r="U130" i="4" s="1"/>
  <c r="J130" i="6" s="1"/>
  <c r="S129" i="3"/>
  <c r="R129" i="3"/>
  <c r="Q129" i="3"/>
  <c r="P129" i="3"/>
  <c r="O129" i="3"/>
  <c r="Q129" i="4" s="1"/>
  <c r="F129" i="6" s="1"/>
  <c r="N129" i="3"/>
  <c r="P129" i="4" s="1"/>
  <c r="D129" i="6" s="1"/>
  <c r="M129" i="3"/>
  <c r="L129" i="3"/>
  <c r="K129" i="3"/>
  <c r="E129" i="4" s="1"/>
  <c r="J129" i="3"/>
  <c r="D129" i="4" s="1"/>
  <c r="G129" i="6" s="1"/>
  <c r="I129" i="3"/>
  <c r="H129" i="3"/>
  <c r="G129" i="3"/>
  <c r="F129" i="3"/>
  <c r="E129" i="3"/>
  <c r="C129" i="4" s="1"/>
  <c r="E129" i="6" s="1"/>
  <c r="D129" i="3"/>
  <c r="C129" i="3"/>
  <c r="B129" i="3"/>
  <c r="B129" i="4" s="1"/>
  <c r="B129" i="6" s="1"/>
  <c r="A129" i="3"/>
  <c r="A129" i="4" s="1"/>
  <c r="U129" i="4" s="1"/>
  <c r="J129" i="6" s="1"/>
  <c r="S128" i="3"/>
  <c r="R128" i="3"/>
  <c r="Q128" i="3"/>
  <c r="P128" i="3"/>
  <c r="O128" i="3"/>
  <c r="Q128" i="4" s="1"/>
  <c r="F128" i="6" s="1"/>
  <c r="N128" i="3"/>
  <c r="P128" i="4" s="1"/>
  <c r="D128" i="6" s="1"/>
  <c r="M128" i="3"/>
  <c r="L128" i="3"/>
  <c r="K128" i="3"/>
  <c r="E128" i="4" s="1"/>
  <c r="J128" i="3"/>
  <c r="D128" i="4" s="1"/>
  <c r="G128" i="6" s="1"/>
  <c r="I128" i="3"/>
  <c r="H128" i="3"/>
  <c r="G128" i="3"/>
  <c r="F128" i="3"/>
  <c r="E128" i="3"/>
  <c r="C128" i="4" s="1"/>
  <c r="E128" i="6" s="1"/>
  <c r="D128" i="3"/>
  <c r="C128" i="3"/>
  <c r="B128" i="3"/>
  <c r="B128" i="4" s="1"/>
  <c r="B128" i="6" s="1"/>
  <c r="A128" i="3"/>
  <c r="A128" i="4" s="1"/>
  <c r="U128" i="4" s="1"/>
  <c r="J128" i="6" s="1"/>
  <c r="S127" i="3"/>
  <c r="R127" i="3"/>
  <c r="Q127" i="3"/>
  <c r="P127" i="3"/>
  <c r="O127" i="3"/>
  <c r="Q127" i="4" s="1"/>
  <c r="F127" i="6" s="1"/>
  <c r="N127" i="3"/>
  <c r="P127" i="4" s="1"/>
  <c r="D127" i="6" s="1"/>
  <c r="M127" i="3"/>
  <c r="L127" i="3"/>
  <c r="K127" i="3"/>
  <c r="E127" i="4" s="1"/>
  <c r="J127" i="3"/>
  <c r="D127" i="4" s="1"/>
  <c r="G127" i="6" s="1"/>
  <c r="I127" i="3"/>
  <c r="H127" i="3"/>
  <c r="G127" i="3"/>
  <c r="F127" i="3"/>
  <c r="E127" i="3"/>
  <c r="C127" i="4" s="1"/>
  <c r="E127" i="6" s="1"/>
  <c r="D127" i="3"/>
  <c r="C127" i="3"/>
  <c r="B127" i="3"/>
  <c r="B127" i="4" s="1"/>
  <c r="B127" i="6" s="1"/>
  <c r="A127" i="3"/>
  <c r="A127" i="4" s="1"/>
  <c r="U127" i="4" s="1"/>
  <c r="J127" i="6" s="1"/>
  <c r="S126" i="3"/>
  <c r="R126" i="3"/>
  <c r="Q126" i="3"/>
  <c r="P126" i="3"/>
  <c r="O126" i="3"/>
  <c r="Q126" i="4" s="1"/>
  <c r="F126" i="6" s="1"/>
  <c r="N126" i="3"/>
  <c r="P126" i="4" s="1"/>
  <c r="D126" i="6" s="1"/>
  <c r="M126" i="3"/>
  <c r="L126" i="3"/>
  <c r="K126" i="3"/>
  <c r="E126" i="4" s="1"/>
  <c r="J126" i="3"/>
  <c r="D126" i="4" s="1"/>
  <c r="G126" i="6" s="1"/>
  <c r="I126" i="3"/>
  <c r="H126" i="3"/>
  <c r="G126" i="3"/>
  <c r="F126" i="3"/>
  <c r="E126" i="3"/>
  <c r="C126" i="4" s="1"/>
  <c r="E126" i="6" s="1"/>
  <c r="D126" i="3"/>
  <c r="C126" i="3"/>
  <c r="B126" i="3"/>
  <c r="B126" i="4" s="1"/>
  <c r="B126" i="6" s="1"/>
  <c r="A126" i="3"/>
  <c r="A126" i="4" s="1"/>
  <c r="U126" i="4" s="1"/>
  <c r="J126" i="6" s="1"/>
  <c r="S125" i="3"/>
  <c r="R125" i="3"/>
  <c r="Q125" i="3"/>
  <c r="P125" i="3"/>
  <c r="O125" i="3"/>
  <c r="Q125" i="4" s="1"/>
  <c r="F125" i="6" s="1"/>
  <c r="N125" i="3"/>
  <c r="P125" i="4" s="1"/>
  <c r="D125" i="6" s="1"/>
  <c r="M125" i="3"/>
  <c r="L125" i="3"/>
  <c r="K125" i="3"/>
  <c r="E125" i="4" s="1"/>
  <c r="J125" i="3"/>
  <c r="D125" i="4" s="1"/>
  <c r="G125" i="6" s="1"/>
  <c r="I125" i="3"/>
  <c r="H125" i="3"/>
  <c r="G125" i="3"/>
  <c r="F125" i="3"/>
  <c r="E125" i="3"/>
  <c r="C125" i="4" s="1"/>
  <c r="E125" i="6" s="1"/>
  <c r="D125" i="3"/>
  <c r="C125" i="3"/>
  <c r="B125" i="3"/>
  <c r="B125" i="4" s="1"/>
  <c r="B125" i="6" s="1"/>
  <c r="A125" i="3"/>
  <c r="A125" i="4" s="1"/>
  <c r="U125" i="4" s="1"/>
  <c r="J125" i="6" s="1"/>
  <c r="S124" i="3"/>
  <c r="R124" i="3"/>
  <c r="Q124" i="3"/>
  <c r="P124" i="3"/>
  <c r="O124" i="3"/>
  <c r="Q124" i="4" s="1"/>
  <c r="F124" i="6" s="1"/>
  <c r="N124" i="3"/>
  <c r="P124" i="4" s="1"/>
  <c r="D124" i="6" s="1"/>
  <c r="M124" i="3"/>
  <c r="L124" i="3"/>
  <c r="K124" i="3"/>
  <c r="E124" i="4" s="1"/>
  <c r="J124" i="3"/>
  <c r="D124" i="4" s="1"/>
  <c r="G124" i="6" s="1"/>
  <c r="I124" i="3"/>
  <c r="H124" i="3"/>
  <c r="G124" i="3"/>
  <c r="F124" i="3"/>
  <c r="E124" i="3"/>
  <c r="C124" i="4" s="1"/>
  <c r="E124" i="6" s="1"/>
  <c r="D124" i="3"/>
  <c r="C124" i="3"/>
  <c r="B124" i="3"/>
  <c r="B124" i="4" s="1"/>
  <c r="B124" i="6" s="1"/>
  <c r="A124" i="3"/>
  <c r="A124" i="4" s="1"/>
  <c r="U124" i="4" s="1"/>
  <c r="J124" i="6" s="1"/>
  <c r="S123" i="3"/>
  <c r="R123" i="3"/>
  <c r="Q123" i="3"/>
  <c r="P123" i="3"/>
  <c r="O123" i="3"/>
  <c r="Q123" i="4" s="1"/>
  <c r="F123" i="6" s="1"/>
  <c r="N123" i="3"/>
  <c r="P123" i="4" s="1"/>
  <c r="D123" i="6" s="1"/>
  <c r="M123" i="3"/>
  <c r="L123" i="3"/>
  <c r="K123" i="3"/>
  <c r="E123" i="4" s="1"/>
  <c r="J123" i="3"/>
  <c r="D123" i="4" s="1"/>
  <c r="G123" i="6" s="1"/>
  <c r="I123" i="3"/>
  <c r="H123" i="3"/>
  <c r="G123" i="3"/>
  <c r="F123" i="3"/>
  <c r="E123" i="3"/>
  <c r="C123" i="4" s="1"/>
  <c r="E123" i="6" s="1"/>
  <c r="D123" i="3"/>
  <c r="C123" i="3"/>
  <c r="B123" i="3"/>
  <c r="B123" i="4" s="1"/>
  <c r="B123" i="6" s="1"/>
  <c r="A123" i="3"/>
  <c r="A123" i="4" s="1"/>
  <c r="U123" i="4" s="1"/>
  <c r="J123" i="6" s="1"/>
  <c r="S122" i="3"/>
  <c r="R122" i="3"/>
  <c r="Q122" i="3"/>
  <c r="P122" i="3"/>
  <c r="O122" i="3"/>
  <c r="Q122" i="4" s="1"/>
  <c r="F122" i="6" s="1"/>
  <c r="N122" i="3"/>
  <c r="P122" i="4" s="1"/>
  <c r="D122" i="6" s="1"/>
  <c r="M122" i="3"/>
  <c r="L122" i="3"/>
  <c r="K122" i="3"/>
  <c r="E122" i="4" s="1"/>
  <c r="J122" i="3"/>
  <c r="D122" i="4" s="1"/>
  <c r="G122" i="6" s="1"/>
  <c r="I122" i="3"/>
  <c r="H122" i="3"/>
  <c r="G122" i="3"/>
  <c r="F122" i="3"/>
  <c r="E122" i="3"/>
  <c r="C122" i="4" s="1"/>
  <c r="E122" i="6" s="1"/>
  <c r="D122" i="3"/>
  <c r="C122" i="3"/>
  <c r="B122" i="3"/>
  <c r="B122" i="4" s="1"/>
  <c r="B122" i="6" s="1"/>
  <c r="A122" i="3"/>
  <c r="A122" i="4" s="1"/>
  <c r="U122" i="4" s="1"/>
  <c r="J122" i="6" s="1"/>
  <c r="S121" i="3"/>
  <c r="R121" i="3"/>
  <c r="Q121" i="3"/>
  <c r="P121" i="3"/>
  <c r="O121" i="3"/>
  <c r="Q121" i="4" s="1"/>
  <c r="F121" i="6" s="1"/>
  <c r="N121" i="3"/>
  <c r="P121" i="4" s="1"/>
  <c r="D121" i="6" s="1"/>
  <c r="M121" i="3"/>
  <c r="L121" i="3"/>
  <c r="K121" i="3"/>
  <c r="E121" i="4" s="1"/>
  <c r="J121" i="3"/>
  <c r="D121" i="4" s="1"/>
  <c r="G121" i="6" s="1"/>
  <c r="I121" i="3"/>
  <c r="H121" i="3"/>
  <c r="G121" i="3"/>
  <c r="F121" i="3"/>
  <c r="E121" i="3"/>
  <c r="C121" i="4" s="1"/>
  <c r="E121" i="6" s="1"/>
  <c r="D121" i="3"/>
  <c r="C121" i="3"/>
  <c r="B121" i="3"/>
  <c r="B121" i="4" s="1"/>
  <c r="B121" i="6" s="1"/>
  <c r="A121" i="3"/>
  <c r="A121" i="4" s="1"/>
  <c r="U121" i="4" s="1"/>
  <c r="J121" i="6" s="1"/>
  <c r="S120" i="3"/>
  <c r="R120" i="3"/>
  <c r="Q120" i="3"/>
  <c r="P120" i="3"/>
  <c r="O120" i="3"/>
  <c r="Q120" i="4" s="1"/>
  <c r="F120" i="6" s="1"/>
  <c r="N120" i="3"/>
  <c r="P120" i="4" s="1"/>
  <c r="D120" i="6" s="1"/>
  <c r="M120" i="3"/>
  <c r="L120" i="3"/>
  <c r="K120" i="3"/>
  <c r="E120" i="4" s="1"/>
  <c r="J120" i="3"/>
  <c r="D120" i="4" s="1"/>
  <c r="G120" i="6" s="1"/>
  <c r="I120" i="3"/>
  <c r="H120" i="3"/>
  <c r="G120" i="3"/>
  <c r="F120" i="3"/>
  <c r="E120" i="3"/>
  <c r="C120" i="4" s="1"/>
  <c r="E120" i="6" s="1"/>
  <c r="D120" i="3"/>
  <c r="C120" i="3"/>
  <c r="B120" i="3"/>
  <c r="B120" i="4" s="1"/>
  <c r="B120" i="6" s="1"/>
  <c r="A120" i="3"/>
  <c r="A120" i="4" s="1"/>
  <c r="U120" i="4" s="1"/>
  <c r="J120" i="6" s="1"/>
  <c r="S119" i="3"/>
  <c r="R119" i="3"/>
  <c r="Q119" i="3"/>
  <c r="P119" i="3"/>
  <c r="O119" i="3"/>
  <c r="Q119" i="4" s="1"/>
  <c r="F119" i="6" s="1"/>
  <c r="N119" i="3"/>
  <c r="P119" i="4" s="1"/>
  <c r="D119" i="6" s="1"/>
  <c r="M119" i="3"/>
  <c r="L119" i="3"/>
  <c r="K119" i="3"/>
  <c r="E119" i="4" s="1"/>
  <c r="J119" i="3"/>
  <c r="D119" i="4" s="1"/>
  <c r="G119" i="6" s="1"/>
  <c r="I119" i="3"/>
  <c r="H119" i="3"/>
  <c r="G119" i="3"/>
  <c r="F119" i="3"/>
  <c r="E119" i="3"/>
  <c r="C119" i="4" s="1"/>
  <c r="E119" i="6" s="1"/>
  <c r="D119" i="3"/>
  <c r="C119" i="3"/>
  <c r="B119" i="3"/>
  <c r="B119" i="4" s="1"/>
  <c r="B119" i="6" s="1"/>
  <c r="A119" i="3"/>
  <c r="A119" i="4" s="1"/>
  <c r="U119" i="4" s="1"/>
  <c r="J119" i="6" s="1"/>
  <c r="S118" i="3"/>
  <c r="R118" i="3"/>
  <c r="Q118" i="3"/>
  <c r="P118" i="3"/>
  <c r="O118" i="3"/>
  <c r="Q118" i="4" s="1"/>
  <c r="F118" i="6" s="1"/>
  <c r="N118" i="3"/>
  <c r="P118" i="4" s="1"/>
  <c r="D118" i="6" s="1"/>
  <c r="M118" i="3"/>
  <c r="L118" i="3"/>
  <c r="K118" i="3"/>
  <c r="E118" i="4" s="1"/>
  <c r="J118" i="3"/>
  <c r="D118" i="4" s="1"/>
  <c r="G118" i="6" s="1"/>
  <c r="I118" i="3"/>
  <c r="H118" i="3"/>
  <c r="G118" i="3"/>
  <c r="F118" i="3"/>
  <c r="E118" i="3"/>
  <c r="C118" i="4" s="1"/>
  <c r="E118" i="6" s="1"/>
  <c r="D118" i="3"/>
  <c r="C118" i="3"/>
  <c r="B118" i="3"/>
  <c r="B118" i="4" s="1"/>
  <c r="B118" i="6" s="1"/>
  <c r="A118" i="3"/>
  <c r="A118" i="4" s="1"/>
  <c r="U118" i="4" s="1"/>
  <c r="J118" i="6" s="1"/>
  <c r="S117" i="3"/>
  <c r="R117" i="3"/>
  <c r="Q117" i="3"/>
  <c r="P117" i="3"/>
  <c r="O117" i="3"/>
  <c r="Q117" i="4" s="1"/>
  <c r="F117" i="6" s="1"/>
  <c r="N117" i="3"/>
  <c r="P117" i="4" s="1"/>
  <c r="D117" i="6" s="1"/>
  <c r="M117" i="3"/>
  <c r="L117" i="3"/>
  <c r="K117" i="3"/>
  <c r="E117" i="4" s="1"/>
  <c r="J117" i="3"/>
  <c r="D117" i="4" s="1"/>
  <c r="G117" i="6" s="1"/>
  <c r="I117" i="3"/>
  <c r="H117" i="3"/>
  <c r="G117" i="3"/>
  <c r="F117" i="3"/>
  <c r="E117" i="3"/>
  <c r="C117" i="4" s="1"/>
  <c r="E117" i="6" s="1"/>
  <c r="D117" i="3"/>
  <c r="C117" i="3"/>
  <c r="B117" i="3"/>
  <c r="B117" i="4" s="1"/>
  <c r="B117" i="6" s="1"/>
  <c r="A117" i="3"/>
  <c r="A117" i="4" s="1"/>
  <c r="U117" i="4" s="1"/>
  <c r="J117" i="6" s="1"/>
  <c r="S116" i="3"/>
  <c r="R116" i="3"/>
  <c r="Q116" i="3"/>
  <c r="P116" i="3"/>
  <c r="O116" i="3"/>
  <c r="Q116" i="4" s="1"/>
  <c r="F116" i="6" s="1"/>
  <c r="N116" i="3"/>
  <c r="P116" i="4" s="1"/>
  <c r="D116" i="6" s="1"/>
  <c r="M116" i="3"/>
  <c r="L116" i="3"/>
  <c r="K116" i="3"/>
  <c r="E116" i="4" s="1"/>
  <c r="J116" i="3"/>
  <c r="D116" i="4" s="1"/>
  <c r="G116" i="6" s="1"/>
  <c r="I116" i="3"/>
  <c r="H116" i="3"/>
  <c r="G116" i="3"/>
  <c r="F116" i="3"/>
  <c r="E116" i="3"/>
  <c r="C116" i="4" s="1"/>
  <c r="E116" i="6" s="1"/>
  <c r="D116" i="3"/>
  <c r="C116" i="3"/>
  <c r="B116" i="3"/>
  <c r="B116" i="4" s="1"/>
  <c r="B116" i="6" s="1"/>
  <c r="A116" i="3"/>
  <c r="A116" i="4" s="1"/>
  <c r="U116" i="4" s="1"/>
  <c r="J116" i="6" s="1"/>
  <c r="S115" i="3"/>
  <c r="R115" i="3"/>
  <c r="Q115" i="3"/>
  <c r="P115" i="3"/>
  <c r="O115" i="3"/>
  <c r="Q115" i="4" s="1"/>
  <c r="F115" i="6" s="1"/>
  <c r="N115" i="3"/>
  <c r="P115" i="4" s="1"/>
  <c r="D115" i="6" s="1"/>
  <c r="M115" i="3"/>
  <c r="L115" i="3"/>
  <c r="K115" i="3"/>
  <c r="E115" i="4" s="1"/>
  <c r="J115" i="3"/>
  <c r="D115" i="4" s="1"/>
  <c r="G115" i="6" s="1"/>
  <c r="I115" i="3"/>
  <c r="H115" i="3"/>
  <c r="G115" i="3"/>
  <c r="F115" i="3"/>
  <c r="E115" i="3"/>
  <c r="C115" i="4" s="1"/>
  <c r="E115" i="6" s="1"/>
  <c r="D115" i="3"/>
  <c r="C115" i="3"/>
  <c r="B115" i="3"/>
  <c r="B115" i="4" s="1"/>
  <c r="B115" i="6" s="1"/>
  <c r="A115" i="3"/>
  <c r="A115" i="4" s="1"/>
  <c r="U115" i="4" s="1"/>
  <c r="J115" i="6" s="1"/>
  <c r="S114" i="3"/>
  <c r="R114" i="3"/>
  <c r="Q114" i="3"/>
  <c r="P114" i="3"/>
  <c r="O114" i="3"/>
  <c r="Q114" i="4" s="1"/>
  <c r="F114" i="6" s="1"/>
  <c r="N114" i="3"/>
  <c r="P114" i="4" s="1"/>
  <c r="D114" i="6" s="1"/>
  <c r="M114" i="3"/>
  <c r="L114" i="3"/>
  <c r="K114" i="3"/>
  <c r="E114" i="4" s="1"/>
  <c r="J114" i="3"/>
  <c r="D114" i="4" s="1"/>
  <c r="G114" i="6" s="1"/>
  <c r="I114" i="3"/>
  <c r="H114" i="3"/>
  <c r="G114" i="3"/>
  <c r="F114" i="3"/>
  <c r="E114" i="3"/>
  <c r="C114" i="4" s="1"/>
  <c r="E114" i="6" s="1"/>
  <c r="D114" i="3"/>
  <c r="C114" i="3"/>
  <c r="B114" i="3"/>
  <c r="B114" i="4" s="1"/>
  <c r="B114" i="6" s="1"/>
  <c r="A114" i="3"/>
  <c r="A114" i="4" s="1"/>
  <c r="U114" i="4" s="1"/>
  <c r="J114" i="6" s="1"/>
  <c r="S113" i="3"/>
  <c r="R113" i="3"/>
  <c r="Q113" i="3"/>
  <c r="P113" i="3"/>
  <c r="O113" i="3"/>
  <c r="Q113" i="4" s="1"/>
  <c r="F113" i="6" s="1"/>
  <c r="N113" i="3"/>
  <c r="P113" i="4" s="1"/>
  <c r="D113" i="6" s="1"/>
  <c r="M113" i="3"/>
  <c r="L113" i="3"/>
  <c r="K113" i="3"/>
  <c r="E113" i="4" s="1"/>
  <c r="J113" i="3"/>
  <c r="D113" i="4" s="1"/>
  <c r="G113" i="6" s="1"/>
  <c r="I113" i="3"/>
  <c r="H113" i="3"/>
  <c r="G113" i="3"/>
  <c r="F113" i="3"/>
  <c r="E113" i="3"/>
  <c r="C113" i="4" s="1"/>
  <c r="E113" i="6" s="1"/>
  <c r="D113" i="3"/>
  <c r="C113" i="3"/>
  <c r="B113" i="3"/>
  <c r="B113" i="4" s="1"/>
  <c r="B113" i="6" s="1"/>
  <c r="A113" i="3"/>
  <c r="A113" i="4" s="1"/>
  <c r="U113" i="4" s="1"/>
  <c r="J113" i="6" s="1"/>
  <c r="S112" i="3"/>
  <c r="R112" i="3"/>
  <c r="Q112" i="3"/>
  <c r="P112" i="3"/>
  <c r="O112" i="3"/>
  <c r="Q112" i="4" s="1"/>
  <c r="F112" i="6" s="1"/>
  <c r="N112" i="3"/>
  <c r="P112" i="4" s="1"/>
  <c r="D112" i="6" s="1"/>
  <c r="M112" i="3"/>
  <c r="L112" i="3"/>
  <c r="K112" i="3"/>
  <c r="E112" i="4" s="1"/>
  <c r="J112" i="3"/>
  <c r="D112" i="4" s="1"/>
  <c r="G112" i="6" s="1"/>
  <c r="I112" i="3"/>
  <c r="H112" i="3"/>
  <c r="G112" i="3"/>
  <c r="F112" i="3"/>
  <c r="E112" i="3"/>
  <c r="C112" i="4" s="1"/>
  <c r="E112" i="6" s="1"/>
  <c r="D112" i="3"/>
  <c r="C112" i="3"/>
  <c r="B112" i="3"/>
  <c r="B112" i="4" s="1"/>
  <c r="B112" i="6" s="1"/>
  <c r="A112" i="3"/>
  <c r="A112" i="4" s="1"/>
  <c r="U112" i="4" s="1"/>
  <c r="J112" i="6" s="1"/>
  <c r="S111" i="3"/>
  <c r="R111" i="3"/>
  <c r="Q111" i="3"/>
  <c r="P111" i="3"/>
  <c r="O111" i="3"/>
  <c r="Q111" i="4" s="1"/>
  <c r="F111" i="6" s="1"/>
  <c r="N111" i="3"/>
  <c r="P111" i="4" s="1"/>
  <c r="D111" i="6" s="1"/>
  <c r="M111" i="3"/>
  <c r="L111" i="3"/>
  <c r="K111" i="3"/>
  <c r="E111" i="4" s="1"/>
  <c r="J111" i="3"/>
  <c r="D111" i="4" s="1"/>
  <c r="G111" i="6" s="1"/>
  <c r="I111" i="3"/>
  <c r="H111" i="3"/>
  <c r="G111" i="3"/>
  <c r="F111" i="3"/>
  <c r="E111" i="3"/>
  <c r="C111" i="4" s="1"/>
  <c r="E111" i="6" s="1"/>
  <c r="D111" i="3"/>
  <c r="C111" i="3"/>
  <c r="B111" i="3"/>
  <c r="B111" i="4" s="1"/>
  <c r="B111" i="6" s="1"/>
  <c r="A111" i="3"/>
  <c r="A111" i="4" s="1"/>
  <c r="U111" i="4" s="1"/>
  <c r="J111" i="6" s="1"/>
  <c r="S110" i="3"/>
  <c r="R110" i="3"/>
  <c r="Q110" i="3"/>
  <c r="P110" i="3"/>
  <c r="O110" i="3"/>
  <c r="Q110" i="4" s="1"/>
  <c r="F110" i="6" s="1"/>
  <c r="N110" i="3"/>
  <c r="P110" i="4" s="1"/>
  <c r="D110" i="6" s="1"/>
  <c r="M110" i="3"/>
  <c r="L110" i="3"/>
  <c r="K110" i="3"/>
  <c r="E110" i="4" s="1"/>
  <c r="J110" i="3"/>
  <c r="D110" i="4" s="1"/>
  <c r="G110" i="6" s="1"/>
  <c r="I110" i="3"/>
  <c r="H110" i="3"/>
  <c r="G110" i="3"/>
  <c r="F110" i="3"/>
  <c r="E110" i="3"/>
  <c r="C110" i="4" s="1"/>
  <c r="E110" i="6" s="1"/>
  <c r="D110" i="3"/>
  <c r="C110" i="3"/>
  <c r="B110" i="3"/>
  <c r="B110" i="4" s="1"/>
  <c r="B110" i="6" s="1"/>
  <c r="A110" i="3"/>
  <c r="A110" i="4" s="1"/>
  <c r="U110" i="4" s="1"/>
  <c r="J110" i="6" s="1"/>
  <c r="S109" i="3"/>
  <c r="R109" i="3"/>
  <c r="Q109" i="3"/>
  <c r="P109" i="3"/>
  <c r="O109" i="3"/>
  <c r="Q109" i="4" s="1"/>
  <c r="F109" i="6" s="1"/>
  <c r="N109" i="3"/>
  <c r="P109" i="4" s="1"/>
  <c r="D109" i="6" s="1"/>
  <c r="M109" i="3"/>
  <c r="L109" i="3"/>
  <c r="K109" i="3"/>
  <c r="E109" i="4" s="1"/>
  <c r="J109" i="3"/>
  <c r="D109" i="4" s="1"/>
  <c r="G109" i="6" s="1"/>
  <c r="I109" i="3"/>
  <c r="H109" i="3"/>
  <c r="G109" i="3"/>
  <c r="F109" i="3"/>
  <c r="E109" i="3"/>
  <c r="C109" i="4" s="1"/>
  <c r="E109" i="6" s="1"/>
  <c r="D109" i="3"/>
  <c r="C109" i="3"/>
  <c r="B109" i="3"/>
  <c r="B109" i="4" s="1"/>
  <c r="B109" i="6" s="1"/>
  <c r="A109" i="3"/>
  <c r="A109" i="4" s="1"/>
  <c r="U109" i="4" s="1"/>
  <c r="J109" i="6" s="1"/>
  <c r="S108" i="3"/>
  <c r="R108" i="3"/>
  <c r="Q108" i="3"/>
  <c r="P108" i="3"/>
  <c r="O108" i="3"/>
  <c r="Q108" i="4" s="1"/>
  <c r="F108" i="6" s="1"/>
  <c r="N108" i="3"/>
  <c r="P108" i="4" s="1"/>
  <c r="D108" i="6" s="1"/>
  <c r="M108" i="3"/>
  <c r="L108" i="3"/>
  <c r="K108" i="3"/>
  <c r="E108" i="4" s="1"/>
  <c r="J108" i="3"/>
  <c r="D108" i="4" s="1"/>
  <c r="G108" i="6" s="1"/>
  <c r="I108" i="3"/>
  <c r="H108" i="3"/>
  <c r="G108" i="3"/>
  <c r="F108" i="3"/>
  <c r="E108" i="3"/>
  <c r="C108" i="4" s="1"/>
  <c r="E108" i="6" s="1"/>
  <c r="D108" i="3"/>
  <c r="C108" i="3"/>
  <c r="B108" i="3"/>
  <c r="B108" i="4" s="1"/>
  <c r="B108" i="6" s="1"/>
  <c r="A108" i="3"/>
  <c r="A108" i="4" s="1"/>
  <c r="U108" i="4" s="1"/>
  <c r="J108" i="6" s="1"/>
  <c r="S107" i="3"/>
  <c r="R107" i="3"/>
  <c r="Q107" i="3"/>
  <c r="P107" i="3"/>
  <c r="O107" i="3"/>
  <c r="Q107" i="4" s="1"/>
  <c r="F107" i="6" s="1"/>
  <c r="N107" i="3"/>
  <c r="P107" i="4" s="1"/>
  <c r="D107" i="6" s="1"/>
  <c r="M107" i="3"/>
  <c r="L107" i="3"/>
  <c r="K107" i="3"/>
  <c r="E107" i="4" s="1"/>
  <c r="J107" i="3"/>
  <c r="D107" i="4" s="1"/>
  <c r="G107" i="6" s="1"/>
  <c r="I107" i="3"/>
  <c r="H107" i="3"/>
  <c r="G107" i="3"/>
  <c r="F107" i="3"/>
  <c r="E107" i="3"/>
  <c r="C107" i="4" s="1"/>
  <c r="E107" i="6" s="1"/>
  <c r="D107" i="3"/>
  <c r="C107" i="3"/>
  <c r="B107" i="3"/>
  <c r="B107" i="4" s="1"/>
  <c r="B107" i="6" s="1"/>
  <c r="A107" i="3"/>
  <c r="A107" i="4" s="1"/>
  <c r="U107" i="4" s="1"/>
  <c r="J107" i="6" s="1"/>
  <c r="S106" i="3"/>
  <c r="R106" i="3"/>
  <c r="Q106" i="3"/>
  <c r="P106" i="3"/>
  <c r="O106" i="3"/>
  <c r="Q106" i="4" s="1"/>
  <c r="F106" i="6" s="1"/>
  <c r="N106" i="3"/>
  <c r="P106" i="4" s="1"/>
  <c r="D106" i="6" s="1"/>
  <c r="M106" i="3"/>
  <c r="L106" i="3"/>
  <c r="K106" i="3"/>
  <c r="E106" i="4" s="1"/>
  <c r="J106" i="3"/>
  <c r="D106" i="4" s="1"/>
  <c r="G106" i="6" s="1"/>
  <c r="I106" i="3"/>
  <c r="H106" i="3"/>
  <c r="G106" i="3"/>
  <c r="F106" i="3"/>
  <c r="E106" i="3"/>
  <c r="C106" i="4" s="1"/>
  <c r="E106" i="6" s="1"/>
  <c r="D106" i="3"/>
  <c r="C106" i="3"/>
  <c r="B106" i="3"/>
  <c r="B106" i="4" s="1"/>
  <c r="B106" i="6" s="1"/>
  <c r="A106" i="3"/>
  <c r="A106" i="4" s="1"/>
  <c r="U106" i="4" s="1"/>
  <c r="J106" i="6" s="1"/>
  <c r="S105" i="3"/>
  <c r="R105" i="3"/>
  <c r="Q105" i="3"/>
  <c r="P105" i="3"/>
  <c r="O105" i="3"/>
  <c r="Q105" i="4" s="1"/>
  <c r="F105" i="6" s="1"/>
  <c r="N105" i="3"/>
  <c r="P105" i="4" s="1"/>
  <c r="D105" i="6" s="1"/>
  <c r="M105" i="3"/>
  <c r="L105" i="3"/>
  <c r="K105" i="3"/>
  <c r="E105" i="4" s="1"/>
  <c r="J105" i="3"/>
  <c r="D105" i="4" s="1"/>
  <c r="G105" i="6" s="1"/>
  <c r="I105" i="3"/>
  <c r="H105" i="3"/>
  <c r="G105" i="3"/>
  <c r="F105" i="3"/>
  <c r="E105" i="3"/>
  <c r="C105" i="4" s="1"/>
  <c r="E105" i="6" s="1"/>
  <c r="D105" i="3"/>
  <c r="C105" i="3"/>
  <c r="B105" i="3"/>
  <c r="B105" i="4" s="1"/>
  <c r="B105" i="6" s="1"/>
  <c r="A105" i="3"/>
  <c r="A105" i="4" s="1"/>
  <c r="U105" i="4" s="1"/>
  <c r="J105" i="6" s="1"/>
  <c r="S104" i="3"/>
  <c r="R104" i="3"/>
  <c r="Q104" i="3"/>
  <c r="P104" i="3"/>
  <c r="O104" i="3"/>
  <c r="Q104" i="4" s="1"/>
  <c r="F104" i="6" s="1"/>
  <c r="N104" i="3"/>
  <c r="P104" i="4" s="1"/>
  <c r="D104" i="6" s="1"/>
  <c r="M104" i="3"/>
  <c r="L104" i="3"/>
  <c r="K104" i="3"/>
  <c r="E104" i="4" s="1"/>
  <c r="J104" i="3"/>
  <c r="D104" i="4" s="1"/>
  <c r="G104" i="6" s="1"/>
  <c r="I104" i="3"/>
  <c r="H104" i="3"/>
  <c r="G104" i="3"/>
  <c r="F104" i="3"/>
  <c r="E104" i="3"/>
  <c r="C104" i="4" s="1"/>
  <c r="E104" i="6" s="1"/>
  <c r="D104" i="3"/>
  <c r="C104" i="3"/>
  <c r="B104" i="3"/>
  <c r="B104" i="4" s="1"/>
  <c r="B104" i="6" s="1"/>
  <c r="A104" i="3"/>
  <c r="A104" i="4" s="1"/>
  <c r="U104" i="4" s="1"/>
  <c r="J104" i="6" s="1"/>
  <c r="S103" i="3"/>
  <c r="R103" i="3"/>
  <c r="Q103" i="3"/>
  <c r="P103" i="3"/>
  <c r="O103" i="3"/>
  <c r="Q103" i="4" s="1"/>
  <c r="F103" i="6" s="1"/>
  <c r="N103" i="3"/>
  <c r="P103" i="4" s="1"/>
  <c r="D103" i="6" s="1"/>
  <c r="M103" i="3"/>
  <c r="L103" i="3"/>
  <c r="K103" i="3"/>
  <c r="E103" i="4" s="1"/>
  <c r="J103" i="3"/>
  <c r="D103" i="4" s="1"/>
  <c r="G103" i="6" s="1"/>
  <c r="I103" i="3"/>
  <c r="H103" i="3"/>
  <c r="G103" i="3"/>
  <c r="F103" i="3"/>
  <c r="E103" i="3"/>
  <c r="C103" i="4" s="1"/>
  <c r="E103" i="6" s="1"/>
  <c r="D103" i="3"/>
  <c r="C103" i="3"/>
  <c r="B103" i="3"/>
  <c r="B103" i="4" s="1"/>
  <c r="B103" i="6" s="1"/>
  <c r="A103" i="3"/>
  <c r="A103" i="4" s="1"/>
  <c r="U103" i="4" s="1"/>
  <c r="J103" i="6" s="1"/>
  <c r="S102" i="3"/>
  <c r="R102" i="3"/>
  <c r="Q102" i="3"/>
  <c r="P102" i="3"/>
  <c r="O102" i="3"/>
  <c r="Q102" i="4" s="1"/>
  <c r="F102" i="6" s="1"/>
  <c r="N102" i="3"/>
  <c r="P102" i="4" s="1"/>
  <c r="D102" i="6" s="1"/>
  <c r="M102" i="3"/>
  <c r="L102" i="3"/>
  <c r="K102" i="3"/>
  <c r="E102" i="4" s="1"/>
  <c r="J102" i="3"/>
  <c r="D102" i="4" s="1"/>
  <c r="G102" i="6" s="1"/>
  <c r="I102" i="3"/>
  <c r="H102" i="3"/>
  <c r="G102" i="3"/>
  <c r="F102" i="3"/>
  <c r="E102" i="3"/>
  <c r="C102" i="4" s="1"/>
  <c r="E102" i="6" s="1"/>
  <c r="D102" i="3"/>
  <c r="C102" i="3"/>
  <c r="B102" i="3"/>
  <c r="B102" i="4" s="1"/>
  <c r="B102" i="6" s="1"/>
  <c r="A102" i="3"/>
  <c r="A102" i="4" s="1"/>
  <c r="U102" i="4" s="1"/>
  <c r="J102" i="6" s="1"/>
  <c r="S101" i="3"/>
  <c r="R101" i="3"/>
  <c r="Q101" i="3"/>
  <c r="P101" i="3"/>
  <c r="O101" i="3"/>
  <c r="Q101" i="4" s="1"/>
  <c r="F101" i="6" s="1"/>
  <c r="N101" i="3"/>
  <c r="P101" i="4" s="1"/>
  <c r="D101" i="6" s="1"/>
  <c r="M101" i="3"/>
  <c r="L101" i="3"/>
  <c r="K101" i="3"/>
  <c r="E101" i="4" s="1"/>
  <c r="J101" i="3"/>
  <c r="D101" i="4" s="1"/>
  <c r="G101" i="6" s="1"/>
  <c r="I101" i="3"/>
  <c r="H101" i="3"/>
  <c r="G101" i="3"/>
  <c r="F101" i="3"/>
  <c r="E101" i="3"/>
  <c r="C101" i="4" s="1"/>
  <c r="E101" i="6" s="1"/>
  <c r="D101" i="3"/>
  <c r="C101" i="3"/>
  <c r="B101" i="3"/>
  <c r="B101" i="4" s="1"/>
  <c r="B101" i="6" s="1"/>
  <c r="A101" i="3"/>
  <c r="A101" i="4" s="1"/>
  <c r="U101" i="4" s="1"/>
  <c r="J101" i="6" s="1"/>
  <c r="S100" i="3"/>
  <c r="R100" i="3"/>
  <c r="Q100" i="3"/>
  <c r="P100" i="3"/>
  <c r="O100" i="3"/>
  <c r="Q100" i="4" s="1"/>
  <c r="F100" i="6" s="1"/>
  <c r="N100" i="3"/>
  <c r="P100" i="4" s="1"/>
  <c r="D100" i="6" s="1"/>
  <c r="M100" i="3"/>
  <c r="L100" i="3"/>
  <c r="K100" i="3"/>
  <c r="E100" i="4" s="1"/>
  <c r="J100" i="3"/>
  <c r="D100" i="4" s="1"/>
  <c r="G100" i="6" s="1"/>
  <c r="I100" i="3"/>
  <c r="H100" i="3"/>
  <c r="G100" i="3"/>
  <c r="F100" i="3"/>
  <c r="E100" i="3"/>
  <c r="C100" i="4" s="1"/>
  <c r="E100" i="6" s="1"/>
  <c r="D100" i="3"/>
  <c r="C100" i="3"/>
  <c r="B100" i="3"/>
  <c r="B100" i="4" s="1"/>
  <c r="B100" i="6" s="1"/>
  <c r="A100" i="3"/>
  <c r="A100" i="4" s="1"/>
  <c r="U100" i="4" s="1"/>
  <c r="J100" i="6" s="1"/>
  <c r="S99" i="3"/>
  <c r="R99" i="3"/>
  <c r="Q99" i="3"/>
  <c r="P99" i="3"/>
  <c r="O99" i="3"/>
  <c r="Q99" i="4" s="1"/>
  <c r="F99" i="6" s="1"/>
  <c r="N99" i="3"/>
  <c r="P99" i="4" s="1"/>
  <c r="D99" i="6" s="1"/>
  <c r="M99" i="3"/>
  <c r="L99" i="3"/>
  <c r="K99" i="3"/>
  <c r="E99" i="4" s="1"/>
  <c r="J99" i="3"/>
  <c r="D99" i="4" s="1"/>
  <c r="G99" i="6" s="1"/>
  <c r="I99" i="3"/>
  <c r="H99" i="3"/>
  <c r="G99" i="3"/>
  <c r="F99" i="3"/>
  <c r="E99" i="3"/>
  <c r="C99" i="4" s="1"/>
  <c r="E99" i="6" s="1"/>
  <c r="D99" i="3"/>
  <c r="C99" i="3"/>
  <c r="B99" i="3"/>
  <c r="B99" i="4" s="1"/>
  <c r="B99" i="6" s="1"/>
  <c r="A99" i="3"/>
  <c r="A99" i="4" s="1"/>
  <c r="U99" i="4" s="1"/>
  <c r="J99" i="6" s="1"/>
  <c r="S98" i="3"/>
  <c r="R98" i="3"/>
  <c r="Q98" i="3"/>
  <c r="P98" i="3"/>
  <c r="O98" i="3"/>
  <c r="Q98" i="4" s="1"/>
  <c r="F98" i="6" s="1"/>
  <c r="N98" i="3"/>
  <c r="P98" i="4" s="1"/>
  <c r="D98" i="6" s="1"/>
  <c r="M98" i="3"/>
  <c r="L98" i="3"/>
  <c r="K98" i="3"/>
  <c r="E98" i="4" s="1"/>
  <c r="J98" i="3"/>
  <c r="D98" i="4" s="1"/>
  <c r="G98" i="6" s="1"/>
  <c r="I98" i="3"/>
  <c r="H98" i="3"/>
  <c r="G98" i="3"/>
  <c r="F98" i="3"/>
  <c r="E98" i="3"/>
  <c r="C98" i="4" s="1"/>
  <c r="E98" i="6" s="1"/>
  <c r="D98" i="3"/>
  <c r="C98" i="3"/>
  <c r="B98" i="3"/>
  <c r="B98" i="4" s="1"/>
  <c r="B98" i="6" s="1"/>
  <c r="A98" i="3"/>
  <c r="A98" i="4" s="1"/>
  <c r="U98" i="4" s="1"/>
  <c r="J98" i="6" s="1"/>
  <c r="S97" i="3"/>
  <c r="R97" i="3"/>
  <c r="Q97" i="3"/>
  <c r="P97" i="3"/>
  <c r="O97" i="3"/>
  <c r="Q97" i="4" s="1"/>
  <c r="F97" i="6" s="1"/>
  <c r="N97" i="3"/>
  <c r="P97" i="4" s="1"/>
  <c r="D97" i="6" s="1"/>
  <c r="M97" i="3"/>
  <c r="L97" i="3"/>
  <c r="K97" i="3"/>
  <c r="E97" i="4" s="1"/>
  <c r="J97" i="3"/>
  <c r="D97" i="4" s="1"/>
  <c r="G97" i="6" s="1"/>
  <c r="I97" i="3"/>
  <c r="H97" i="3"/>
  <c r="G97" i="3"/>
  <c r="F97" i="3"/>
  <c r="E97" i="3"/>
  <c r="C97" i="4" s="1"/>
  <c r="E97" i="6" s="1"/>
  <c r="D97" i="3"/>
  <c r="C97" i="3"/>
  <c r="B97" i="3"/>
  <c r="B97" i="4" s="1"/>
  <c r="B97" i="6" s="1"/>
  <c r="A97" i="3"/>
  <c r="A97" i="4" s="1"/>
  <c r="U97" i="4" s="1"/>
  <c r="J97" i="6" s="1"/>
  <c r="S96" i="3"/>
  <c r="R96" i="3"/>
  <c r="Q96" i="3"/>
  <c r="P96" i="3"/>
  <c r="O96" i="3"/>
  <c r="Q96" i="4" s="1"/>
  <c r="F96" i="6" s="1"/>
  <c r="N96" i="3"/>
  <c r="P96" i="4" s="1"/>
  <c r="D96" i="6" s="1"/>
  <c r="M96" i="3"/>
  <c r="L96" i="3"/>
  <c r="K96" i="3"/>
  <c r="E96" i="4" s="1"/>
  <c r="J96" i="3"/>
  <c r="D96" i="4" s="1"/>
  <c r="G96" i="6" s="1"/>
  <c r="I96" i="3"/>
  <c r="H96" i="3"/>
  <c r="G96" i="3"/>
  <c r="F96" i="3"/>
  <c r="E96" i="3"/>
  <c r="C96" i="4" s="1"/>
  <c r="E96" i="6" s="1"/>
  <c r="D96" i="3"/>
  <c r="C96" i="3"/>
  <c r="B96" i="3"/>
  <c r="B96" i="4" s="1"/>
  <c r="B96" i="6" s="1"/>
  <c r="A96" i="3"/>
  <c r="A96" i="4" s="1"/>
  <c r="U96" i="4" s="1"/>
  <c r="J96" i="6" s="1"/>
  <c r="S95" i="3"/>
  <c r="R95" i="3"/>
  <c r="Q95" i="3"/>
  <c r="P95" i="3"/>
  <c r="O95" i="3"/>
  <c r="Q95" i="4" s="1"/>
  <c r="F95" i="6" s="1"/>
  <c r="N95" i="3"/>
  <c r="P95" i="4" s="1"/>
  <c r="D95" i="6" s="1"/>
  <c r="M95" i="3"/>
  <c r="L95" i="3"/>
  <c r="K95" i="3"/>
  <c r="E95" i="4" s="1"/>
  <c r="J95" i="3"/>
  <c r="D95" i="4" s="1"/>
  <c r="G95" i="6" s="1"/>
  <c r="I95" i="3"/>
  <c r="H95" i="3"/>
  <c r="G95" i="3"/>
  <c r="F95" i="3"/>
  <c r="E95" i="3"/>
  <c r="C95" i="4" s="1"/>
  <c r="E95" i="6" s="1"/>
  <c r="D95" i="3"/>
  <c r="C95" i="3"/>
  <c r="B95" i="3"/>
  <c r="B95" i="4" s="1"/>
  <c r="B95" i="6" s="1"/>
  <c r="A95" i="3"/>
  <c r="A95" i="4" s="1"/>
  <c r="U95" i="4" s="1"/>
  <c r="J95" i="6" s="1"/>
  <c r="S94" i="3"/>
  <c r="R94" i="3"/>
  <c r="Q94" i="3"/>
  <c r="P94" i="3"/>
  <c r="O94" i="3"/>
  <c r="Q94" i="4" s="1"/>
  <c r="F94" i="6" s="1"/>
  <c r="N94" i="3"/>
  <c r="P94" i="4" s="1"/>
  <c r="D94" i="6" s="1"/>
  <c r="M94" i="3"/>
  <c r="L94" i="3"/>
  <c r="K94" i="3"/>
  <c r="E94" i="4" s="1"/>
  <c r="J94" i="3"/>
  <c r="D94" i="4" s="1"/>
  <c r="G94" i="6" s="1"/>
  <c r="I94" i="3"/>
  <c r="H94" i="3"/>
  <c r="G94" i="3"/>
  <c r="F94" i="3"/>
  <c r="E94" i="3"/>
  <c r="C94" i="4" s="1"/>
  <c r="E94" i="6" s="1"/>
  <c r="D94" i="3"/>
  <c r="C94" i="3"/>
  <c r="B94" i="3"/>
  <c r="B94" i="4" s="1"/>
  <c r="B94" i="6" s="1"/>
  <c r="A94" i="3"/>
  <c r="A94" i="4" s="1"/>
  <c r="U94" i="4" s="1"/>
  <c r="J94" i="6" s="1"/>
  <c r="S93" i="3"/>
  <c r="R93" i="3"/>
  <c r="Q93" i="3"/>
  <c r="P93" i="3"/>
  <c r="O93" i="3"/>
  <c r="Q93" i="4" s="1"/>
  <c r="F93" i="6" s="1"/>
  <c r="N93" i="3"/>
  <c r="P93" i="4" s="1"/>
  <c r="D93" i="6" s="1"/>
  <c r="M93" i="3"/>
  <c r="L93" i="3"/>
  <c r="K93" i="3"/>
  <c r="E93" i="4" s="1"/>
  <c r="J93" i="3"/>
  <c r="D93" i="4" s="1"/>
  <c r="G93" i="6" s="1"/>
  <c r="I93" i="3"/>
  <c r="H93" i="3"/>
  <c r="G93" i="3"/>
  <c r="F93" i="3"/>
  <c r="E93" i="3"/>
  <c r="C93" i="4" s="1"/>
  <c r="E93" i="6" s="1"/>
  <c r="D93" i="3"/>
  <c r="C93" i="3"/>
  <c r="B93" i="3"/>
  <c r="B93" i="4" s="1"/>
  <c r="B93" i="6" s="1"/>
  <c r="A93" i="3"/>
  <c r="A93" i="4" s="1"/>
  <c r="U93" i="4" s="1"/>
  <c r="J93" i="6" s="1"/>
  <c r="S92" i="3"/>
  <c r="R92" i="3"/>
  <c r="Q92" i="3"/>
  <c r="P92" i="3"/>
  <c r="O92" i="3"/>
  <c r="Q92" i="4" s="1"/>
  <c r="F92" i="6" s="1"/>
  <c r="N92" i="3"/>
  <c r="P92" i="4" s="1"/>
  <c r="D92" i="6" s="1"/>
  <c r="M92" i="3"/>
  <c r="L92" i="3"/>
  <c r="K92" i="3"/>
  <c r="E92" i="4" s="1"/>
  <c r="J92" i="3"/>
  <c r="D92" i="4" s="1"/>
  <c r="G92" i="6" s="1"/>
  <c r="I92" i="3"/>
  <c r="H92" i="3"/>
  <c r="G92" i="3"/>
  <c r="F92" i="3"/>
  <c r="E92" i="3"/>
  <c r="C92" i="4" s="1"/>
  <c r="E92" i="6" s="1"/>
  <c r="D92" i="3"/>
  <c r="C92" i="3"/>
  <c r="B92" i="3"/>
  <c r="B92" i="4" s="1"/>
  <c r="B92" i="6" s="1"/>
  <c r="A92" i="3"/>
  <c r="A92" i="4" s="1"/>
  <c r="U92" i="4" s="1"/>
  <c r="J92" i="6" s="1"/>
  <c r="S91" i="3"/>
  <c r="R91" i="3"/>
  <c r="Q91" i="3"/>
  <c r="P91" i="3"/>
  <c r="O91" i="3"/>
  <c r="Q91" i="4" s="1"/>
  <c r="F91" i="6" s="1"/>
  <c r="N91" i="3"/>
  <c r="P91" i="4" s="1"/>
  <c r="D91" i="6" s="1"/>
  <c r="M91" i="3"/>
  <c r="L91" i="3"/>
  <c r="K91" i="3"/>
  <c r="E91" i="4" s="1"/>
  <c r="J91" i="3"/>
  <c r="D91" i="4" s="1"/>
  <c r="G91" i="6" s="1"/>
  <c r="I91" i="3"/>
  <c r="H91" i="3"/>
  <c r="G91" i="3"/>
  <c r="F91" i="3"/>
  <c r="E91" i="3"/>
  <c r="C91" i="4" s="1"/>
  <c r="E91" i="6" s="1"/>
  <c r="D91" i="3"/>
  <c r="C91" i="3"/>
  <c r="B91" i="3"/>
  <c r="B91" i="4" s="1"/>
  <c r="B91" i="6" s="1"/>
  <c r="A91" i="3"/>
  <c r="A91" i="4" s="1"/>
  <c r="U91" i="4" s="1"/>
  <c r="J91" i="6" s="1"/>
  <c r="S90" i="3"/>
  <c r="R90" i="3"/>
  <c r="Q90" i="3"/>
  <c r="P90" i="3"/>
  <c r="O90" i="3"/>
  <c r="Q90" i="4" s="1"/>
  <c r="F90" i="6" s="1"/>
  <c r="N90" i="3"/>
  <c r="P90" i="4" s="1"/>
  <c r="D90" i="6" s="1"/>
  <c r="M90" i="3"/>
  <c r="L90" i="3"/>
  <c r="K90" i="3"/>
  <c r="E90" i="4" s="1"/>
  <c r="J90" i="3"/>
  <c r="D90" i="4" s="1"/>
  <c r="G90" i="6" s="1"/>
  <c r="I90" i="3"/>
  <c r="H90" i="3"/>
  <c r="G90" i="3"/>
  <c r="F90" i="3"/>
  <c r="E90" i="3"/>
  <c r="C90" i="4" s="1"/>
  <c r="E90" i="6" s="1"/>
  <c r="D90" i="3"/>
  <c r="C90" i="3"/>
  <c r="B90" i="3"/>
  <c r="B90" i="4" s="1"/>
  <c r="B90" i="6" s="1"/>
  <c r="A90" i="3"/>
  <c r="A90" i="4" s="1"/>
  <c r="U90" i="4" s="1"/>
  <c r="J90" i="6" s="1"/>
  <c r="S89" i="3"/>
  <c r="R89" i="3"/>
  <c r="Q89" i="3"/>
  <c r="P89" i="3"/>
  <c r="O89" i="3"/>
  <c r="Q89" i="4" s="1"/>
  <c r="F89" i="6" s="1"/>
  <c r="N89" i="3"/>
  <c r="P89" i="4" s="1"/>
  <c r="D89" i="6" s="1"/>
  <c r="M89" i="3"/>
  <c r="L89" i="3"/>
  <c r="K89" i="3"/>
  <c r="E89" i="4" s="1"/>
  <c r="J89" i="3"/>
  <c r="D89" i="4" s="1"/>
  <c r="G89" i="6" s="1"/>
  <c r="I89" i="3"/>
  <c r="H89" i="3"/>
  <c r="G89" i="3"/>
  <c r="F89" i="3"/>
  <c r="E89" i="3"/>
  <c r="C89" i="4" s="1"/>
  <c r="E89" i="6" s="1"/>
  <c r="D89" i="3"/>
  <c r="C89" i="3"/>
  <c r="B89" i="3"/>
  <c r="B89" i="4" s="1"/>
  <c r="B89" i="6" s="1"/>
  <c r="A89" i="3"/>
  <c r="A89" i="4" s="1"/>
  <c r="U89" i="4" s="1"/>
  <c r="J89" i="6" s="1"/>
  <c r="S88" i="3"/>
  <c r="R88" i="3"/>
  <c r="Q88" i="3"/>
  <c r="P88" i="3"/>
  <c r="O88" i="3"/>
  <c r="Q88" i="4" s="1"/>
  <c r="F88" i="6" s="1"/>
  <c r="N88" i="3"/>
  <c r="P88" i="4" s="1"/>
  <c r="D88" i="6" s="1"/>
  <c r="M88" i="3"/>
  <c r="L88" i="3"/>
  <c r="K88" i="3"/>
  <c r="E88" i="4" s="1"/>
  <c r="J88" i="3"/>
  <c r="D88" i="4" s="1"/>
  <c r="G88" i="6" s="1"/>
  <c r="I88" i="3"/>
  <c r="H88" i="3"/>
  <c r="G88" i="3"/>
  <c r="F88" i="3"/>
  <c r="E88" i="3"/>
  <c r="C88" i="4" s="1"/>
  <c r="E88" i="6" s="1"/>
  <c r="D88" i="3"/>
  <c r="C88" i="3"/>
  <c r="B88" i="3"/>
  <c r="B88" i="4" s="1"/>
  <c r="B88" i="6" s="1"/>
  <c r="A88" i="3"/>
  <c r="A88" i="4" s="1"/>
  <c r="U88" i="4" s="1"/>
  <c r="J88" i="6" s="1"/>
  <c r="S87" i="3"/>
  <c r="R87" i="3"/>
  <c r="Q87" i="3"/>
  <c r="P87" i="3"/>
  <c r="O87" i="3"/>
  <c r="Q87" i="4" s="1"/>
  <c r="F87" i="6" s="1"/>
  <c r="N87" i="3"/>
  <c r="P87" i="4" s="1"/>
  <c r="D87" i="6" s="1"/>
  <c r="M87" i="3"/>
  <c r="L87" i="3"/>
  <c r="K87" i="3"/>
  <c r="E87" i="4" s="1"/>
  <c r="J87" i="3"/>
  <c r="D87" i="4" s="1"/>
  <c r="G87" i="6" s="1"/>
  <c r="I87" i="3"/>
  <c r="H87" i="3"/>
  <c r="G87" i="3"/>
  <c r="F87" i="3"/>
  <c r="E87" i="3"/>
  <c r="C87" i="4" s="1"/>
  <c r="E87" i="6" s="1"/>
  <c r="D87" i="3"/>
  <c r="C87" i="3"/>
  <c r="B87" i="3"/>
  <c r="B87" i="4" s="1"/>
  <c r="B87" i="6" s="1"/>
  <c r="A87" i="3"/>
  <c r="A87" i="4" s="1"/>
  <c r="U87" i="4" s="1"/>
  <c r="J87" i="6" s="1"/>
  <c r="S86" i="3"/>
  <c r="R86" i="3"/>
  <c r="Q86" i="3"/>
  <c r="P86" i="3"/>
  <c r="O86" i="3"/>
  <c r="Q86" i="4" s="1"/>
  <c r="F86" i="6" s="1"/>
  <c r="N86" i="3"/>
  <c r="P86" i="4" s="1"/>
  <c r="D86" i="6" s="1"/>
  <c r="M86" i="3"/>
  <c r="L86" i="3"/>
  <c r="K86" i="3"/>
  <c r="E86" i="4" s="1"/>
  <c r="J86" i="3"/>
  <c r="D86" i="4" s="1"/>
  <c r="G86" i="6" s="1"/>
  <c r="I86" i="3"/>
  <c r="H86" i="3"/>
  <c r="G86" i="3"/>
  <c r="F86" i="3"/>
  <c r="E86" i="3"/>
  <c r="C86" i="4" s="1"/>
  <c r="E86" i="6" s="1"/>
  <c r="D86" i="3"/>
  <c r="C86" i="3"/>
  <c r="B86" i="3"/>
  <c r="B86" i="4" s="1"/>
  <c r="B86" i="6" s="1"/>
  <c r="A86" i="3"/>
  <c r="A86" i="4" s="1"/>
  <c r="U86" i="4" s="1"/>
  <c r="J86" i="6" s="1"/>
  <c r="S85" i="3"/>
  <c r="R85" i="3"/>
  <c r="Q85" i="3"/>
  <c r="P85" i="3"/>
  <c r="O85" i="3"/>
  <c r="Q85" i="4" s="1"/>
  <c r="F85" i="6" s="1"/>
  <c r="N85" i="3"/>
  <c r="P85" i="4" s="1"/>
  <c r="D85" i="6" s="1"/>
  <c r="M85" i="3"/>
  <c r="L85" i="3"/>
  <c r="K85" i="3"/>
  <c r="E85" i="4" s="1"/>
  <c r="J85" i="3"/>
  <c r="D85" i="4" s="1"/>
  <c r="G85" i="6" s="1"/>
  <c r="I85" i="3"/>
  <c r="H85" i="3"/>
  <c r="G85" i="3"/>
  <c r="F85" i="3"/>
  <c r="E85" i="3"/>
  <c r="C85" i="4" s="1"/>
  <c r="E85" i="6" s="1"/>
  <c r="D85" i="3"/>
  <c r="C85" i="3"/>
  <c r="B85" i="3"/>
  <c r="B85" i="4" s="1"/>
  <c r="B85" i="6" s="1"/>
  <c r="A85" i="3"/>
  <c r="A85" i="4" s="1"/>
  <c r="U85" i="4" s="1"/>
  <c r="J85" i="6" s="1"/>
  <c r="S84" i="3"/>
  <c r="R84" i="3"/>
  <c r="Q84" i="3"/>
  <c r="P84" i="3"/>
  <c r="O84" i="3"/>
  <c r="Q84" i="4" s="1"/>
  <c r="F84" i="6" s="1"/>
  <c r="N84" i="3"/>
  <c r="P84" i="4" s="1"/>
  <c r="D84" i="6" s="1"/>
  <c r="M84" i="3"/>
  <c r="L84" i="3"/>
  <c r="K84" i="3"/>
  <c r="E84" i="4" s="1"/>
  <c r="J84" i="3"/>
  <c r="D84" i="4" s="1"/>
  <c r="G84" i="6" s="1"/>
  <c r="I84" i="3"/>
  <c r="H84" i="3"/>
  <c r="G84" i="3"/>
  <c r="F84" i="3"/>
  <c r="E84" i="3"/>
  <c r="C84" i="4" s="1"/>
  <c r="E84" i="6" s="1"/>
  <c r="D84" i="3"/>
  <c r="C84" i="3"/>
  <c r="B84" i="3"/>
  <c r="B84" i="4" s="1"/>
  <c r="B84" i="6" s="1"/>
  <c r="A84" i="3"/>
  <c r="A84" i="4" s="1"/>
  <c r="U84" i="4" s="1"/>
  <c r="J84" i="6" s="1"/>
  <c r="S83" i="3"/>
  <c r="R83" i="3"/>
  <c r="Q83" i="3"/>
  <c r="P83" i="3"/>
  <c r="O83" i="3"/>
  <c r="Q83" i="4" s="1"/>
  <c r="F83" i="6" s="1"/>
  <c r="N83" i="3"/>
  <c r="P83" i="4" s="1"/>
  <c r="D83" i="6" s="1"/>
  <c r="M83" i="3"/>
  <c r="L83" i="3"/>
  <c r="K83" i="3"/>
  <c r="E83" i="4" s="1"/>
  <c r="H83" i="6" s="1"/>
  <c r="J83" i="3"/>
  <c r="D83" i="4" s="1"/>
  <c r="G83" i="6" s="1"/>
  <c r="I83" i="3"/>
  <c r="H83" i="3"/>
  <c r="G83" i="3"/>
  <c r="F83" i="3"/>
  <c r="E83" i="3"/>
  <c r="C83" i="4" s="1"/>
  <c r="E83" i="6" s="1"/>
  <c r="D83" i="3"/>
  <c r="C83" i="3"/>
  <c r="B83" i="3"/>
  <c r="B83" i="4" s="1"/>
  <c r="B83" i="6" s="1"/>
  <c r="A83" i="3"/>
  <c r="A83" i="4" s="1"/>
  <c r="U83" i="4" s="1"/>
  <c r="J83" i="6" s="1"/>
  <c r="S82" i="3"/>
  <c r="R82" i="3"/>
  <c r="Q82" i="3"/>
  <c r="P82" i="3"/>
  <c r="O82" i="3"/>
  <c r="Q82" i="4" s="1"/>
  <c r="F82" i="6" s="1"/>
  <c r="N82" i="3"/>
  <c r="P82" i="4" s="1"/>
  <c r="D82" i="6" s="1"/>
  <c r="M82" i="3"/>
  <c r="L82" i="3"/>
  <c r="K82" i="3"/>
  <c r="E82" i="4" s="1"/>
  <c r="J82" i="3"/>
  <c r="D82" i="4" s="1"/>
  <c r="G82" i="6" s="1"/>
  <c r="I82" i="3"/>
  <c r="H82" i="3"/>
  <c r="G82" i="3"/>
  <c r="F82" i="3"/>
  <c r="E82" i="3"/>
  <c r="C82" i="4" s="1"/>
  <c r="E82" i="6" s="1"/>
  <c r="D82" i="3"/>
  <c r="C82" i="3"/>
  <c r="B82" i="3"/>
  <c r="B82" i="4" s="1"/>
  <c r="B82" i="6" s="1"/>
  <c r="A82" i="3"/>
  <c r="A82" i="4" s="1"/>
  <c r="U82" i="4" s="1"/>
  <c r="J82" i="6" s="1"/>
  <c r="S81" i="3"/>
  <c r="R81" i="3"/>
  <c r="Q81" i="3"/>
  <c r="P81" i="3"/>
  <c r="O81" i="3"/>
  <c r="Q81" i="4" s="1"/>
  <c r="F81" i="6" s="1"/>
  <c r="N81" i="3"/>
  <c r="P81" i="4" s="1"/>
  <c r="D81" i="6" s="1"/>
  <c r="M81" i="3"/>
  <c r="L81" i="3"/>
  <c r="K81" i="3"/>
  <c r="E81" i="4" s="1"/>
  <c r="J81" i="3"/>
  <c r="D81" i="4" s="1"/>
  <c r="G81" i="6" s="1"/>
  <c r="I81" i="3"/>
  <c r="H81" i="3"/>
  <c r="G81" i="3"/>
  <c r="F81" i="3"/>
  <c r="E81" i="3"/>
  <c r="C81" i="4" s="1"/>
  <c r="E81" i="6" s="1"/>
  <c r="D81" i="3"/>
  <c r="C81" i="3"/>
  <c r="B81" i="3"/>
  <c r="B81" i="4" s="1"/>
  <c r="B81" i="6" s="1"/>
  <c r="A81" i="3"/>
  <c r="A81" i="4" s="1"/>
  <c r="U81" i="4" s="1"/>
  <c r="J81" i="6" s="1"/>
  <c r="S80" i="3"/>
  <c r="R80" i="3"/>
  <c r="Q80" i="3"/>
  <c r="P80" i="3"/>
  <c r="O80" i="3"/>
  <c r="Q80" i="4" s="1"/>
  <c r="F80" i="6" s="1"/>
  <c r="N80" i="3"/>
  <c r="P80" i="4" s="1"/>
  <c r="D80" i="6" s="1"/>
  <c r="M80" i="3"/>
  <c r="L80" i="3"/>
  <c r="K80" i="3"/>
  <c r="E80" i="4" s="1"/>
  <c r="J80" i="3"/>
  <c r="D80" i="4" s="1"/>
  <c r="G80" i="6" s="1"/>
  <c r="I80" i="3"/>
  <c r="H80" i="3"/>
  <c r="G80" i="3"/>
  <c r="F80" i="3"/>
  <c r="E80" i="3"/>
  <c r="C80" i="4" s="1"/>
  <c r="E80" i="6" s="1"/>
  <c r="D80" i="3"/>
  <c r="C80" i="3"/>
  <c r="B80" i="3"/>
  <c r="B80" i="4" s="1"/>
  <c r="B80" i="6" s="1"/>
  <c r="A80" i="3"/>
  <c r="A80" i="4" s="1"/>
  <c r="U80" i="4" s="1"/>
  <c r="J80" i="6" s="1"/>
  <c r="S79" i="3"/>
  <c r="R79" i="3"/>
  <c r="Q79" i="3"/>
  <c r="P79" i="3"/>
  <c r="O79" i="3"/>
  <c r="Q79" i="4" s="1"/>
  <c r="F79" i="6" s="1"/>
  <c r="N79" i="3"/>
  <c r="P79" i="4" s="1"/>
  <c r="D79" i="6" s="1"/>
  <c r="M79" i="3"/>
  <c r="L79" i="3"/>
  <c r="K79" i="3"/>
  <c r="E79" i="4" s="1"/>
  <c r="H79" i="6" s="1"/>
  <c r="J79" i="3"/>
  <c r="D79" i="4" s="1"/>
  <c r="G79" i="6" s="1"/>
  <c r="I79" i="3"/>
  <c r="H79" i="3"/>
  <c r="G79" i="3"/>
  <c r="F79" i="3"/>
  <c r="E79" i="3"/>
  <c r="C79" i="4" s="1"/>
  <c r="E79" i="6" s="1"/>
  <c r="D79" i="3"/>
  <c r="C79" i="3"/>
  <c r="B79" i="3"/>
  <c r="B79" i="4" s="1"/>
  <c r="B79" i="6" s="1"/>
  <c r="A79" i="3"/>
  <c r="A79" i="4" s="1"/>
  <c r="U79" i="4" s="1"/>
  <c r="J79" i="6" s="1"/>
  <c r="S78" i="3"/>
  <c r="R78" i="3"/>
  <c r="Q78" i="3"/>
  <c r="P78" i="3"/>
  <c r="O78" i="3"/>
  <c r="Q78" i="4" s="1"/>
  <c r="F78" i="6" s="1"/>
  <c r="N78" i="3"/>
  <c r="P78" i="4" s="1"/>
  <c r="D78" i="6" s="1"/>
  <c r="M78" i="3"/>
  <c r="L78" i="3"/>
  <c r="K78" i="3"/>
  <c r="E78" i="4" s="1"/>
  <c r="H78" i="6" s="1"/>
  <c r="J78" i="3"/>
  <c r="D78" i="4" s="1"/>
  <c r="G78" i="6" s="1"/>
  <c r="I78" i="3"/>
  <c r="H78" i="3"/>
  <c r="G78" i="3"/>
  <c r="F78" i="3"/>
  <c r="E78" i="3"/>
  <c r="C78" i="4" s="1"/>
  <c r="E78" i="6" s="1"/>
  <c r="D78" i="3"/>
  <c r="C78" i="3"/>
  <c r="B78" i="3"/>
  <c r="B78" i="4" s="1"/>
  <c r="B78" i="6" s="1"/>
  <c r="A78" i="3"/>
  <c r="A78" i="4" s="1"/>
  <c r="U78" i="4" s="1"/>
  <c r="J78" i="6" s="1"/>
  <c r="S77" i="3"/>
  <c r="R77" i="3"/>
  <c r="Q77" i="3"/>
  <c r="P77" i="3"/>
  <c r="O77" i="3"/>
  <c r="Q77" i="4" s="1"/>
  <c r="F77" i="6" s="1"/>
  <c r="N77" i="3"/>
  <c r="P77" i="4" s="1"/>
  <c r="D77" i="6" s="1"/>
  <c r="M77" i="3"/>
  <c r="L77" i="3"/>
  <c r="K77" i="3"/>
  <c r="E77" i="4" s="1"/>
  <c r="H77" i="6" s="1"/>
  <c r="J77" i="3"/>
  <c r="D77" i="4" s="1"/>
  <c r="G77" i="6" s="1"/>
  <c r="I77" i="3"/>
  <c r="H77" i="3"/>
  <c r="G77" i="3"/>
  <c r="F77" i="3"/>
  <c r="E77" i="3"/>
  <c r="C77" i="4" s="1"/>
  <c r="E77" i="6" s="1"/>
  <c r="D77" i="3"/>
  <c r="C77" i="3"/>
  <c r="B77" i="3"/>
  <c r="B77" i="4" s="1"/>
  <c r="B77" i="6" s="1"/>
  <c r="A77" i="3"/>
  <c r="A77" i="4" s="1"/>
  <c r="U77" i="4" s="1"/>
  <c r="J77" i="6" s="1"/>
  <c r="S76" i="3"/>
  <c r="R76" i="3"/>
  <c r="Q76" i="3"/>
  <c r="P76" i="3"/>
  <c r="O76" i="3"/>
  <c r="Q76" i="4" s="1"/>
  <c r="F76" i="6" s="1"/>
  <c r="N76" i="3"/>
  <c r="P76" i="4" s="1"/>
  <c r="D76" i="6" s="1"/>
  <c r="M76" i="3"/>
  <c r="L76" i="3"/>
  <c r="K76" i="3"/>
  <c r="E76" i="4" s="1"/>
  <c r="J76" i="3"/>
  <c r="D76" i="4" s="1"/>
  <c r="G76" i="6" s="1"/>
  <c r="I76" i="3"/>
  <c r="H76" i="3"/>
  <c r="G76" i="3"/>
  <c r="F76" i="3"/>
  <c r="E76" i="3"/>
  <c r="C76" i="4" s="1"/>
  <c r="E76" i="6" s="1"/>
  <c r="D76" i="3"/>
  <c r="C76" i="3"/>
  <c r="B76" i="3"/>
  <c r="B76" i="4" s="1"/>
  <c r="B76" i="6" s="1"/>
  <c r="A76" i="3"/>
  <c r="A76" i="4" s="1"/>
  <c r="U76" i="4" s="1"/>
  <c r="J76" i="6" s="1"/>
  <c r="S75" i="3"/>
  <c r="R75" i="3"/>
  <c r="Q75" i="3"/>
  <c r="P75" i="3"/>
  <c r="O75" i="3"/>
  <c r="Q75" i="4" s="1"/>
  <c r="F75" i="6" s="1"/>
  <c r="N75" i="3"/>
  <c r="P75" i="4" s="1"/>
  <c r="D75" i="6" s="1"/>
  <c r="M75" i="3"/>
  <c r="L75" i="3"/>
  <c r="K75" i="3"/>
  <c r="E75" i="4" s="1"/>
  <c r="H75" i="6" s="1"/>
  <c r="J75" i="3"/>
  <c r="D75" i="4" s="1"/>
  <c r="G75" i="6" s="1"/>
  <c r="I75" i="3"/>
  <c r="H75" i="3"/>
  <c r="G75" i="3"/>
  <c r="F75" i="3"/>
  <c r="E75" i="3"/>
  <c r="C75" i="4" s="1"/>
  <c r="E75" i="6" s="1"/>
  <c r="D75" i="3"/>
  <c r="C75" i="3"/>
  <c r="B75" i="3"/>
  <c r="B75" i="4" s="1"/>
  <c r="B75" i="6" s="1"/>
  <c r="A75" i="3"/>
  <c r="A75" i="4" s="1"/>
  <c r="U75" i="4" s="1"/>
  <c r="J75" i="6" s="1"/>
  <c r="S74" i="3"/>
  <c r="R74" i="3"/>
  <c r="Q74" i="3"/>
  <c r="P74" i="3"/>
  <c r="O74" i="3"/>
  <c r="Q74" i="4" s="1"/>
  <c r="F74" i="6" s="1"/>
  <c r="N74" i="3"/>
  <c r="P74" i="4" s="1"/>
  <c r="D74" i="6" s="1"/>
  <c r="M74" i="3"/>
  <c r="L74" i="3"/>
  <c r="K74" i="3"/>
  <c r="E74" i="4" s="1"/>
  <c r="H74" i="6" s="1"/>
  <c r="J74" i="3"/>
  <c r="D74" i="4" s="1"/>
  <c r="G74" i="6" s="1"/>
  <c r="I74" i="3"/>
  <c r="H74" i="3"/>
  <c r="G74" i="3"/>
  <c r="F74" i="3"/>
  <c r="E74" i="3"/>
  <c r="C74" i="4" s="1"/>
  <c r="E74" i="6" s="1"/>
  <c r="D74" i="3"/>
  <c r="C74" i="3"/>
  <c r="B74" i="3"/>
  <c r="B74" i="4" s="1"/>
  <c r="B74" i="6" s="1"/>
  <c r="A74" i="3"/>
  <c r="A74" i="4" s="1"/>
  <c r="U74" i="4" s="1"/>
  <c r="J74" i="6" s="1"/>
  <c r="S73" i="3"/>
  <c r="R73" i="3"/>
  <c r="Q73" i="3"/>
  <c r="P73" i="3"/>
  <c r="O73" i="3"/>
  <c r="Q73" i="4" s="1"/>
  <c r="F73" i="6" s="1"/>
  <c r="N73" i="3"/>
  <c r="P73" i="4" s="1"/>
  <c r="D73" i="6" s="1"/>
  <c r="M73" i="3"/>
  <c r="L73" i="3"/>
  <c r="K73" i="3"/>
  <c r="E73" i="4" s="1"/>
  <c r="J73" i="3"/>
  <c r="D73" i="4" s="1"/>
  <c r="G73" i="6" s="1"/>
  <c r="I73" i="3"/>
  <c r="H73" i="3"/>
  <c r="G73" i="3"/>
  <c r="F73" i="3"/>
  <c r="E73" i="3"/>
  <c r="C73" i="4" s="1"/>
  <c r="E73" i="6" s="1"/>
  <c r="D73" i="3"/>
  <c r="C73" i="3"/>
  <c r="B73" i="3"/>
  <c r="B73" i="4" s="1"/>
  <c r="B73" i="6" s="1"/>
  <c r="A73" i="3"/>
  <c r="A73" i="4" s="1"/>
  <c r="U73" i="4" s="1"/>
  <c r="J73" i="6" s="1"/>
  <c r="S72" i="3"/>
  <c r="R72" i="3"/>
  <c r="Q72" i="3"/>
  <c r="P72" i="3"/>
  <c r="O72" i="3"/>
  <c r="Q72" i="4" s="1"/>
  <c r="F72" i="6" s="1"/>
  <c r="N72" i="3"/>
  <c r="P72" i="4" s="1"/>
  <c r="D72" i="6" s="1"/>
  <c r="M72" i="3"/>
  <c r="L72" i="3"/>
  <c r="K72" i="3"/>
  <c r="E72" i="4" s="1"/>
  <c r="J72" i="3"/>
  <c r="D72" i="4" s="1"/>
  <c r="G72" i="6" s="1"/>
  <c r="I72" i="3"/>
  <c r="H72" i="3"/>
  <c r="G72" i="3"/>
  <c r="F72" i="3"/>
  <c r="E72" i="3"/>
  <c r="C72" i="4" s="1"/>
  <c r="E72" i="6" s="1"/>
  <c r="D72" i="3"/>
  <c r="C72" i="3"/>
  <c r="B72" i="3"/>
  <c r="B72" i="4" s="1"/>
  <c r="B72" i="6" s="1"/>
  <c r="A72" i="3"/>
  <c r="A72" i="4" s="1"/>
  <c r="U72" i="4" s="1"/>
  <c r="J72" i="6" s="1"/>
  <c r="S71" i="3"/>
  <c r="R71" i="3"/>
  <c r="Q71" i="3"/>
  <c r="P71" i="3"/>
  <c r="O71" i="3"/>
  <c r="Q71" i="4" s="1"/>
  <c r="F71" i="6" s="1"/>
  <c r="N71" i="3"/>
  <c r="P71" i="4" s="1"/>
  <c r="D71" i="6" s="1"/>
  <c r="M71" i="3"/>
  <c r="L71" i="3"/>
  <c r="K71" i="3"/>
  <c r="E71" i="4" s="1"/>
  <c r="H71" i="6" s="1"/>
  <c r="J71" i="3"/>
  <c r="D71" i="4" s="1"/>
  <c r="G71" i="6" s="1"/>
  <c r="I71" i="3"/>
  <c r="H71" i="3"/>
  <c r="G71" i="3"/>
  <c r="F71" i="3"/>
  <c r="E71" i="3"/>
  <c r="C71" i="4" s="1"/>
  <c r="E71" i="6" s="1"/>
  <c r="D71" i="3"/>
  <c r="C71" i="3"/>
  <c r="B71" i="3"/>
  <c r="B71" i="4" s="1"/>
  <c r="B71" i="6" s="1"/>
  <c r="A71" i="3"/>
  <c r="A71" i="4" s="1"/>
  <c r="U71" i="4" s="1"/>
  <c r="J71" i="6" s="1"/>
  <c r="S70" i="3"/>
  <c r="R70" i="3"/>
  <c r="Q70" i="3"/>
  <c r="P70" i="3"/>
  <c r="O70" i="3"/>
  <c r="Q70" i="4" s="1"/>
  <c r="F70" i="6" s="1"/>
  <c r="N70" i="3"/>
  <c r="P70" i="4" s="1"/>
  <c r="D70" i="6" s="1"/>
  <c r="M70" i="3"/>
  <c r="L70" i="3"/>
  <c r="K70" i="3"/>
  <c r="E70" i="4" s="1"/>
  <c r="H70" i="6" s="1"/>
  <c r="J70" i="3"/>
  <c r="D70" i="4" s="1"/>
  <c r="G70" i="6" s="1"/>
  <c r="I70" i="3"/>
  <c r="H70" i="3"/>
  <c r="G70" i="3"/>
  <c r="F70" i="3"/>
  <c r="E70" i="3"/>
  <c r="C70" i="4" s="1"/>
  <c r="E70" i="6" s="1"/>
  <c r="D70" i="3"/>
  <c r="C70" i="3"/>
  <c r="B70" i="3"/>
  <c r="B70" i="4" s="1"/>
  <c r="B70" i="6" s="1"/>
  <c r="A70" i="3"/>
  <c r="A70" i="4" s="1"/>
  <c r="U70" i="4" s="1"/>
  <c r="J70" i="6" s="1"/>
  <c r="S69" i="3"/>
  <c r="R69" i="3"/>
  <c r="Q69" i="3"/>
  <c r="P69" i="3"/>
  <c r="O69" i="3"/>
  <c r="Q69" i="4" s="1"/>
  <c r="F69" i="6" s="1"/>
  <c r="N69" i="3"/>
  <c r="P69" i="4" s="1"/>
  <c r="D69" i="6" s="1"/>
  <c r="M69" i="3"/>
  <c r="L69" i="3"/>
  <c r="K69" i="3"/>
  <c r="E69" i="4" s="1"/>
  <c r="J69" i="3"/>
  <c r="D69" i="4" s="1"/>
  <c r="G69" i="6" s="1"/>
  <c r="I69" i="3"/>
  <c r="H69" i="3"/>
  <c r="G69" i="3"/>
  <c r="F69" i="3"/>
  <c r="E69" i="3"/>
  <c r="C69" i="4" s="1"/>
  <c r="E69" i="6" s="1"/>
  <c r="D69" i="3"/>
  <c r="C69" i="3"/>
  <c r="B69" i="3"/>
  <c r="B69" i="4" s="1"/>
  <c r="B69" i="6" s="1"/>
  <c r="A69" i="3"/>
  <c r="A69" i="4" s="1"/>
  <c r="U69" i="4" s="1"/>
  <c r="J69" i="6" s="1"/>
  <c r="S68" i="3"/>
  <c r="R68" i="3"/>
  <c r="Q68" i="3"/>
  <c r="P68" i="3"/>
  <c r="O68" i="3"/>
  <c r="Q68" i="4" s="1"/>
  <c r="F68" i="6" s="1"/>
  <c r="N68" i="3"/>
  <c r="P68" i="4" s="1"/>
  <c r="D68" i="6" s="1"/>
  <c r="M68" i="3"/>
  <c r="L68" i="3"/>
  <c r="K68" i="3"/>
  <c r="E68" i="4" s="1"/>
  <c r="J68" i="3"/>
  <c r="D68" i="4" s="1"/>
  <c r="G68" i="6" s="1"/>
  <c r="I68" i="3"/>
  <c r="H68" i="3"/>
  <c r="G68" i="3"/>
  <c r="F68" i="3"/>
  <c r="E68" i="3"/>
  <c r="C68" i="4" s="1"/>
  <c r="E68" i="6" s="1"/>
  <c r="D68" i="3"/>
  <c r="C68" i="3"/>
  <c r="B68" i="3"/>
  <c r="B68" i="4" s="1"/>
  <c r="B68" i="6" s="1"/>
  <c r="A68" i="3"/>
  <c r="A68" i="4" s="1"/>
  <c r="S67" i="3"/>
  <c r="R67" i="3"/>
  <c r="Q67" i="3"/>
  <c r="P67" i="3"/>
  <c r="O67" i="3"/>
  <c r="Q67" i="4" s="1"/>
  <c r="F67" i="6" s="1"/>
  <c r="N67" i="3"/>
  <c r="P67" i="4" s="1"/>
  <c r="D67" i="6" s="1"/>
  <c r="M67" i="3"/>
  <c r="L67" i="3"/>
  <c r="K67" i="3"/>
  <c r="E67" i="4" s="1"/>
  <c r="J67" i="3"/>
  <c r="D67" i="4" s="1"/>
  <c r="G67" i="6" s="1"/>
  <c r="I67" i="3"/>
  <c r="H67" i="3"/>
  <c r="G67" i="3"/>
  <c r="F67" i="3"/>
  <c r="E67" i="3"/>
  <c r="C67" i="4" s="1"/>
  <c r="E67" i="6" s="1"/>
  <c r="D67" i="3"/>
  <c r="C67" i="3"/>
  <c r="B67" i="3"/>
  <c r="B67" i="4" s="1"/>
  <c r="B67" i="6" s="1"/>
  <c r="A67" i="3"/>
  <c r="A67" i="4" s="1"/>
  <c r="U67" i="4" s="1"/>
  <c r="J67" i="6" s="1"/>
  <c r="S66" i="3"/>
  <c r="R66" i="3"/>
  <c r="Q66" i="3"/>
  <c r="P66" i="3"/>
  <c r="O66" i="3"/>
  <c r="Q66" i="4" s="1"/>
  <c r="F66" i="6" s="1"/>
  <c r="N66" i="3"/>
  <c r="P66" i="4" s="1"/>
  <c r="D66" i="6" s="1"/>
  <c r="M66" i="3"/>
  <c r="L66" i="3"/>
  <c r="K66" i="3"/>
  <c r="E66" i="4" s="1"/>
  <c r="J66" i="3"/>
  <c r="D66" i="4" s="1"/>
  <c r="G66" i="6" s="1"/>
  <c r="I66" i="3"/>
  <c r="H66" i="3"/>
  <c r="G66" i="3"/>
  <c r="F66" i="3"/>
  <c r="E66" i="3"/>
  <c r="C66" i="4" s="1"/>
  <c r="E66" i="6" s="1"/>
  <c r="D66" i="3"/>
  <c r="C66" i="3"/>
  <c r="B66" i="3"/>
  <c r="B66" i="4" s="1"/>
  <c r="B66" i="6" s="1"/>
  <c r="A66" i="3"/>
  <c r="A66" i="4" s="1"/>
  <c r="S65" i="3"/>
  <c r="R65" i="3"/>
  <c r="Q65" i="3"/>
  <c r="P65" i="3"/>
  <c r="O65" i="3"/>
  <c r="Q65" i="4" s="1"/>
  <c r="F65" i="6" s="1"/>
  <c r="N65" i="3"/>
  <c r="P65" i="4" s="1"/>
  <c r="D65" i="6" s="1"/>
  <c r="M65" i="3"/>
  <c r="L65" i="3"/>
  <c r="K65" i="3"/>
  <c r="E65" i="4" s="1"/>
  <c r="J65" i="3"/>
  <c r="D65" i="4" s="1"/>
  <c r="G65" i="6" s="1"/>
  <c r="I65" i="3"/>
  <c r="H65" i="3"/>
  <c r="G65" i="3"/>
  <c r="F65" i="3"/>
  <c r="E65" i="3"/>
  <c r="C65" i="4" s="1"/>
  <c r="E65" i="6" s="1"/>
  <c r="D65" i="3"/>
  <c r="C65" i="3"/>
  <c r="B65" i="3"/>
  <c r="B65" i="4" s="1"/>
  <c r="B65" i="6" s="1"/>
  <c r="A65" i="3"/>
  <c r="A65" i="4" s="1"/>
  <c r="U65" i="4" s="1"/>
  <c r="J65" i="6" s="1"/>
  <c r="S64" i="3"/>
  <c r="R64" i="3"/>
  <c r="Q64" i="3"/>
  <c r="P64" i="3"/>
  <c r="O64" i="3"/>
  <c r="Q64" i="4" s="1"/>
  <c r="F64" i="6" s="1"/>
  <c r="N64" i="3"/>
  <c r="P64" i="4" s="1"/>
  <c r="D64" i="6" s="1"/>
  <c r="M64" i="3"/>
  <c r="L64" i="3"/>
  <c r="K64" i="3"/>
  <c r="E64" i="4" s="1"/>
  <c r="J64" i="3"/>
  <c r="D64" i="4" s="1"/>
  <c r="G64" i="6" s="1"/>
  <c r="I64" i="3"/>
  <c r="H64" i="3"/>
  <c r="G64" i="3"/>
  <c r="F64" i="3"/>
  <c r="E64" i="3"/>
  <c r="C64" i="4" s="1"/>
  <c r="E64" i="6" s="1"/>
  <c r="D64" i="3"/>
  <c r="C64" i="3"/>
  <c r="B64" i="3"/>
  <c r="B64" i="4" s="1"/>
  <c r="B64" i="6" s="1"/>
  <c r="A64" i="3"/>
  <c r="A64" i="4" s="1"/>
  <c r="S63" i="3"/>
  <c r="R63" i="3"/>
  <c r="Q63" i="3"/>
  <c r="P63" i="3"/>
  <c r="O63" i="3"/>
  <c r="Q63" i="4" s="1"/>
  <c r="F63" i="6" s="1"/>
  <c r="N63" i="3"/>
  <c r="P63" i="4" s="1"/>
  <c r="D63" i="6" s="1"/>
  <c r="M63" i="3"/>
  <c r="L63" i="3"/>
  <c r="K63" i="3"/>
  <c r="E63" i="4" s="1"/>
  <c r="J63" i="3"/>
  <c r="D63" i="4" s="1"/>
  <c r="G63" i="6" s="1"/>
  <c r="I63" i="3"/>
  <c r="H63" i="3"/>
  <c r="G63" i="3"/>
  <c r="F63" i="3"/>
  <c r="E63" i="3"/>
  <c r="C63" i="4" s="1"/>
  <c r="E63" i="6" s="1"/>
  <c r="D63" i="3"/>
  <c r="C63" i="3"/>
  <c r="B63" i="3"/>
  <c r="B63" i="4" s="1"/>
  <c r="B63" i="6" s="1"/>
  <c r="A63" i="3"/>
  <c r="A63" i="4" s="1"/>
  <c r="N63" i="4" s="1"/>
  <c r="R63" i="6" s="1"/>
  <c r="S62" i="3"/>
  <c r="R62" i="3"/>
  <c r="Q62" i="3"/>
  <c r="P62" i="3"/>
  <c r="O62" i="3"/>
  <c r="Q62" i="4" s="1"/>
  <c r="F62" i="6" s="1"/>
  <c r="N62" i="3"/>
  <c r="P62" i="4" s="1"/>
  <c r="D62" i="6" s="1"/>
  <c r="M62" i="3"/>
  <c r="L62" i="3"/>
  <c r="K62" i="3"/>
  <c r="E62" i="4" s="1"/>
  <c r="J62" i="3"/>
  <c r="D62" i="4" s="1"/>
  <c r="G62" i="6" s="1"/>
  <c r="I62" i="3"/>
  <c r="H62" i="3"/>
  <c r="G62" i="3"/>
  <c r="F62" i="3"/>
  <c r="E62" i="3"/>
  <c r="C62" i="4" s="1"/>
  <c r="E62" i="6" s="1"/>
  <c r="D62" i="3"/>
  <c r="C62" i="3"/>
  <c r="B62" i="3"/>
  <c r="B62" i="4" s="1"/>
  <c r="B62" i="6" s="1"/>
  <c r="A62" i="3"/>
  <c r="A62" i="4" s="1"/>
  <c r="U62" i="4" s="1"/>
  <c r="J62" i="6" s="1"/>
  <c r="S61" i="3"/>
  <c r="R61" i="3"/>
  <c r="Q61" i="3"/>
  <c r="P61" i="3"/>
  <c r="O61" i="3"/>
  <c r="Q61" i="4" s="1"/>
  <c r="F61" i="6" s="1"/>
  <c r="N61" i="3"/>
  <c r="P61" i="4" s="1"/>
  <c r="D61" i="6" s="1"/>
  <c r="M61" i="3"/>
  <c r="L61" i="3"/>
  <c r="K61" i="3"/>
  <c r="E61" i="4" s="1"/>
  <c r="J61" i="3"/>
  <c r="D61" i="4" s="1"/>
  <c r="G61" i="6" s="1"/>
  <c r="I61" i="3"/>
  <c r="H61" i="3"/>
  <c r="G61" i="3"/>
  <c r="F61" i="3"/>
  <c r="E61" i="3"/>
  <c r="C61" i="4" s="1"/>
  <c r="E61" i="6" s="1"/>
  <c r="D61" i="3"/>
  <c r="C61" i="3"/>
  <c r="B61" i="3"/>
  <c r="B61" i="4" s="1"/>
  <c r="B61" i="6" s="1"/>
  <c r="A61" i="3"/>
  <c r="A61" i="4" s="1"/>
  <c r="U61" i="4" s="1"/>
  <c r="J61" i="6" s="1"/>
  <c r="S60" i="3"/>
  <c r="R60" i="3"/>
  <c r="Q60" i="3"/>
  <c r="P60" i="3"/>
  <c r="O60" i="3"/>
  <c r="Q60" i="4" s="1"/>
  <c r="F60" i="6" s="1"/>
  <c r="N60" i="3"/>
  <c r="P60" i="4" s="1"/>
  <c r="D60" i="6" s="1"/>
  <c r="M60" i="3"/>
  <c r="L60" i="3"/>
  <c r="K60" i="3"/>
  <c r="E60" i="4" s="1"/>
  <c r="J60" i="3"/>
  <c r="D60" i="4" s="1"/>
  <c r="G60" i="6" s="1"/>
  <c r="I60" i="3"/>
  <c r="H60" i="3"/>
  <c r="G60" i="3"/>
  <c r="F60" i="3"/>
  <c r="E60" i="3"/>
  <c r="C60" i="4" s="1"/>
  <c r="E60" i="6" s="1"/>
  <c r="D60" i="3"/>
  <c r="C60" i="3"/>
  <c r="B60" i="3"/>
  <c r="B60" i="4" s="1"/>
  <c r="B60" i="6" s="1"/>
  <c r="A60" i="3"/>
  <c r="A60" i="4" s="1"/>
  <c r="U60" i="4" s="1"/>
  <c r="J60" i="6" s="1"/>
  <c r="S59" i="3"/>
  <c r="R59" i="3"/>
  <c r="Q59" i="3"/>
  <c r="P59" i="3"/>
  <c r="O59" i="3"/>
  <c r="Q59" i="4" s="1"/>
  <c r="F59" i="6" s="1"/>
  <c r="N59" i="3"/>
  <c r="P59" i="4" s="1"/>
  <c r="D59" i="6" s="1"/>
  <c r="M59" i="3"/>
  <c r="L59" i="3"/>
  <c r="K59" i="3"/>
  <c r="E59" i="4" s="1"/>
  <c r="H59" i="6" s="1"/>
  <c r="J59" i="3"/>
  <c r="D59" i="4" s="1"/>
  <c r="G59" i="6" s="1"/>
  <c r="I59" i="3"/>
  <c r="H59" i="3"/>
  <c r="G59" i="3"/>
  <c r="F59" i="3"/>
  <c r="E59" i="3"/>
  <c r="C59" i="4" s="1"/>
  <c r="E59" i="6" s="1"/>
  <c r="D59" i="3"/>
  <c r="C59" i="3"/>
  <c r="B59" i="3"/>
  <c r="B59" i="4" s="1"/>
  <c r="B59" i="6" s="1"/>
  <c r="A59" i="3"/>
  <c r="A59" i="4" s="1"/>
  <c r="U59" i="4" s="1"/>
  <c r="J59" i="6" s="1"/>
  <c r="S58" i="3"/>
  <c r="R58" i="3"/>
  <c r="Q58" i="3"/>
  <c r="P58" i="3"/>
  <c r="O58" i="3"/>
  <c r="Q58" i="4" s="1"/>
  <c r="F58" i="6" s="1"/>
  <c r="N58" i="3"/>
  <c r="P58" i="4" s="1"/>
  <c r="D58" i="6" s="1"/>
  <c r="M58" i="3"/>
  <c r="L58" i="3"/>
  <c r="K58" i="3"/>
  <c r="E58" i="4" s="1"/>
  <c r="H58" i="6" s="1"/>
  <c r="J58" i="3"/>
  <c r="D58" i="4" s="1"/>
  <c r="G58" i="6" s="1"/>
  <c r="I58" i="3"/>
  <c r="H58" i="3"/>
  <c r="G58" i="3"/>
  <c r="F58" i="3"/>
  <c r="E58" i="3"/>
  <c r="C58" i="4" s="1"/>
  <c r="E58" i="6" s="1"/>
  <c r="D58" i="3"/>
  <c r="C58" i="3"/>
  <c r="B58" i="3"/>
  <c r="B58" i="4" s="1"/>
  <c r="B58" i="6" s="1"/>
  <c r="A58" i="3"/>
  <c r="A58" i="4" s="1"/>
  <c r="U58" i="4" s="1"/>
  <c r="J58" i="6" s="1"/>
  <c r="S57" i="3"/>
  <c r="R57" i="3"/>
  <c r="Q57" i="3"/>
  <c r="P57" i="3"/>
  <c r="O57" i="3"/>
  <c r="Q57" i="4" s="1"/>
  <c r="F57" i="6" s="1"/>
  <c r="N57" i="3"/>
  <c r="P57" i="4" s="1"/>
  <c r="D57" i="6" s="1"/>
  <c r="M57" i="3"/>
  <c r="L57" i="3"/>
  <c r="K57" i="3"/>
  <c r="E57" i="4" s="1"/>
  <c r="J57" i="3"/>
  <c r="D57" i="4" s="1"/>
  <c r="G57" i="6" s="1"/>
  <c r="I57" i="3"/>
  <c r="H57" i="3"/>
  <c r="G57" i="3"/>
  <c r="F57" i="3"/>
  <c r="E57" i="3"/>
  <c r="C57" i="4" s="1"/>
  <c r="E57" i="6" s="1"/>
  <c r="D57" i="3"/>
  <c r="C57" i="3"/>
  <c r="B57" i="3"/>
  <c r="B57" i="4" s="1"/>
  <c r="B57" i="6" s="1"/>
  <c r="A57" i="3"/>
  <c r="A57" i="4" s="1"/>
  <c r="U57" i="4" s="1"/>
  <c r="J57" i="6" s="1"/>
  <c r="S56" i="3"/>
  <c r="R56" i="3"/>
  <c r="Q56" i="3"/>
  <c r="P56" i="3"/>
  <c r="O56" i="3"/>
  <c r="Q56" i="4" s="1"/>
  <c r="F56" i="6" s="1"/>
  <c r="N56" i="3"/>
  <c r="P56" i="4" s="1"/>
  <c r="D56" i="6" s="1"/>
  <c r="M56" i="3"/>
  <c r="L56" i="3"/>
  <c r="K56" i="3"/>
  <c r="E56" i="4" s="1"/>
  <c r="J56" i="3"/>
  <c r="D56" i="4" s="1"/>
  <c r="G56" i="6" s="1"/>
  <c r="I56" i="3"/>
  <c r="H56" i="3"/>
  <c r="G56" i="3"/>
  <c r="F56" i="3"/>
  <c r="E56" i="3"/>
  <c r="C56" i="4" s="1"/>
  <c r="E56" i="6" s="1"/>
  <c r="D56" i="3"/>
  <c r="C56" i="3"/>
  <c r="B56" i="3"/>
  <c r="B56" i="4" s="1"/>
  <c r="B56" i="6" s="1"/>
  <c r="A56" i="3"/>
  <c r="A56" i="4" s="1"/>
  <c r="S55" i="3"/>
  <c r="R55" i="3"/>
  <c r="Q55" i="3"/>
  <c r="P55" i="3"/>
  <c r="O55" i="3"/>
  <c r="Q55" i="4" s="1"/>
  <c r="F55" i="6" s="1"/>
  <c r="N55" i="3"/>
  <c r="P55" i="4" s="1"/>
  <c r="D55" i="6" s="1"/>
  <c r="M55" i="3"/>
  <c r="L55" i="3"/>
  <c r="K55" i="3"/>
  <c r="E55" i="4" s="1"/>
  <c r="J55" i="3"/>
  <c r="D55" i="4" s="1"/>
  <c r="G55" i="6" s="1"/>
  <c r="I55" i="3"/>
  <c r="H55" i="3"/>
  <c r="G55" i="3"/>
  <c r="F55" i="3"/>
  <c r="E55" i="3"/>
  <c r="C55" i="4" s="1"/>
  <c r="E55" i="6" s="1"/>
  <c r="D55" i="3"/>
  <c r="C55" i="3"/>
  <c r="B55" i="3"/>
  <c r="B55" i="4" s="1"/>
  <c r="B55" i="6" s="1"/>
  <c r="A55" i="3"/>
  <c r="A55" i="4" s="1"/>
  <c r="U55" i="4" s="1"/>
  <c r="J55" i="6" s="1"/>
  <c r="S54" i="3"/>
  <c r="R54" i="3"/>
  <c r="Q54" i="3"/>
  <c r="P54" i="3"/>
  <c r="O54" i="3"/>
  <c r="Q54" i="4" s="1"/>
  <c r="F54" i="6" s="1"/>
  <c r="N54" i="3"/>
  <c r="P54" i="4" s="1"/>
  <c r="D54" i="6" s="1"/>
  <c r="M54" i="3"/>
  <c r="L54" i="3"/>
  <c r="K54" i="3"/>
  <c r="E54" i="4" s="1"/>
  <c r="J54" i="3"/>
  <c r="D54" i="4" s="1"/>
  <c r="G54" i="6" s="1"/>
  <c r="I54" i="3"/>
  <c r="H54" i="3"/>
  <c r="G54" i="3"/>
  <c r="F54" i="3"/>
  <c r="E54" i="3"/>
  <c r="C54" i="4" s="1"/>
  <c r="E54" i="6" s="1"/>
  <c r="D54" i="3"/>
  <c r="C54" i="3"/>
  <c r="B54" i="3"/>
  <c r="B54" i="4" s="1"/>
  <c r="B54" i="6" s="1"/>
  <c r="A54" i="3"/>
  <c r="A54" i="4" s="1"/>
  <c r="U54" i="4" s="1"/>
  <c r="J54" i="6" s="1"/>
  <c r="S53" i="3"/>
  <c r="R53" i="3"/>
  <c r="Q53" i="3"/>
  <c r="P53" i="3"/>
  <c r="O53" i="3"/>
  <c r="Q53" i="4" s="1"/>
  <c r="F53" i="6" s="1"/>
  <c r="N53" i="3"/>
  <c r="P53" i="4" s="1"/>
  <c r="D53" i="6" s="1"/>
  <c r="M53" i="3"/>
  <c r="L53" i="3"/>
  <c r="K53" i="3"/>
  <c r="E53" i="4" s="1"/>
  <c r="J53" i="3"/>
  <c r="D53" i="4" s="1"/>
  <c r="G53" i="6" s="1"/>
  <c r="I53" i="3"/>
  <c r="H53" i="3"/>
  <c r="G53" i="3"/>
  <c r="F53" i="3"/>
  <c r="E53" i="3"/>
  <c r="C53" i="4" s="1"/>
  <c r="E53" i="6" s="1"/>
  <c r="D53" i="3"/>
  <c r="C53" i="3"/>
  <c r="B53" i="3"/>
  <c r="B53" i="4" s="1"/>
  <c r="B53" i="6" s="1"/>
  <c r="A53" i="3"/>
  <c r="A53" i="4" s="1"/>
  <c r="S52" i="3"/>
  <c r="R52" i="3"/>
  <c r="Q52" i="3"/>
  <c r="P52" i="3"/>
  <c r="O52" i="3"/>
  <c r="Q52" i="4" s="1"/>
  <c r="F52" i="6" s="1"/>
  <c r="N52" i="3"/>
  <c r="P52" i="4" s="1"/>
  <c r="D52" i="6" s="1"/>
  <c r="M52" i="3"/>
  <c r="L52" i="3"/>
  <c r="K52" i="3"/>
  <c r="E52" i="4" s="1"/>
  <c r="J52" i="3"/>
  <c r="D52" i="4" s="1"/>
  <c r="G52" i="6" s="1"/>
  <c r="I52" i="3"/>
  <c r="H52" i="3"/>
  <c r="G52" i="3"/>
  <c r="F52" i="3"/>
  <c r="E52" i="3"/>
  <c r="C52" i="4" s="1"/>
  <c r="E52" i="6" s="1"/>
  <c r="D52" i="3"/>
  <c r="C52" i="3"/>
  <c r="B52" i="3"/>
  <c r="B52" i="4" s="1"/>
  <c r="B52" i="6" s="1"/>
  <c r="A52" i="3"/>
  <c r="A52" i="4" s="1"/>
  <c r="U52" i="4" s="1"/>
  <c r="J52" i="6" s="1"/>
  <c r="S51" i="3"/>
  <c r="R51" i="3"/>
  <c r="Q51" i="3"/>
  <c r="P51" i="3"/>
  <c r="O51" i="3"/>
  <c r="Q51" i="4" s="1"/>
  <c r="F51" i="6" s="1"/>
  <c r="N51" i="3"/>
  <c r="P51" i="4" s="1"/>
  <c r="D51" i="6" s="1"/>
  <c r="M51" i="3"/>
  <c r="L51" i="3"/>
  <c r="K51" i="3"/>
  <c r="E51" i="4" s="1"/>
  <c r="J51" i="3"/>
  <c r="D51" i="4" s="1"/>
  <c r="G51" i="6" s="1"/>
  <c r="I51" i="3"/>
  <c r="H51" i="3"/>
  <c r="G51" i="3"/>
  <c r="F51" i="3"/>
  <c r="E51" i="3"/>
  <c r="C51" i="4" s="1"/>
  <c r="E51" i="6" s="1"/>
  <c r="D51" i="3"/>
  <c r="C51" i="3"/>
  <c r="B51" i="3"/>
  <c r="B51" i="4" s="1"/>
  <c r="B51" i="6" s="1"/>
  <c r="A51" i="3"/>
  <c r="A51" i="4" s="1"/>
  <c r="M51" i="4" s="1"/>
  <c r="S50" i="3"/>
  <c r="R50" i="3"/>
  <c r="Q50" i="3"/>
  <c r="P50" i="3"/>
  <c r="O50" i="3"/>
  <c r="Q50" i="4" s="1"/>
  <c r="F50" i="6" s="1"/>
  <c r="N50" i="3"/>
  <c r="P50" i="4" s="1"/>
  <c r="D50" i="6" s="1"/>
  <c r="M50" i="3"/>
  <c r="L50" i="3"/>
  <c r="K50" i="3"/>
  <c r="E50" i="4" s="1"/>
  <c r="J50" i="3"/>
  <c r="D50" i="4" s="1"/>
  <c r="G50" i="6" s="1"/>
  <c r="I50" i="3"/>
  <c r="H50" i="3"/>
  <c r="G50" i="3"/>
  <c r="F50" i="3"/>
  <c r="E50" i="3"/>
  <c r="C50" i="4" s="1"/>
  <c r="E50" i="6" s="1"/>
  <c r="D50" i="3"/>
  <c r="C50" i="3"/>
  <c r="B50" i="3"/>
  <c r="B50" i="4" s="1"/>
  <c r="B50" i="6" s="1"/>
  <c r="A50" i="3"/>
  <c r="A50" i="4" s="1"/>
  <c r="U50" i="4" s="1"/>
  <c r="J50" i="6" s="1"/>
  <c r="S49" i="3"/>
  <c r="R49" i="3"/>
  <c r="Q49" i="3"/>
  <c r="P49" i="3"/>
  <c r="O49" i="3"/>
  <c r="Q49" i="4" s="1"/>
  <c r="F49" i="6" s="1"/>
  <c r="N49" i="3"/>
  <c r="P49" i="4" s="1"/>
  <c r="D49" i="6" s="1"/>
  <c r="M49" i="3"/>
  <c r="L49" i="3"/>
  <c r="K49" i="3"/>
  <c r="E49" i="4" s="1"/>
  <c r="J49" i="3"/>
  <c r="D49" i="4" s="1"/>
  <c r="G49" i="6" s="1"/>
  <c r="I49" i="3"/>
  <c r="H49" i="3"/>
  <c r="G49" i="3"/>
  <c r="F49" i="3"/>
  <c r="E49" i="3"/>
  <c r="C49" i="4" s="1"/>
  <c r="E49" i="6" s="1"/>
  <c r="D49" i="3"/>
  <c r="C49" i="3"/>
  <c r="B49" i="3"/>
  <c r="B49" i="4" s="1"/>
  <c r="B49" i="6" s="1"/>
  <c r="A49" i="3"/>
  <c r="A49" i="4" s="1"/>
  <c r="U49" i="4" s="1"/>
  <c r="J49" i="6" s="1"/>
  <c r="S48" i="3"/>
  <c r="R48" i="3"/>
  <c r="Q48" i="3"/>
  <c r="P48" i="3"/>
  <c r="O48" i="3"/>
  <c r="Q48" i="4" s="1"/>
  <c r="F48" i="6" s="1"/>
  <c r="N48" i="3"/>
  <c r="P48" i="4" s="1"/>
  <c r="D48" i="6" s="1"/>
  <c r="M48" i="3"/>
  <c r="L48" i="3"/>
  <c r="K48" i="3"/>
  <c r="E48" i="4" s="1"/>
  <c r="H48" i="6" s="1"/>
  <c r="J48" i="3"/>
  <c r="D48" i="4" s="1"/>
  <c r="G48" i="6" s="1"/>
  <c r="I48" i="3"/>
  <c r="H48" i="3"/>
  <c r="G48" i="3"/>
  <c r="F48" i="3"/>
  <c r="E48" i="3"/>
  <c r="C48" i="4" s="1"/>
  <c r="E48" i="6" s="1"/>
  <c r="D48" i="3"/>
  <c r="C48" i="3"/>
  <c r="B48" i="3"/>
  <c r="B48" i="4" s="1"/>
  <c r="B48" i="6" s="1"/>
  <c r="A48" i="3"/>
  <c r="A48" i="4" s="1"/>
  <c r="U48" i="4" s="1"/>
  <c r="J48" i="6" s="1"/>
  <c r="S47" i="3"/>
  <c r="R47" i="3"/>
  <c r="Q47" i="3"/>
  <c r="P47" i="3"/>
  <c r="O47" i="3"/>
  <c r="Q47" i="4" s="1"/>
  <c r="F47" i="6" s="1"/>
  <c r="N47" i="3"/>
  <c r="P47" i="4" s="1"/>
  <c r="D47" i="6" s="1"/>
  <c r="M47" i="3"/>
  <c r="L47" i="3"/>
  <c r="K47" i="3"/>
  <c r="E47" i="4" s="1"/>
  <c r="J47" i="3"/>
  <c r="D47" i="4" s="1"/>
  <c r="G47" i="6" s="1"/>
  <c r="I47" i="3"/>
  <c r="H47" i="3"/>
  <c r="G47" i="3"/>
  <c r="F47" i="3"/>
  <c r="E47" i="3"/>
  <c r="C47" i="4" s="1"/>
  <c r="E47" i="6" s="1"/>
  <c r="D47" i="3"/>
  <c r="C47" i="3"/>
  <c r="B47" i="3"/>
  <c r="B47" i="4" s="1"/>
  <c r="B47" i="6" s="1"/>
  <c r="A47" i="3"/>
  <c r="A47" i="4" s="1"/>
  <c r="U47" i="4" s="1"/>
  <c r="J47" i="6" s="1"/>
  <c r="S46" i="3"/>
  <c r="R46" i="3"/>
  <c r="Q46" i="3"/>
  <c r="P46" i="3"/>
  <c r="O46" i="3"/>
  <c r="Q46" i="4" s="1"/>
  <c r="F46" i="6" s="1"/>
  <c r="N46" i="3"/>
  <c r="P46" i="4" s="1"/>
  <c r="D46" i="6" s="1"/>
  <c r="M46" i="3"/>
  <c r="L46" i="3"/>
  <c r="K46" i="3"/>
  <c r="E46" i="4" s="1"/>
  <c r="J46" i="3"/>
  <c r="D46" i="4" s="1"/>
  <c r="G46" i="6" s="1"/>
  <c r="I46" i="3"/>
  <c r="H46" i="3"/>
  <c r="G46" i="3"/>
  <c r="F46" i="3"/>
  <c r="E46" i="3"/>
  <c r="C46" i="4" s="1"/>
  <c r="E46" i="6" s="1"/>
  <c r="D46" i="3"/>
  <c r="C46" i="3"/>
  <c r="B46" i="3"/>
  <c r="B46" i="4" s="1"/>
  <c r="B46" i="6" s="1"/>
  <c r="A46" i="3"/>
  <c r="A46" i="4" s="1"/>
  <c r="U46" i="4" s="1"/>
  <c r="J46" i="6" s="1"/>
  <c r="S45" i="3"/>
  <c r="R45" i="3"/>
  <c r="Q45" i="3"/>
  <c r="P45" i="3"/>
  <c r="O45" i="3"/>
  <c r="Q45" i="4" s="1"/>
  <c r="F45" i="6" s="1"/>
  <c r="N45" i="3"/>
  <c r="P45" i="4" s="1"/>
  <c r="D45" i="6" s="1"/>
  <c r="M45" i="3"/>
  <c r="L45" i="3"/>
  <c r="K45" i="3"/>
  <c r="E45" i="4" s="1"/>
  <c r="H45" i="6" s="1"/>
  <c r="J45" i="3"/>
  <c r="D45" i="4" s="1"/>
  <c r="G45" i="6" s="1"/>
  <c r="I45" i="3"/>
  <c r="H45" i="3"/>
  <c r="G45" i="3"/>
  <c r="F45" i="3"/>
  <c r="E45" i="3"/>
  <c r="C45" i="4" s="1"/>
  <c r="E45" i="6" s="1"/>
  <c r="D45" i="3"/>
  <c r="C45" i="3"/>
  <c r="B45" i="3"/>
  <c r="B45" i="4" s="1"/>
  <c r="B45" i="6" s="1"/>
  <c r="A45" i="3"/>
  <c r="A45" i="4" s="1"/>
  <c r="U45" i="4" s="1"/>
  <c r="J45" i="6" s="1"/>
  <c r="S44" i="3"/>
  <c r="R44" i="3"/>
  <c r="Q44" i="3"/>
  <c r="P44" i="3"/>
  <c r="O44" i="3"/>
  <c r="Q44" i="4" s="1"/>
  <c r="F44" i="6" s="1"/>
  <c r="N44" i="3"/>
  <c r="P44" i="4" s="1"/>
  <c r="D44" i="6" s="1"/>
  <c r="M44" i="3"/>
  <c r="L44" i="3"/>
  <c r="K44" i="3"/>
  <c r="E44" i="4" s="1"/>
  <c r="J44" i="3"/>
  <c r="D44" i="4" s="1"/>
  <c r="G44" i="6" s="1"/>
  <c r="I44" i="3"/>
  <c r="H44" i="3"/>
  <c r="G44" i="3"/>
  <c r="F44" i="3"/>
  <c r="E44" i="3"/>
  <c r="C44" i="4" s="1"/>
  <c r="E44" i="6" s="1"/>
  <c r="D44" i="3"/>
  <c r="C44" i="3"/>
  <c r="B44" i="3"/>
  <c r="B44" i="4" s="1"/>
  <c r="B44" i="6" s="1"/>
  <c r="A44" i="3"/>
  <c r="A44" i="4" s="1"/>
  <c r="S43" i="3"/>
  <c r="R43" i="3"/>
  <c r="Q43" i="3"/>
  <c r="P43" i="3"/>
  <c r="O43" i="3"/>
  <c r="Q43" i="4" s="1"/>
  <c r="F43" i="6" s="1"/>
  <c r="N43" i="3"/>
  <c r="P43" i="4" s="1"/>
  <c r="D43" i="6" s="1"/>
  <c r="M43" i="3"/>
  <c r="L43" i="3"/>
  <c r="K43" i="3"/>
  <c r="E43" i="4" s="1"/>
  <c r="J43" i="3"/>
  <c r="D43" i="4" s="1"/>
  <c r="G43" i="6" s="1"/>
  <c r="I43" i="3"/>
  <c r="H43" i="3"/>
  <c r="G43" i="3"/>
  <c r="F43" i="3"/>
  <c r="E43" i="3"/>
  <c r="C43" i="4" s="1"/>
  <c r="E43" i="6" s="1"/>
  <c r="D43" i="3"/>
  <c r="C43" i="3"/>
  <c r="B43" i="3"/>
  <c r="B43" i="4" s="1"/>
  <c r="B43" i="6" s="1"/>
  <c r="A43" i="3"/>
  <c r="A43" i="4" s="1"/>
  <c r="U43" i="4" s="1"/>
  <c r="J43" i="6" s="1"/>
  <c r="S42" i="3"/>
  <c r="R42" i="3"/>
  <c r="Q42" i="3"/>
  <c r="P42" i="3"/>
  <c r="O42" i="3"/>
  <c r="Q42" i="4" s="1"/>
  <c r="F42" i="6" s="1"/>
  <c r="N42" i="3"/>
  <c r="P42" i="4" s="1"/>
  <c r="D42" i="6" s="1"/>
  <c r="M42" i="3"/>
  <c r="L42" i="3"/>
  <c r="K42" i="3"/>
  <c r="E42" i="4" s="1"/>
  <c r="J42" i="3"/>
  <c r="D42" i="4" s="1"/>
  <c r="G42" i="6" s="1"/>
  <c r="I42" i="3"/>
  <c r="H42" i="3"/>
  <c r="G42" i="3"/>
  <c r="F42" i="3"/>
  <c r="E42" i="3"/>
  <c r="C42" i="4" s="1"/>
  <c r="E42" i="6" s="1"/>
  <c r="D42" i="3"/>
  <c r="C42" i="3"/>
  <c r="B42" i="3"/>
  <c r="B42" i="4" s="1"/>
  <c r="B42" i="6" s="1"/>
  <c r="A42" i="3"/>
  <c r="A42" i="4" s="1"/>
  <c r="S41" i="3"/>
  <c r="R41" i="3"/>
  <c r="Q41" i="3"/>
  <c r="P41" i="3"/>
  <c r="O41" i="3"/>
  <c r="Q41" i="4" s="1"/>
  <c r="F41" i="6" s="1"/>
  <c r="N41" i="3"/>
  <c r="P41" i="4" s="1"/>
  <c r="D41" i="6" s="1"/>
  <c r="M41" i="3"/>
  <c r="L41" i="3"/>
  <c r="K41" i="3"/>
  <c r="E41" i="4" s="1"/>
  <c r="J41" i="3"/>
  <c r="D41" i="4" s="1"/>
  <c r="G41" i="6" s="1"/>
  <c r="I41" i="3"/>
  <c r="H41" i="3"/>
  <c r="G41" i="3"/>
  <c r="F41" i="3"/>
  <c r="E41" i="3"/>
  <c r="C41" i="4" s="1"/>
  <c r="E41" i="6" s="1"/>
  <c r="D41" i="3"/>
  <c r="C41" i="3"/>
  <c r="B41" i="3"/>
  <c r="B41" i="4" s="1"/>
  <c r="B41" i="6" s="1"/>
  <c r="A41" i="3"/>
  <c r="A41" i="4" s="1"/>
  <c r="U41" i="4" s="1"/>
  <c r="J41" i="6" s="1"/>
  <c r="S40" i="3"/>
  <c r="R40" i="3"/>
  <c r="Q40" i="3"/>
  <c r="P40" i="3"/>
  <c r="O40" i="3"/>
  <c r="Q40" i="4" s="1"/>
  <c r="F40" i="6" s="1"/>
  <c r="N40" i="3"/>
  <c r="P40" i="4" s="1"/>
  <c r="D40" i="6" s="1"/>
  <c r="M40" i="3"/>
  <c r="L40" i="3"/>
  <c r="K40" i="3"/>
  <c r="E40" i="4" s="1"/>
  <c r="J40" i="3"/>
  <c r="D40" i="4" s="1"/>
  <c r="G40" i="6" s="1"/>
  <c r="I40" i="3"/>
  <c r="H40" i="3"/>
  <c r="G40" i="3"/>
  <c r="F40" i="3"/>
  <c r="E40" i="3"/>
  <c r="C40" i="4" s="1"/>
  <c r="E40" i="6" s="1"/>
  <c r="D40" i="3"/>
  <c r="C40" i="3"/>
  <c r="B40" i="3"/>
  <c r="B40" i="4" s="1"/>
  <c r="B40" i="6" s="1"/>
  <c r="A40" i="3"/>
  <c r="A40" i="4" s="1"/>
  <c r="U40" i="4" s="1"/>
  <c r="J40" i="6" s="1"/>
  <c r="S39" i="3"/>
  <c r="R39" i="3"/>
  <c r="Q39" i="3"/>
  <c r="P39" i="3"/>
  <c r="O39" i="3"/>
  <c r="Q39" i="4" s="1"/>
  <c r="F39" i="6" s="1"/>
  <c r="N39" i="3"/>
  <c r="P39" i="4" s="1"/>
  <c r="D39" i="6" s="1"/>
  <c r="M39" i="3"/>
  <c r="L39" i="3"/>
  <c r="K39" i="3"/>
  <c r="E39" i="4" s="1"/>
  <c r="J39" i="3"/>
  <c r="D39" i="4" s="1"/>
  <c r="G39" i="6" s="1"/>
  <c r="I39" i="3"/>
  <c r="H39" i="3"/>
  <c r="G39" i="3"/>
  <c r="F39" i="3"/>
  <c r="E39" i="3"/>
  <c r="C39" i="4" s="1"/>
  <c r="E39" i="6" s="1"/>
  <c r="D39" i="3"/>
  <c r="C39" i="3"/>
  <c r="B39" i="3"/>
  <c r="B39" i="4" s="1"/>
  <c r="B39" i="6" s="1"/>
  <c r="A39" i="3"/>
  <c r="A39" i="4" s="1"/>
  <c r="U39" i="4" s="1"/>
  <c r="J39" i="6" s="1"/>
  <c r="S38" i="3"/>
  <c r="R38" i="3"/>
  <c r="Q38" i="3"/>
  <c r="P38" i="3"/>
  <c r="O38" i="3"/>
  <c r="Q38" i="4" s="1"/>
  <c r="F38" i="6" s="1"/>
  <c r="N38" i="3"/>
  <c r="P38" i="4" s="1"/>
  <c r="D38" i="6" s="1"/>
  <c r="M38" i="3"/>
  <c r="L38" i="3"/>
  <c r="K38" i="3"/>
  <c r="E38" i="4" s="1"/>
  <c r="J38" i="3"/>
  <c r="D38" i="4" s="1"/>
  <c r="G38" i="6" s="1"/>
  <c r="I38" i="3"/>
  <c r="H38" i="3"/>
  <c r="G38" i="3"/>
  <c r="F38" i="3"/>
  <c r="E38" i="3"/>
  <c r="C38" i="4" s="1"/>
  <c r="E38" i="6" s="1"/>
  <c r="D38" i="3"/>
  <c r="C38" i="3"/>
  <c r="B38" i="3"/>
  <c r="B38" i="4" s="1"/>
  <c r="B38" i="6" s="1"/>
  <c r="A38" i="3"/>
  <c r="A38" i="4" s="1"/>
  <c r="U38" i="4" s="1"/>
  <c r="J38" i="6" s="1"/>
  <c r="S37" i="3"/>
  <c r="R37" i="3"/>
  <c r="Q37" i="3"/>
  <c r="P37" i="3"/>
  <c r="O37" i="3"/>
  <c r="Q37" i="4" s="1"/>
  <c r="F37" i="6" s="1"/>
  <c r="N37" i="3"/>
  <c r="P37" i="4" s="1"/>
  <c r="D37" i="6" s="1"/>
  <c r="M37" i="3"/>
  <c r="L37" i="3"/>
  <c r="K37" i="3"/>
  <c r="E37" i="4" s="1"/>
  <c r="J37" i="3"/>
  <c r="D37" i="4" s="1"/>
  <c r="G37" i="6" s="1"/>
  <c r="I37" i="3"/>
  <c r="H37" i="3"/>
  <c r="G37" i="3"/>
  <c r="F37" i="3"/>
  <c r="E37" i="3"/>
  <c r="C37" i="4" s="1"/>
  <c r="E37" i="6" s="1"/>
  <c r="D37" i="3"/>
  <c r="C37" i="3"/>
  <c r="B37" i="3"/>
  <c r="B37" i="4" s="1"/>
  <c r="B37" i="6" s="1"/>
  <c r="A37" i="3"/>
  <c r="A37" i="4" s="1"/>
  <c r="U37" i="4" s="1"/>
  <c r="J37" i="6" s="1"/>
  <c r="S36" i="3"/>
  <c r="R36" i="3"/>
  <c r="Q36" i="3"/>
  <c r="P36" i="3"/>
  <c r="O36" i="3"/>
  <c r="Q36" i="4" s="1"/>
  <c r="F36" i="6" s="1"/>
  <c r="N36" i="3"/>
  <c r="P36" i="4" s="1"/>
  <c r="D36" i="6" s="1"/>
  <c r="M36" i="3"/>
  <c r="L36" i="3"/>
  <c r="K36" i="3"/>
  <c r="E36" i="4" s="1"/>
  <c r="J36" i="3"/>
  <c r="D36" i="4" s="1"/>
  <c r="G36" i="6" s="1"/>
  <c r="I36" i="3"/>
  <c r="H36" i="3"/>
  <c r="G36" i="3"/>
  <c r="F36" i="3"/>
  <c r="E36" i="3"/>
  <c r="C36" i="4" s="1"/>
  <c r="E36" i="6" s="1"/>
  <c r="D36" i="3"/>
  <c r="C36" i="3"/>
  <c r="B36" i="3"/>
  <c r="B36" i="4" s="1"/>
  <c r="B36" i="6" s="1"/>
  <c r="A36" i="3"/>
  <c r="A36" i="4" s="1"/>
  <c r="H36" i="4" s="1"/>
  <c r="S35" i="3"/>
  <c r="R35" i="3"/>
  <c r="Q35" i="3"/>
  <c r="P35" i="3"/>
  <c r="O35" i="3"/>
  <c r="Q35" i="4" s="1"/>
  <c r="F35" i="6" s="1"/>
  <c r="N35" i="3"/>
  <c r="P35" i="4" s="1"/>
  <c r="D35" i="6" s="1"/>
  <c r="M35" i="3"/>
  <c r="L35" i="3"/>
  <c r="K35" i="3"/>
  <c r="E35" i="4" s="1"/>
  <c r="J35" i="3"/>
  <c r="D35" i="4" s="1"/>
  <c r="G35" i="6" s="1"/>
  <c r="I35" i="3"/>
  <c r="H35" i="3"/>
  <c r="G35" i="3"/>
  <c r="F35" i="3"/>
  <c r="E35" i="3"/>
  <c r="C35" i="4" s="1"/>
  <c r="E35" i="6" s="1"/>
  <c r="D35" i="3"/>
  <c r="C35" i="3"/>
  <c r="B35" i="3"/>
  <c r="B35" i="4" s="1"/>
  <c r="B35" i="6" s="1"/>
  <c r="A35" i="3"/>
  <c r="A35" i="4" s="1"/>
  <c r="U35" i="4" s="1"/>
  <c r="J35" i="6" s="1"/>
  <c r="S34" i="3"/>
  <c r="R34" i="3"/>
  <c r="Q34" i="3"/>
  <c r="P34" i="3"/>
  <c r="O34" i="3"/>
  <c r="Q34" i="4" s="1"/>
  <c r="F34" i="6" s="1"/>
  <c r="N34" i="3"/>
  <c r="P34" i="4" s="1"/>
  <c r="D34" i="6" s="1"/>
  <c r="M34" i="3"/>
  <c r="L34" i="3"/>
  <c r="K34" i="3"/>
  <c r="E34" i="4" s="1"/>
  <c r="J34" i="3"/>
  <c r="D34" i="4" s="1"/>
  <c r="G34" i="6" s="1"/>
  <c r="I34" i="3"/>
  <c r="H34" i="3"/>
  <c r="G34" i="3"/>
  <c r="F34" i="3"/>
  <c r="E34" i="3"/>
  <c r="C34" i="4" s="1"/>
  <c r="E34" i="6" s="1"/>
  <c r="D34" i="3"/>
  <c r="C34" i="3"/>
  <c r="B34" i="3"/>
  <c r="B34" i="4" s="1"/>
  <c r="B34" i="6" s="1"/>
  <c r="A34" i="3"/>
  <c r="A34" i="4" s="1"/>
  <c r="U34" i="4" s="1"/>
  <c r="J34" i="6" s="1"/>
  <c r="S33" i="3"/>
  <c r="R33" i="3"/>
  <c r="Q33" i="3"/>
  <c r="P33" i="3"/>
  <c r="O33" i="3"/>
  <c r="Q33" i="4" s="1"/>
  <c r="F33" i="6" s="1"/>
  <c r="N33" i="3"/>
  <c r="P33" i="4" s="1"/>
  <c r="D33" i="6" s="1"/>
  <c r="M33" i="3"/>
  <c r="L33" i="3"/>
  <c r="K33" i="3"/>
  <c r="E33" i="4" s="1"/>
  <c r="J33" i="3"/>
  <c r="D33" i="4" s="1"/>
  <c r="G33" i="6" s="1"/>
  <c r="I33" i="3"/>
  <c r="H33" i="3"/>
  <c r="G33" i="3"/>
  <c r="F33" i="3"/>
  <c r="E33" i="3"/>
  <c r="C33" i="4" s="1"/>
  <c r="E33" i="6" s="1"/>
  <c r="D33" i="3"/>
  <c r="C33" i="3"/>
  <c r="B33" i="3"/>
  <c r="B33" i="4" s="1"/>
  <c r="B33" i="6" s="1"/>
  <c r="A33" i="3"/>
  <c r="A33" i="4" s="1"/>
  <c r="U33" i="4" s="1"/>
  <c r="J33" i="6" s="1"/>
  <c r="S32" i="3"/>
  <c r="R32" i="3"/>
  <c r="Q32" i="3"/>
  <c r="P32" i="3"/>
  <c r="O32" i="3"/>
  <c r="Q32" i="4" s="1"/>
  <c r="F32" i="6" s="1"/>
  <c r="N32" i="3"/>
  <c r="P32" i="4" s="1"/>
  <c r="D32" i="6" s="1"/>
  <c r="M32" i="3"/>
  <c r="L32" i="3"/>
  <c r="K32" i="3"/>
  <c r="E32" i="4" s="1"/>
  <c r="J32" i="3"/>
  <c r="D32" i="4" s="1"/>
  <c r="G32" i="6" s="1"/>
  <c r="I32" i="3"/>
  <c r="H32" i="3"/>
  <c r="G32" i="3"/>
  <c r="F32" i="3"/>
  <c r="E32" i="3"/>
  <c r="C32" i="4" s="1"/>
  <c r="E32" i="6" s="1"/>
  <c r="D32" i="3"/>
  <c r="C32" i="3"/>
  <c r="B32" i="3"/>
  <c r="B32" i="4" s="1"/>
  <c r="B32" i="6" s="1"/>
  <c r="A32" i="3"/>
  <c r="A32" i="4" s="1"/>
  <c r="S31" i="3"/>
  <c r="R31" i="3"/>
  <c r="Q31" i="3"/>
  <c r="P31" i="3"/>
  <c r="O31" i="3"/>
  <c r="Q31" i="4" s="1"/>
  <c r="F31" i="6" s="1"/>
  <c r="N31" i="3"/>
  <c r="P31" i="4" s="1"/>
  <c r="D31" i="6" s="1"/>
  <c r="M31" i="3"/>
  <c r="L31" i="3"/>
  <c r="K31" i="3"/>
  <c r="E31" i="4" s="1"/>
  <c r="J31" i="3"/>
  <c r="D31" i="4" s="1"/>
  <c r="G31" i="6" s="1"/>
  <c r="I31" i="3"/>
  <c r="H31" i="3"/>
  <c r="G31" i="3"/>
  <c r="F31" i="3"/>
  <c r="E31" i="3"/>
  <c r="C31" i="4" s="1"/>
  <c r="E31" i="6" s="1"/>
  <c r="D31" i="3"/>
  <c r="C31" i="3"/>
  <c r="B31" i="3"/>
  <c r="B31" i="4" s="1"/>
  <c r="B31" i="6" s="1"/>
  <c r="A31" i="3"/>
  <c r="A31" i="4" s="1"/>
  <c r="U31" i="4" s="1"/>
  <c r="J31" i="6" s="1"/>
  <c r="S30" i="3"/>
  <c r="R30" i="3"/>
  <c r="Q30" i="3"/>
  <c r="P30" i="3"/>
  <c r="O30" i="3"/>
  <c r="Q30" i="4" s="1"/>
  <c r="F30" i="6" s="1"/>
  <c r="N30" i="3"/>
  <c r="P30" i="4" s="1"/>
  <c r="D30" i="6" s="1"/>
  <c r="M30" i="3"/>
  <c r="L30" i="3"/>
  <c r="K30" i="3"/>
  <c r="E30" i="4" s="1"/>
  <c r="J30" i="3"/>
  <c r="D30" i="4" s="1"/>
  <c r="G30" i="6" s="1"/>
  <c r="I30" i="3"/>
  <c r="H30" i="3"/>
  <c r="G30" i="3"/>
  <c r="F30" i="3"/>
  <c r="E30" i="3"/>
  <c r="C30" i="4" s="1"/>
  <c r="E30" i="6" s="1"/>
  <c r="D30" i="3"/>
  <c r="C30" i="3"/>
  <c r="B30" i="3"/>
  <c r="B30" i="4" s="1"/>
  <c r="B30" i="6" s="1"/>
  <c r="A30" i="3"/>
  <c r="A30" i="4" s="1"/>
  <c r="U30" i="4" s="1"/>
  <c r="J30" i="6" s="1"/>
  <c r="S29" i="3"/>
  <c r="R29" i="3"/>
  <c r="Q29" i="3"/>
  <c r="P29" i="3"/>
  <c r="O29" i="3"/>
  <c r="Q29" i="4" s="1"/>
  <c r="F29" i="6" s="1"/>
  <c r="N29" i="3"/>
  <c r="P29" i="4" s="1"/>
  <c r="D29" i="6" s="1"/>
  <c r="M29" i="3"/>
  <c r="L29" i="3"/>
  <c r="K29" i="3"/>
  <c r="E29" i="4" s="1"/>
  <c r="J29" i="3"/>
  <c r="D29" i="4" s="1"/>
  <c r="G29" i="6" s="1"/>
  <c r="I29" i="3"/>
  <c r="H29" i="3"/>
  <c r="G29" i="3"/>
  <c r="F29" i="3"/>
  <c r="E29" i="3"/>
  <c r="C29" i="4" s="1"/>
  <c r="E29" i="6" s="1"/>
  <c r="D29" i="3"/>
  <c r="C29" i="3"/>
  <c r="B29" i="3"/>
  <c r="B29" i="4" s="1"/>
  <c r="B29" i="6" s="1"/>
  <c r="A29" i="3"/>
  <c r="A29" i="4" s="1"/>
  <c r="U29" i="4" s="1"/>
  <c r="J29" i="6" s="1"/>
  <c r="S28" i="3"/>
  <c r="R28" i="3"/>
  <c r="Q28" i="3"/>
  <c r="P28" i="3"/>
  <c r="O28" i="3"/>
  <c r="Q28" i="4" s="1"/>
  <c r="F28" i="6" s="1"/>
  <c r="N28" i="3"/>
  <c r="P28" i="4" s="1"/>
  <c r="D28" i="6" s="1"/>
  <c r="M28" i="3"/>
  <c r="L28" i="3"/>
  <c r="K28" i="3"/>
  <c r="E28" i="4" s="1"/>
  <c r="J28" i="3"/>
  <c r="D28" i="4" s="1"/>
  <c r="G28" i="6" s="1"/>
  <c r="I28" i="3"/>
  <c r="H28" i="3"/>
  <c r="G28" i="3"/>
  <c r="F28" i="3"/>
  <c r="E28" i="3"/>
  <c r="C28" i="4" s="1"/>
  <c r="E28" i="6" s="1"/>
  <c r="D28" i="3"/>
  <c r="C28" i="3"/>
  <c r="B28" i="3"/>
  <c r="B28" i="4" s="1"/>
  <c r="B28" i="6" s="1"/>
  <c r="A28" i="3"/>
  <c r="A28" i="4" s="1"/>
  <c r="S27" i="3"/>
  <c r="R27" i="3"/>
  <c r="Q27" i="3"/>
  <c r="P27" i="3"/>
  <c r="O27" i="3"/>
  <c r="Q27" i="4" s="1"/>
  <c r="F27" i="6" s="1"/>
  <c r="N27" i="3"/>
  <c r="P27" i="4" s="1"/>
  <c r="D27" i="6" s="1"/>
  <c r="M27" i="3"/>
  <c r="L27" i="3"/>
  <c r="K27" i="3"/>
  <c r="E27" i="4" s="1"/>
  <c r="J27" i="3"/>
  <c r="D27" i="4" s="1"/>
  <c r="G27" i="6" s="1"/>
  <c r="I27" i="3"/>
  <c r="H27" i="3"/>
  <c r="G27" i="3"/>
  <c r="F27" i="3"/>
  <c r="E27" i="3"/>
  <c r="C27" i="4" s="1"/>
  <c r="E27" i="6" s="1"/>
  <c r="D27" i="3"/>
  <c r="C27" i="3"/>
  <c r="B27" i="3"/>
  <c r="B27" i="4" s="1"/>
  <c r="B27" i="6" s="1"/>
  <c r="A27" i="3"/>
  <c r="A27" i="4" s="1"/>
  <c r="U27" i="4" s="1"/>
  <c r="J27" i="6" s="1"/>
  <c r="S26" i="3"/>
  <c r="R26" i="3"/>
  <c r="Q26" i="3"/>
  <c r="P26" i="3"/>
  <c r="O26" i="3"/>
  <c r="Q26" i="4" s="1"/>
  <c r="F26" i="6" s="1"/>
  <c r="N26" i="3"/>
  <c r="P26" i="4" s="1"/>
  <c r="D26" i="6" s="1"/>
  <c r="M26" i="3"/>
  <c r="L26" i="3"/>
  <c r="K26" i="3"/>
  <c r="E26" i="4" s="1"/>
  <c r="J26" i="3"/>
  <c r="D26" i="4" s="1"/>
  <c r="G26" i="6" s="1"/>
  <c r="I26" i="3"/>
  <c r="H26" i="3"/>
  <c r="G26" i="3"/>
  <c r="F26" i="3"/>
  <c r="E26" i="3"/>
  <c r="C26" i="4" s="1"/>
  <c r="E26" i="6" s="1"/>
  <c r="D26" i="3"/>
  <c r="C26" i="3"/>
  <c r="B26" i="3"/>
  <c r="B26" i="4" s="1"/>
  <c r="B26" i="6" s="1"/>
  <c r="A26" i="3"/>
  <c r="A26" i="4" s="1"/>
  <c r="U26" i="4" s="1"/>
  <c r="J26" i="6" s="1"/>
  <c r="S25" i="3"/>
  <c r="R25" i="3"/>
  <c r="Q25" i="3"/>
  <c r="P25" i="3"/>
  <c r="O25" i="3"/>
  <c r="Q25" i="4" s="1"/>
  <c r="F25" i="6" s="1"/>
  <c r="N25" i="3"/>
  <c r="P25" i="4" s="1"/>
  <c r="D25" i="6" s="1"/>
  <c r="M25" i="3"/>
  <c r="L25" i="3"/>
  <c r="K25" i="3"/>
  <c r="E25" i="4" s="1"/>
  <c r="J25" i="3"/>
  <c r="D25" i="4" s="1"/>
  <c r="G25" i="6" s="1"/>
  <c r="I25" i="3"/>
  <c r="H25" i="3"/>
  <c r="G25" i="3"/>
  <c r="F25" i="3"/>
  <c r="E25" i="3"/>
  <c r="C25" i="4" s="1"/>
  <c r="E25" i="6" s="1"/>
  <c r="D25" i="3"/>
  <c r="C25" i="3"/>
  <c r="B25" i="3"/>
  <c r="B25" i="4" s="1"/>
  <c r="B25" i="6" s="1"/>
  <c r="A25" i="3"/>
  <c r="A25" i="4" s="1"/>
  <c r="U25" i="4" s="1"/>
  <c r="J25" i="6" s="1"/>
  <c r="S24" i="3"/>
  <c r="R24" i="3"/>
  <c r="Q24" i="3"/>
  <c r="P24" i="3"/>
  <c r="O24" i="3"/>
  <c r="Q24" i="4" s="1"/>
  <c r="F24" i="6" s="1"/>
  <c r="N24" i="3"/>
  <c r="P24" i="4" s="1"/>
  <c r="D24" i="6" s="1"/>
  <c r="M24" i="3"/>
  <c r="L24" i="3"/>
  <c r="K24" i="3"/>
  <c r="E24" i="4" s="1"/>
  <c r="J24" i="3"/>
  <c r="D24" i="4" s="1"/>
  <c r="G24" i="6" s="1"/>
  <c r="I24" i="3"/>
  <c r="H24" i="3"/>
  <c r="G24" i="3"/>
  <c r="F24" i="3"/>
  <c r="E24" i="3"/>
  <c r="C24" i="4" s="1"/>
  <c r="E24" i="6" s="1"/>
  <c r="D24" i="3"/>
  <c r="C24" i="3"/>
  <c r="B24" i="3"/>
  <c r="B24" i="4" s="1"/>
  <c r="B24" i="6" s="1"/>
  <c r="A24" i="3"/>
  <c r="A24" i="4" s="1"/>
  <c r="N24" i="4" s="1"/>
  <c r="R24" i="6" s="1"/>
  <c r="S23" i="3"/>
  <c r="R23" i="3"/>
  <c r="Q23" i="3"/>
  <c r="P23" i="3"/>
  <c r="O23" i="3"/>
  <c r="Q23" i="4" s="1"/>
  <c r="F23" i="6" s="1"/>
  <c r="N23" i="3"/>
  <c r="P23" i="4" s="1"/>
  <c r="D23" i="6" s="1"/>
  <c r="M23" i="3"/>
  <c r="L23" i="3"/>
  <c r="K23" i="3"/>
  <c r="E23" i="4" s="1"/>
  <c r="J23" i="3"/>
  <c r="D23" i="4" s="1"/>
  <c r="G23" i="6" s="1"/>
  <c r="I23" i="3"/>
  <c r="H23" i="3"/>
  <c r="G23" i="3"/>
  <c r="F23" i="3"/>
  <c r="E23" i="3"/>
  <c r="C23" i="4" s="1"/>
  <c r="E23" i="6" s="1"/>
  <c r="D23" i="3"/>
  <c r="C23" i="3"/>
  <c r="B23" i="3"/>
  <c r="B23" i="4" s="1"/>
  <c r="B23" i="6" s="1"/>
  <c r="A23" i="3"/>
  <c r="A23" i="4" s="1"/>
  <c r="U23" i="4" s="1"/>
  <c r="J23" i="6" s="1"/>
  <c r="S22" i="3"/>
  <c r="R22" i="3"/>
  <c r="Q22" i="3"/>
  <c r="P22" i="3"/>
  <c r="O22" i="3"/>
  <c r="Q22" i="4" s="1"/>
  <c r="F22" i="6" s="1"/>
  <c r="N22" i="3"/>
  <c r="P22" i="4" s="1"/>
  <c r="D22" i="6" s="1"/>
  <c r="M22" i="3"/>
  <c r="L22" i="3"/>
  <c r="K22" i="3"/>
  <c r="E22" i="4" s="1"/>
  <c r="J22" i="3"/>
  <c r="D22" i="4" s="1"/>
  <c r="G22" i="6" s="1"/>
  <c r="I22" i="3"/>
  <c r="H22" i="3"/>
  <c r="G22" i="3"/>
  <c r="F22" i="3"/>
  <c r="E22" i="3"/>
  <c r="C22" i="4" s="1"/>
  <c r="E22" i="6" s="1"/>
  <c r="D22" i="3"/>
  <c r="C22" i="3"/>
  <c r="B22" i="3"/>
  <c r="B22" i="4" s="1"/>
  <c r="B22" i="6" s="1"/>
  <c r="A22" i="3"/>
  <c r="A22" i="4" s="1"/>
  <c r="U22" i="4" s="1"/>
  <c r="J22" i="6" s="1"/>
  <c r="S21" i="3"/>
  <c r="R21" i="3"/>
  <c r="Q21" i="3"/>
  <c r="P21" i="3"/>
  <c r="O21" i="3"/>
  <c r="Q21" i="4" s="1"/>
  <c r="F21" i="6" s="1"/>
  <c r="N21" i="3"/>
  <c r="P21" i="4" s="1"/>
  <c r="D21" i="6" s="1"/>
  <c r="M21" i="3"/>
  <c r="L21" i="3"/>
  <c r="K21" i="3"/>
  <c r="E21" i="4" s="1"/>
  <c r="J21" i="3"/>
  <c r="D21" i="4" s="1"/>
  <c r="G21" i="6" s="1"/>
  <c r="I21" i="3"/>
  <c r="H21" i="3"/>
  <c r="G21" i="3"/>
  <c r="F21" i="3"/>
  <c r="E21" i="3"/>
  <c r="C21" i="4" s="1"/>
  <c r="E21" i="6" s="1"/>
  <c r="D21" i="3"/>
  <c r="C21" i="3"/>
  <c r="B21" i="3"/>
  <c r="B21" i="4" s="1"/>
  <c r="B21" i="6" s="1"/>
  <c r="A21" i="3"/>
  <c r="A21" i="4" s="1"/>
  <c r="U21" i="4" s="1"/>
  <c r="J21" i="6" s="1"/>
  <c r="S20" i="3"/>
  <c r="R20" i="3"/>
  <c r="Q20" i="3"/>
  <c r="P20" i="3"/>
  <c r="O20" i="3"/>
  <c r="Q20" i="4" s="1"/>
  <c r="F20" i="6" s="1"/>
  <c r="N20" i="3"/>
  <c r="P20" i="4" s="1"/>
  <c r="D20" i="6" s="1"/>
  <c r="M20" i="3"/>
  <c r="L20" i="3"/>
  <c r="K20" i="3"/>
  <c r="E20" i="4" s="1"/>
  <c r="J20" i="3"/>
  <c r="D20" i="4" s="1"/>
  <c r="G20" i="6" s="1"/>
  <c r="I20" i="3"/>
  <c r="H20" i="3"/>
  <c r="G20" i="3"/>
  <c r="F20" i="3"/>
  <c r="E20" i="3"/>
  <c r="C20" i="4" s="1"/>
  <c r="E20" i="6" s="1"/>
  <c r="D20" i="3"/>
  <c r="C20" i="3"/>
  <c r="B20" i="3"/>
  <c r="B20" i="4" s="1"/>
  <c r="B20" i="6" s="1"/>
  <c r="A20" i="3"/>
  <c r="A20" i="4" s="1"/>
  <c r="U20" i="4" s="1"/>
  <c r="J20" i="6" s="1"/>
  <c r="S19" i="3"/>
  <c r="R19" i="3"/>
  <c r="Q19" i="3"/>
  <c r="P19" i="3"/>
  <c r="O19" i="3"/>
  <c r="Q19" i="4" s="1"/>
  <c r="F19" i="6" s="1"/>
  <c r="N19" i="3"/>
  <c r="P19" i="4" s="1"/>
  <c r="D19" i="6" s="1"/>
  <c r="M19" i="3"/>
  <c r="L19" i="3"/>
  <c r="K19" i="3"/>
  <c r="E19" i="4" s="1"/>
  <c r="J19" i="3"/>
  <c r="D19" i="4" s="1"/>
  <c r="G19" i="6" s="1"/>
  <c r="I19" i="3"/>
  <c r="H19" i="3"/>
  <c r="G19" i="3"/>
  <c r="F19" i="3"/>
  <c r="E19" i="3"/>
  <c r="C19" i="4" s="1"/>
  <c r="E19" i="6" s="1"/>
  <c r="D19" i="3"/>
  <c r="C19" i="3"/>
  <c r="B19" i="3"/>
  <c r="B19" i="4" s="1"/>
  <c r="B19" i="6" s="1"/>
  <c r="A19" i="3"/>
  <c r="A19" i="4" s="1"/>
  <c r="U19" i="4" s="1"/>
  <c r="J19" i="6" s="1"/>
  <c r="S18" i="3"/>
  <c r="R18" i="3"/>
  <c r="Q18" i="3"/>
  <c r="P18" i="3"/>
  <c r="O18" i="3"/>
  <c r="Q18" i="4" s="1"/>
  <c r="F18" i="6" s="1"/>
  <c r="N18" i="3"/>
  <c r="P18" i="4" s="1"/>
  <c r="D18" i="6" s="1"/>
  <c r="M18" i="3"/>
  <c r="L18" i="3"/>
  <c r="K18" i="3"/>
  <c r="E18" i="4" s="1"/>
  <c r="J18" i="3"/>
  <c r="D18" i="4" s="1"/>
  <c r="G18" i="6" s="1"/>
  <c r="I18" i="3"/>
  <c r="H18" i="3"/>
  <c r="G18" i="3"/>
  <c r="F18" i="3"/>
  <c r="E18" i="3"/>
  <c r="C18" i="4" s="1"/>
  <c r="E18" i="6" s="1"/>
  <c r="D18" i="3"/>
  <c r="C18" i="3"/>
  <c r="B18" i="3"/>
  <c r="B18" i="4" s="1"/>
  <c r="B18" i="6" s="1"/>
  <c r="A18" i="3"/>
  <c r="A18" i="4" s="1"/>
  <c r="U18" i="4" s="1"/>
  <c r="J18" i="6" s="1"/>
  <c r="S17" i="3"/>
  <c r="R17" i="3"/>
  <c r="Q17" i="3"/>
  <c r="P17" i="3"/>
  <c r="O17" i="3"/>
  <c r="Q17" i="4" s="1"/>
  <c r="F17" i="6" s="1"/>
  <c r="N17" i="3"/>
  <c r="P17" i="4" s="1"/>
  <c r="D17" i="6" s="1"/>
  <c r="M17" i="3"/>
  <c r="L17" i="3"/>
  <c r="K17" i="3"/>
  <c r="E17" i="4" s="1"/>
  <c r="J17" i="3"/>
  <c r="D17" i="4" s="1"/>
  <c r="G17" i="6" s="1"/>
  <c r="I17" i="3"/>
  <c r="H17" i="3"/>
  <c r="G17" i="3"/>
  <c r="F17" i="3"/>
  <c r="E17" i="3"/>
  <c r="C17" i="4" s="1"/>
  <c r="E17" i="6" s="1"/>
  <c r="D17" i="3"/>
  <c r="C17" i="3"/>
  <c r="B17" i="3"/>
  <c r="B17" i="4" s="1"/>
  <c r="B17" i="6" s="1"/>
  <c r="A17" i="3"/>
  <c r="A17" i="4" s="1"/>
  <c r="U17" i="4" s="1"/>
  <c r="J17" i="6" s="1"/>
  <c r="S16" i="3"/>
  <c r="R16" i="3"/>
  <c r="Q16" i="3"/>
  <c r="P16" i="3"/>
  <c r="O16" i="3"/>
  <c r="Q16" i="4" s="1"/>
  <c r="F16" i="6" s="1"/>
  <c r="N16" i="3"/>
  <c r="P16" i="4" s="1"/>
  <c r="D16" i="6" s="1"/>
  <c r="M16" i="3"/>
  <c r="L16" i="3"/>
  <c r="K16" i="3"/>
  <c r="E16" i="4" s="1"/>
  <c r="J16" i="3"/>
  <c r="D16" i="4" s="1"/>
  <c r="G16" i="6" s="1"/>
  <c r="I16" i="3"/>
  <c r="H16" i="3"/>
  <c r="G16" i="3"/>
  <c r="F16" i="3"/>
  <c r="E16" i="3"/>
  <c r="C16" i="4" s="1"/>
  <c r="E16" i="6" s="1"/>
  <c r="D16" i="3"/>
  <c r="C16" i="3"/>
  <c r="B16" i="3"/>
  <c r="B16" i="4" s="1"/>
  <c r="B16" i="6" s="1"/>
  <c r="A16" i="3"/>
  <c r="A16" i="4" s="1"/>
  <c r="U16" i="4" s="1"/>
  <c r="J16" i="6" s="1"/>
  <c r="S15" i="3"/>
  <c r="R15" i="3"/>
  <c r="Q15" i="3"/>
  <c r="P15" i="3"/>
  <c r="O15" i="3"/>
  <c r="Q15" i="4" s="1"/>
  <c r="F15" i="6" s="1"/>
  <c r="N15" i="3"/>
  <c r="P15" i="4" s="1"/>
  <c r="D15" i="6" s="1"/>
  <c r="M15" i="3"/>
  <c r="L15" i="3"/>
  <c r="K15" i="3"/>
  <c r="E15" i="4" s="1"/>
  <c r="J15" i="3"/>
  <c r="D15" i="4" s="1"/>
  <c r="G15" i="6" s="1"/>
  <c r="I15" i="3"/>
  <c r="H15" i="3"/>
  <c r="G15" i="3"/>
  <c r="F15" i="3"/>
  <c r="E15" i="3"/>
  <c r="C15" i="4" s="1"/>
  <c r="E15" i="6" s="1"/>
  <c r="D15" i="3"/>
  <c r="C15" i="3"/>
  <c r="B15" i="3"/>
  <c r="B15" i="4" s="1"/>
  <c r="B15" i="6" s="1"/>
  <c r="A15" i="3"/>
  <c r="A15" i="4" s="1"/>
  <c r="U15" i="4" s="1"/>
  <c r="J15" i="6" s="1"/>
  <c r="S14" i="3"/>
  <c r="R14" i="3"/>
  <c r="Q14" i="3"/>
  <c r="P14" i="3"/>
  <c r="O14" i="3"/>
  <c r="Q14" i="4" s="1"/>
  <c r="F14" i="6" s="1"/>
  <c r="N14" i="3"/>
  <c r="P14" i="4" s="1"/>
  <c r="D14" i="6" s="1"/>
  <c r="M14" i="3"/>
  <c r="L14" i="3"/>
  <c r="K14" i="3"/>
  <c r="E14" i="4" s="1"/>
  <c r="J14" i="3"/>
  <c r="D14" i="4" s="1"/>
  <c r="G14" i="6" s="1"/>
  <c r="I14" i="3"/>
  <c r="H14" i="3"/>
  <c r="G14" i="3"/>
  <c r="F14" i="3"/>
  <c r="E14" i="3"/>
  <c r="C14" i="4" s="1"/>
  <c r="E14" i="6" s="1"/>
  <c r="D14" i="3"/>
  <c r="C14" i="3"/>
  <c r="B14" i="3"/>
  <c r="B14" i="4" s="1"/>
  <c r="B14" i="6" s="1"/>
  <c r="A14" i="3"/>
  <c r="A14" i="4" s="1"/>
  <c r="U14" i="4" s="1"/>
  <c r="J14" i="6" s="1"/>
  <c r="S13" i="3"/>
  <c r="R13" i="3"/>
  <c r="Q13" i="3"/>
  <c r="P13" i="3"/>
  <c r="O13" i="3"/>
  <c r="Q13" i="4" s="1"/>
  <c r="F13" i="6" s="1"/>
  <c r="N13" i="3"/>
  <c r="P13" i="4" s="1"/>
  <c r="D13" i="6" s="1"/>
  <c r="M13" i="3"/>
  <c r="L13" i="3"/>
  <c r="K13" i="3"/>
  <c r="E13" i="4" s="1"/>
  <c r="J13" i="3"/>
  <c r="D13" i="4" s="1"/>
  <c r="G13" i="6" s="1"/>
  <c r="I13" i="3"/>
  <c r="H13" i="3"/>
  <c r="G13" i="3"/>
  <c r="F13" i="3"/>
  <c r="E13" i="3"/>
  <c r="C13" i="4" s="1"/>
  <c r="E13" i="6" s="1"/>
  <c r="D13" i="3"/>
  <c r="C13" i="3"/>
  <c r="B13" i="3"/>
  <c r="B13" i="4" s="1"/>
  <c r="B13" i="6" s="1"/>
  <c r="A13" i="3"/>
  <c r="A13" i="4" s="1"/>
  <c r="U13" i="4" s="1"/>
  <c r="J13" i="6" s="1"/>
  <c r="S12" i="3"/>
  <c r="R12" i="3"/>
  <c r="Q12" i="3"/>
  <c r="P12" i="3"/>
  <c r="O12" i="3"/>
  <c r="Q12" i="4" s="1"/>
  <c r="F12" i="6" s="1"/>
  <c r="N12" i="3"/>
  <c r="P12" i="4" s="1"/>
  <c r="D12" i="6" s="1"/>
  <c r="M12" i="3"/>
  <c r="L12" i="3"/>
  <c r="K12" i="3"/>
  <c r="E12" i="4" s="1"/>
  <c r="J12" i="3"/>
  <c r="D12" i="4" s="1"/>
  <c r="G12" i="6" s="1"/>
  <c r="I12" i="3"/>
  <c r="H12" i="3"/>
  <c r="G12" i="3"/>
  <c r="F12" i="3"/>
  <c r="E12" i="3"/>
  <c r="C12" i="4" s="1"/>
  <c r="E12" i="6" s="1"/>
  <c r="D12" i="3"/>
  <c r="C12" i="3"/>
  <c r="B12" i="3"/>
  <c r="B12" i="4" s="1"/>
  <c r="B12" i="6" s="1"/>
  <c r="A12" i="3"/>
  <c r="A12" i="4" s="1"/>
  <c r="U12" i="4" s="1"/>
  <c r="J12" i="6" s="1"/>
  <c r="S11" i="3"/>
  <c r="R11" i="3"/>
  <c r="Q11" i="3"/>
  <c r="P11" i="3"/>
  <c r="O11" i="3"/>
  <c r="Q11" i="4" s="1"/>
  <c r="F11" i="6" s="1"/>
  <c r="N11" i="3"/>
  <c r="P11" i="4" s="1"/>
  <c r="D11" i="6" s="1"/>
  <c r="M11" i="3"/>
  <c r="L11" i="3"/>
  <c r="K11" i="3"/>
  <c r="E11" i="4" s="1"/>
  <c r="J11" i="3"/>
  <c r="D11" i="4" s="1"/>
  <c r="G11" i="6" s="1"/>
  <c r="I11" i="3"/>
  <c r="H11" i="3"/>
  <c r="G11" i="3"/>
  <c r="F11" i="3"/>
  <c r="E11" i="3"/>
  <c r="C11" i="4" s="1"/>
  <c r="E11" i="6" s="1"/>
  <c r="D11" i="3"/>
  <c r="C11" i="3"/>
  <c r="B11" i="3"/>
  <c r="B11" i="4" s="1"/>
  <c r="B11" i="6" s="1"/>
  <c r="A11" i="3"/>
  <c r="A11" i="4" s="1"/>
  <c r="U11" i="4" s="1"/>
  <c r="J11" i="6" s="1"/>
  <c r="S10" i="3"/>
  <c r="R10" i="3"/>
  <c r="Q10" i="3"/>
  <c r="P10" i="3"/>
  <c r="O10" i="3"/>
  <c r="Q10" i="4" s="1"/>
  <c r="F10" i="6" s="1"/>
  <c r="N10" i="3"/>
  <c r="P10" i="4" s="1"/>
  <c r="D10" i="6" s="1"/>
  <c r="M10" i="3"/>
  <c r="L10" i="3"/>
  <c r="K10" i="3"/>
  <c r="E10" i="4" s="1"/>
  <c r="J10" i="3"/>
  <c r="D10" i="4" s="1"/>
  <c r="G10" i="6" s="1"/>
  <c r="I10" i="3"/>
  <c r="H10" i="3"/>
  <c r="G10" i="3"/>
  <c r="F10" i="3"/>
  <c r="E10" i="3"/>
  <c r="C10" i="4" s="1"/>
  <c r="E10" i="6" s="1"/>
  <c r="D10" i="3"/>
  <c r="C10" i="3"/>
  <c r="B10" i="3"/>
  <c r="B10" i="4" s="1"/>
  <c r="B10" i="6" s="1"/>
  <c r="A10" i="3"/>
  <c r="A10" i="4" s="1"/>
  <c r="U10" i="4" s="1"/>
  <c r="J10" i="6" s="1"/>
  <c r="S9" i="3"/>
  <c r="R9" i="3"/>
  <c r="Q9" i="3"/>
  <c r="P9" i="3"/>
  <c r="O9" i="3"/>
  <c r="Q9" i="4" s="1"/>
  <c r="F9" i="6" s="1"/>
  <c r="N9" i="3"/>
  <c r="P9" i="4" s="1"/>
  <c r="D9" i="6" s="1"/>
  <c r="M9" i="3"/>
  <c r="L9" i="3"/>
  <c r="K9" i="3"/>
  <c r="E9" i="4" s="1"/>
  <c r="J9" i="3"/>
  <c r="D9" i="4" s="1"/>
  <c r="G9" i="6" s="1"/>
  <c r="I9" i="3"/>
  <c r="H9" i="3"/>
  <c r="G9" i="3"/>
  <c r="F9" i="3"/>
  <c r="E9" i="3"/>
  <c r="C9" i="4" s="1"/>
  <c r="E9" i="6" s="1"/>
  <c r="D9" i="3"/>
  <c r="C9" i="3"/>
  <c r="B9" i="3"/>
  <c r="B9" i="4" s="1"/>
  <c r="B9" i="6" s="1"/>
  <c r="A9" i="3"/>
  <c r="A9" i="4" s="1"/>
  <c r="U9" i="4" s="1"/>
  <c r="J9" i="6" s="1"/>
  <c r="S8" i="3"/>
  <c r="R8" i="3"/>
  <c r="Q8" i="3"/>
  <c r="P8" i="3"/>
  <c r="O8" i="3"/>
  <c r="Q8" i="4" s="1"/>
  <c r="F8" i="6" s="1"/>
  <c r="N8" i="3"/>
  <c r="P8" i="4" s="1"/>
  <c r="D8" i="6" s="1"/>
  <c r="M8" i="3"/>
  <c r="L8" i="3"/>
  <c r="K8" i="3"/>
  <c r="E8" i="4" s="1"/>
  <c r="J8" i="3"/>
  <c r="D8" i="4" s="1"/>
  <c r="G8" i="6" s="1"/>
  <c r="I8" i="3"/>
  <c r="H8" i="3"/>
  <c r="G8" i="3"/>
  <c r="F8" i="3"/>
  <c r="E8" i="3"/>
  <c r="C8" i="4" s="1"/>
  <c r="E8" i="6" s="1"/>
  <c r="D8" i="3"/>
  <c r="C8" i="3"/>
  <c r="B8" i="3"/>
  <c r="B8" i="4" s="1"/>
  <c r="B8" i="6" s="1"/>
  <c r="A8" i="3"/>
  <c r="A8" i="4" s="1"/>
  <c r="U8" i="4" s="1"/>
  <c r="J8" i="6" s="1"/>
  <c r="S7" i="3"/>
  <c r="R7" i="3"/>
  <c r="Q7" i="3"/>
  <c r="P7" i="3"/>
  <c r="O7" i="3"/>
  <c r="Q7" i="4" s="1"/>
  <c r="F7" i="6" s="1"/>
  <c r="N7" i="3"/>
  <c r="P7" i="4" s="1"/>
  <c r="D7" i="6" s="1"/>
  <c r="M7" i="3"/>
  <c r="L7" i="3"/>
  <c r="K7" i="3"/>
  <c r="E7" i="4" s="1"/>
  <c r="J7" i="3"/>
  <c r="D7" i="4" s="1"/>
  <c r="G7" i="6" s="1"/>
  <c r="I7" i="3"/>
  <c r="H7" i="3"/>
  <c r="G7" i="3"/>
  <c r="F7" i="3"/>
  <c r="E7" i="3"/>
  <c r="C7" i="4" s="1"/>
  <c r="E7" i="6" s="1"/>
  <c r="D7" i="3"/>
  <c r="C7" i="3"/>
  <c r="B7" i="3"/>
  <c r="B7" i="4" s="1"/>
  <c r="B7" i="6" s="1"/>
  <c r="A7" i="3"/>
  <c r="A7" i="4" s="1"/>
  <c r="U7" i="4" s="1"/>
  <c r="J7" i="6" s="1"/>
  <c r="S6" i="3"/>
  <c r="R6" i="3"/>
  <c r="Q6" i="3"/>
  <c r="P6" i="3"/>
  <c r="O6" i="3"/>
  <c r="Q6" i="4" s="1"/>
  <c r="F6" i="6" s="1"/>
  <c r="N6" i="3"/>
  <c r="P6" i="4" s="1"/>
  <c r="D6" i="6" s="1"/>
  <c r="M6" i="3"/>
  <c r="L6" i="3"/>
  <c r="K6" i="3"/>
  <c r="E6" i="4" s="1"/>
  <c r="J6" i="3"/>
  <c r="D6" i="4" s="1"/>
  <c r="G6" i="6" s="1"/>
  <c r="I6" i="3"/>
  <c r="H6" i="3"/>
  <c r="G6" i="3"/>
  <c r="F6" i="3"/>
  <c r="E6" i="3"/>
  <c r="C6" i="4" s="1"/>
  <c r="E6" i="6" s="1"/>
  <c r="D6" i="3"/>
  <c r="C6" i="3"/>
  <c r="B6" i="3"/>
  <c r="B6" i="4" s="1"/>
  <c r="B6" i="6" s="1"/>
  <c r="A6" i="3"/>
  <c r="A6" i="4" s="1"/>
  <c r="U6" i="4" s="1"/>
  <c r="J6" i="6" s="1"/>
  <c r="S5" i="3"/>
  <c r="R5" i="3"/>
  <c r="Q5" i="3"/>
  <c r="P5" i="3"/>
  <c r="O5" i="3"/>
  <c r="Q5" i="4" s="1"/>
  <c r="F5" i="6" s="1"/>
  <c r="N5" i="3"/>
  <c r="P5" i="4" s="1"/>
  <c r="D5" i="6" s="1"/>
  <c r="M5" i="3"/>
  <c r="L5" i="3"/>
  <c r="K5" i="3"/>
  <c r="E5" i="4" s="1"/>
  <c r="J5" i="3"/>
  <c r="D5" i="4" s="1"/>
  <c r="G5" i="6" s="1"/>
  <c r="I5" i="3"/>
  <c r="H5" i="3"/>
  <c r="G5" i="3"/>
  <c r="F5" i="3"/>
  <c r="E5" i="3"/>
  <c r="C5" i="4" s="1"/>
  <c r="E5" i="6" s="1"/>
  <c r="D5" i="3"/>
  <c r="C5" i="3"/>
  <c r="B5" i="3"/>
  <c r="B5" i="4" s="1"/>
  <c r="B5" i="6" s="1"/>
  <c r="A5" i="3"/>
  <c r="A5" i="4" s="1"/>
  <c r="U5" i="4" s="1"/>
  <c r="J5" i="6" s="1"/>
  <c r="S4" i="3"/>
  <c r="R4" i="3"/>
  <c r="Q4" i="3"/>
  <c r="P4" i="3"/>
  <c r="O4" i="3"/>
  <c r="Q4" i="4" s="1"/>
  <c r="F4" i="6" s="1"/>
  <c r="N4" i="3"/>
  <c r="P4" i="4" s="1"/>
  <c r="D4" i="6" s="1"/>
  <c r="M4" i="3"/>
  <c r="L4" i="3"/>
  <c r="K4" i="3"/>
  <c r="E4" i="4" s="1"/>
  <c r="J4" i="3"/>
  <c r="D4" i="4" s="1"/>
  <c r="G4" i="6" s="1"/>
  <c r="I4" i="3"/>
  <c r="H4" i="3"/>
  <c r="G4" i="3"/>
  <c r="F4" i="3"/>
  <c r="E4" i="3"/>
  <c r="C4" i="4" s="1"/>
  <c r="E4" i="6" s="1"/>
  <c r="D4" i="3"/>
  <c r="C4" i="3"/>
  <c r="B4" i="3"/>
  <c r="B4" i="4" s="1"/>
  <c r="B4" i="6" s="1"/>
  <c r="A4" i="3"/>
  <c r="A4" i="4" s="1"/>
  <c r="U4" i="4" s="1"/>
  <c r="J4" i="6" s="1"/>
  <c r="S3" i="3"/>
  <c r="R3" i="3"/>
  <c r="Q3" i="3"/>
  <c r="P3" i="3"/>
  <c r="O3" i="3"/>
  <c r="Q3" i="4" s="1"/>
  <c r="F3" i="6" s="1"/>
  <c r="N3" i="3"/>
  <c r="P3" i="4" s="1"/>
  <c r="D3" i="6" s="1"/>
  <c r="M3" i="3"/>
  <c r="L3" i="3"/>
  <c r="K3" i="3"/>
  <c r="J3" i="3"/>
  <c r="I3" i="3"/>
  <c r="H3" i="3"/>
  <c r="G3" i="3"/>
  <c r="F3" i="3"/>
  <c r="E3" i="3"/>
  <c r="D3" i="3"/>
  <c r="C3" i="3"/>
  <c r="B3" i="3"/>
  <c r="B3" i="4" s="1"/>
  <c r="B3" i="6" s="1"/>
  <c r="A3" i="3"/>
  <c r="A3" i="4" s="1"/>
  <c r="U3" i="4" s="1"/>
  <c r="J3" i="6" s="1"/>
  <c r="G43" i="1"/>
  <c r="E43" i="1"/>
  <c r="D5" i="1"/>
  <c r="F5" i="1" l="1"/>
  <c r="B77" i="5"/>
  <c r="N64" i="4"/>
  <c r="R64" i="6" s="1"/>
  <c r="U64" i="4"/>
  <c r="J64" i="6" s="1"/>
  <c r="H56" i="4"/>
  <c r="U56" i="4"/>
  <c r="J56" i="6" s="1"/>
  <c r="H68" i="4"/>
  <c r="U68" i="4"/>
  <c r="J68" i="6" s="1"/>
  <c r="U51" i="4"/>
  <c r="J51" i="6" s="1"/>
  <c r="U24" i="4"/>
  <c r="J24" i="6" s="1"/>
  <c r="B75" i="5"/>
  <c r="B76" i="5"/>
  <c r="A53" i="6"/>
  <c r="U53" i="4"/>
  <c r="J53" i="6" s="1"/>
  <c r="U63" i="4"/>
  <c r="J63" i="6" s="1"/>
  <c r="H28" i="4"/>
  <c r="U28" i="4"/>
  <c r="J28" i="6" s="1"/>
  <c r="U36" i="4"/>
  <c r="J36" i="6" s="1"/>
  <c r="N42" i="4"/>
  <c r="R42" i="6" s="1"/>
  <c r="U42" i="4"/>
  <c r="J42" i="6" s="1"/>
  <c r="G32" i="4"/>
  <c r="U32" i="4"/>
  <c r="J32" i="6" s="1"/>
  <c r="N66" i="4"/>
  <c r="R66" i="6" s="1"/>
  <c r="U66" i="4"/>
  <c r="J66" i="6" s="1"/>
  <c r="N44" i="4"/>
  <c r="R44" i="6" s="1"/>
  <c r="U44" i="4"/>
  <c r="J44" i="6" s="1"/>
  <c r="I174" i="4"/>
  <c r="I169" i="4"/>
  <c r="I26" i="4"/>
  <c r="I171" i="4"/>
  <c r="I195" i="4"/>
  <c r="I56" i="4"/>
  <c r="I34" i="4"/>
  <c r="I114" i="4"/>
  <c r="I24" i="4"/>
  <c r="I57" i="4"/>
  <c r="I131" i="4"/>
  <c r="I136" i="4"/>
  <c r="I198" i="4"/>
  <c r="I98" i="4"/>
  <c r="I119" i="4"/>
  <c r="I8" i="4"/>
  <c r="I132" i="4"/>
  <c r="I159" i="4"/>
  <c r="I116" i="4"/>
  <c r="I161" i="4"/>
  <c r="I164" i="4"/>
  <c r="I32" i="4"/>
  <c r="I100" i="4"/>
  <c r="I10" i="4"/>
  <c r="I60" i="4"/>
  <c r="I44" i="4"/>
  <c r="I84" i="4"/>
  <c r="I20" i="4"/>
  <c r="I55" i="4"/>
  <c r="I59" i="4"/>
  <c r="I110" i="4"/>
  <c r="I140" i="4"/>
  <c r="I179" i="4"/>
  <c r="I189" i="4"/>
  <c r="I194" i="4"/>
  <c r="I6" i="4"/>
  <c r="I30" i="4"/>
  <c r="I45" i="4"/>
  <c r="I16" i="4"/>
  <c r="I70" i="4"/>
  <c r="I80" i="4"/>
  <c r="I106" i="4"/>
  <c r="I120" i="4"/>
  <c r="I151" i="4"/>
  <c r="I156" i="4"/>
  <c r="I175" i="4"/>
  <c r="I199" i="4"/>
  <c r="I12" i="4"/>
  <c r="I36" i="4"/>
  <c r="I46" i="4"/>
  <c r="I66" i="4"/>
  <c r="I102" i="4"/>
  <c r="I147" i="4"/>
  <c r="I186" i="4"/>
  <c r="I22" i="4"/>
  <c r="I71" i="4"/>
  <c r="I76" i="4"/>
  <c r="I92" i="4"/>
  <c r="I112" i="4"/>
  <c r="I121" i="4"/>
  <c r="I191" i="4"/>
  <c r="I18" i="4"/>
  <c r="I47" i="4"/>
  <c r="I108" i="4"/>
  <c r="I153" i="4"/>
  <c r="I158" i="4"/>
  <c r="I168" i="4"/>
  <c r="I187" i="4"/>
  <c r="I4" i="4"/>
  <c r="I28" i="4"/>
  <c r="I72" i="4"/>
  <c r="I88" i="4"/>
  <c r="I118" i="4"/>
  <c r="I128" i="4"/>
  <c r="I173" i="4"/>
  <c r="I197" i="4"/>
  <c r="I14" i="4"/>
  <c r="I38" i="4"/>
  <c r="I58" i="4"/>
  <c r="I68" i="4"/>
  <c r="I104" i="4"/>
  <c r="I144" i="4"/>
  <c r="I149" i="4"/>
  <c r="I178" i="4"/>
  <c r="I183" i="4"/>
  <c r="I202" i="4"/>
  <c r="A10" i="6"/>
  <c r="H10" i="4"/>
  <c r="G10" i="4"/>
  <c r="N10" i="4"/>
  <c r="R10" i="6" s="1"/>
  <c r="M10" i="4"/>
  <c r="H12" i="6"/>
  <c r="R12" i="4"/>
  <c r="A22" i="6"/>
  <c r="N22" i="4"/>
  <c r="R22" i="6" s="1"/>
  <c r="M22" i="4"/>
  <c r="H22" i="4"/>
  <c r="G22" i="4"/>
  <c r="H24" i="6"/>
  <c r="R24" i="4"/>
  <c r="A34" i="6"/>
  <c r="G34" i="4"/>
  <c r="H34" i="4"/>
  <c r="N34" i="4"/>
  <c r="R34" i="6" s="1"/>
  <c r="M34" i="4"/>
  <c r="H60" i="6"/>
  <c r="R60" i="4"/>
  <c r="H10" i="6"/>
  <c r="R10" i="4"/>
  <c r="H22" i="6"/>
  <c r="R22" i="4"/>
  <c r="A5" i="6"/>
  <c r="H5" i="4"/>
  <c r="G5" i="4"/>
  <c r="N5" i="4"/>
  <c r="R5" i="6" s="1"/>
  <c r="M5" i="4"/>
  <c r="H7" i="6"/>
  <c r="R7" i="4"/>
  <c r="A17" i="6"/>
  <c r="N17" i="4"/>
  <c r="R17" i="6" s="1"/>
  <c r="M17" i="4"/>
  <c r="H17" i="4"/>
  <c r="G17" i="4"/>
  <c r="H19" i="6"/>
  <c r="R19" i="4"/>
  <c r="A29" i="6"/>
  <c r="N29" i="4"/>
  <c r="R29" i="6" s="1"/>
  <c r="H29" i="4"/>
  <c r="M29" i="4"/>
  <c r="G29" i="4"/>
  <c r="H31" i="6"/>
  <c r="R31" i="4"/>
  <c r="A41" i="6"/>
  <c r="H41" i="4"/>
  <c r="N41" i="4"/>
  <c r="R41" i="6" s="1"/>
  <c r="M41" i="4"/>
  <c r="G41" i="4"/>
  <c r="A65" i="6"/>
  <c r="H65" i="4"/>
  <c r="N65" i="4"/>
  <c r="R65" i="6" s="1"/>
  <c r="M65" i="4"/>
  <c r="G65" i="4"/>
  <c r="A12" i="6"/>
  <c r="H12" i="4"/>
  <c r="G12" i="4"/>
  <c r="N12" i="4"/>
  <c r="R12" i="6" s="1"/>
  <c r="M12" i="4"/>
  <c r="H14" i="6"/>
  <c r="R14" i="4"/>
  <c r="N36" i="6"/>
  <c r="K36" i="4"/>
  <c r="S36" i="4"/>
  <c r="H50" i="6"/>
  <c r="R50" i="4"/>
  <c r="H62" i="6"/>
  <c r="R62" i="4"/>
  <c r="A7" i="6"/>
  <c r="G7" i="4"/>
  <c r="N7" i="4"/>
  <c r="R7" i="6" s="1"/>
  <c r="M7" i="4"/>
  <c r="H7" i="4"/>
  <c r="H9" i="6"/>
  <c r="R9" i="4"/>
  <c r="A19" i="6"/>
  <c r="N19" i="4"/>
  <c r="R19" i="6" s="1"/>
  <c r="M19" i="4"/>
  <c r="H19" i="4"/>
  <c r="G19" i="4"/>
  <c r="H21" i="6"/>
  <c r="R21" i="4"/>
  <c r="A31" i="6"/>
  <c r="H31" i="4"/>
  <c r="N31" i="4"/>
  <c r="R31" i="6" s="1"/>
  <c r="M31" i="4"/>
  <c r="G31" i="4"/>
  <c r="H33" i="6"/>
  <c r="R33" i="4"/>
  <c r="A43" i="6"/>
  <c r="M43" i="4"/>
  <c r="N43" i="4"/>
  <c r="R43" i="6" s="1"/>
  <c r="H43" i="4"/>
  <c r="G43" i="4"/>
  <c r="A55" i="6"/>
  <c r="N55" i="4"/>
  <c r="R55" i="6" s="1"/>
  <c r="M55" i="4"/>
  <c r="H55" i="4"/>
  <c r="G55" i="4"/>
  <c r="A67" i="6"/>
  <c r="M67" i="4"/>
  <c r="N67" i="4"/>
  <c r="R67" i="6" s="1"/>
  <c r="H67" i="4"/>
  <c r="G67" i="4"/>
  <c r="H69" i="6"/>
  <c r="R69" i="4"/>
  <c r="H4" i="6"/>
  <c r="R4" i="4"/>
  <c r="A14" i="6"/>
  <c r="H14" i="4"/>
  <c r="G14" i="4"/>
  <c r="N14" i="4"/>
  <c r="R14" i="6" s="1"/>
  <c r="M14" i="4"/>
  <c r="H16" i="6"/>
  <c r="R16" i="4"/>
  <c r="A26" i="6"/>
  <c r="G26" i="4"/>
  <c r="M26" i="4"/>
  <c r="H26" i="4"/>
  <c r="N26" i="4"/>
  <c r="R26" i="6" s="1"/>
  <c r="H28" i="6"/>
  <c r="R28" i="4"/>
  <c r="A38" i="6"/>
  <c r="G38" i="4"/>
  <c r="N38" i="4"/>
  <c r="R38" i="6" s="1"/>
  <c r="M38" i="4"/>
  <c r="H38" i="4"/>
  <c r="H40" i="6"/>
  <c r="R40" i="4"/>
  <c r="H52" i="6"/>
  <c r="R52" i="4"/>
  <c r="H64" i="6"/>
  <c r="R64" i="4"/>
  <c r="A9" i="6"/>
  <c r="N9" i="4"/>
  <c r="R9" i="6" s="1"/>
  <c r="M9" i="4"/>
  <c r="H9" i="4"/>
  <c r="G9" i="4"/>
  <c r="H11" i="6"/>
  <c r="R11" i="4"/>
  <c r="A21" i="6"/>
  <c r="M21" i="4"/>
  <c r="H21" i="4"/>
  <c r="G21" i="4"/>
  <c r="N21" i="4"/>
  <c r="R21" i="6" s="1"/>
  <c r="H23" i="6"/>
  <c r="R23" i="4"/>
  <c r="A33" i="6"/>
  <c r="N33" i="4"/>
  <c r="R33" i="6" s="1"/>
  <c r="H33" i="4"/>
  <c r="M33" i="4"/>
  <c r="G33" i="4"/>
  <c r="H35" i="6"/>
  <c r="R35" i="4"/>
  <c r="A45" i="6"/>
  <c r="N45" i="4"/>
  <c r="R45" i="6" s="1"/>
  <c r="M45" i="4"/>
  <c r="H45" i="4"/>
  <c r="G45" i="4"/>
  <c r="H47" i="6"/>
  <c r="R47" i="4"/>
  <c r="A57" i="6"/>
  <c r="M57" i="4"/>
  <c r="G57" i="4"/>
  <c r="H57" i="4"/>
  <c r="N57" i="4"/>
  <c r="R57" i="6" s="1"/>
  <c r="A4" i="6"/>
  <c r="N4" i="4"/>
  <c r="R4" i="6" s="1"/>
  <c r="M4" i="4"/>
  <c r="H4" i="4"/>
  <c r="G4" i="4"/>
  <c r="H6" i="6"/>
  <c r="R6" i="4"/>
  <c r="A16" i="6"/>
  <c r="H16" i="4"/>
  <c r="G16" i="4"/>
  <c r="N16" i="4"/>
  <c r="R16" i="6" s="1"/>
  <c r="M16" i="4"/>
  <c r="H18" i="6"/>
  <c r="R18" i="4"/>
  <c r="N28" i="6"/>
  <c r="K28" i="4"/>
  <c r="S28" i="4"/>
  <c r="H54" i="6"/>
  <c r="R54" i="4"/>
  <c r="A11" i="6"/>
  <c r="N11" i="4"/>
  <c r="R11" i="6" s="1"/>
  <c r="M11" i="4"/>
  <c r="H11" i="4"/>
  <c r="G11" i="4"/>
  <c r="H13" i="6"/>
  <c r="R13" i="4"/>
  <c r="A23" i="6"/>
  <c r="H23" i="4"/>
  <c r="G23" i="4"/>
  <c r="N23" i="4"/>
  <c r="R23" i="6" s="1"/>
  <c r="M23" i="4"/>
  <c r="H25" i="6"/>
  <c r="R25" i="4"/>
  <c r="A35" i="6"/>
  <c r="H35" i="4"/>
  <c r="G35" i="4"/>
  <c r="N35" i="4"/>
  <c r="R35" i="6" s="1"/>
  <c r="M35" i="4"/>
  <c r="H37" i="6"/>
  <c r="R37" i="4"/>
  <c r="H49" i="6"/>
  <c r="R49" i="4"/>
  <c r="A59" i="6"/>
  <c r="N59" i="4"/>
  <c r="R59" i="6" s="1"/>
  <c r="M59" i="4"/>
  <c r="H59" i="4"/>
  <c r="G59" i="4"/>
  <c r="H61" i="6"/>
  <c r="R61" i="4"/>
  <c r="A71" i="6"/>
  <c r="G71" i="4"/>
  <c r="N71" i="4"/>
  <c r="R71" i="6" s="1"/>
  <c r="M71" i="4"/>
  <c r="H71" i="4"/>
  <c r="A6" i="6"/>
  <c r="N6" i="4"/>
  <c r="R6" i="6" s="1"/>
  <c r="M6" i="4"/>
  <c r="H6" i="4"/>
  <c r="G6" i="4"/>
  <c r="H8" i="6"/>
  <c r="R8" i="4"/>
  <c r="A18" i="6"/>
  <c r="G18" i="4"/>
  <c r="N18" i="4"/>
  <c r="R18" i="6" s="1"/>
  <c r="M18" i="4"/>
  <c r="H18" i="4"/>
  <c r="H20" i="6"/>
  <c r="R20" i="4"/>
  <c r="A30" i="6"/>
  <c r="G30" i="4"/>
  <c r="N30" i="4"/>
  <c r="R30" i="6" s="1"/>
  <c r="M30" i="4"/>
  <c r="H30" i="4"/>
  <c r="A13" i="6"/>
  <c r="N13" i="4"/>
  <c r="R13" i="6" s="1"/>
  <c r="M13" i="4"/>
  <c r="H13" i="4"/>
  <c r="G13" i="4"/>
  <c r="H15" i="6"/>
  <c r="R15" i="4"/>
  <c r="A25" i="6"/>
  <c r="N25" i="4"/>
  <c r="R25" i="6" s="1"/>
  <c r="M25" i="4"/>
  <c r="H25" i="4"/>
  <c r="G25" i="4"/>
  <c r="H27" i="6"/>
  <c r="R27" i="4"/>
  <c r="H39" i="6"/>
  <c r="R39" i="4"/>
  <c r="H51" i="6"/>
  <c r="R51" i="4"/>
  <c r="H63" i="6"/>
  <c r="R63" i="4"/>
  <c r="M32" i="6"/>
  <c r="J32" i="4"/>
  <c r="N56" i="6"/>
  <c r="S56" i="4"/>
  <c r="K56" i="4"/>
  <c r="N68" i="6"/>
  <c r="S68" i="4"/>
  <c r="K68" i="4"/>
  <c r="A8" i="6"/>
  <c r="M8" i="4"/>
  <c r="H8" i="4"/>
  <c r="G8" i="4"/>
  <c r="N8" i="4"/>
  <c r="R8" i="6" s="1"/>
  <c r="A20" i="6"/>
  <c r="N20" i="4"/>
  <c r="R20" i="6" s="1"/>
  <c r="M20" i="4"/>
  <c r="H20" i="4"/>
  <c r="G20" i="4"/>
  <c r="A3" i="6"/>
  <c r="H3" i="4"/>
  <c r="G3" i="4"/>
  <c r="N3" i="4"/>
  <c r="R3" i="6" s="1"/>
  <c r="M3" i="4"/>
  <c r="H5" i="6"/>
  <c r="R5" i="4"/>
  <c r="A15" i="6"/>
  <c r="N15" i="4"/>
  <c r="R15" i="6" s="1"/>
  <c r="M15" i="4"/>
  <c r="H15" i="4"/>
  <c r="G15" i="4"/>
  <c r="H17" i="6"/>
  <c r="R17" i="4"/>
  <c r="A27" i="6"/>
  <c r="H27" i="4"/>
  <c r="G27" i="4"/>
  <c r="N27" i="4"/>
  <c r="R27" i="6" s="1"/>
  <c r="M27" i="4"/>
  <c r="H29" i="6"/>
  <c r="R29" i="4"/>
  <c r="A39" i="6"/>
  <c r="H39" i="4"/>
  <c r="N39" i="4"/>
  <c r="R39" i="6" s="1"/>
  <c r="M39" i="4"/>
  <c r="G39" i="4"/>
  <c r="H41" i="6"/>
  <c r="R41" i="4"/>
  <c r="Q51" i="6"/>
  <c r="B73" i="5"/>
  <c r="B70" i="5"/>
  <c r="B67" i="5"/>
  <c r="B64" i="5"/>
  <c r="B61" i="5"/>
  <c r="B58" i="5"/>
  <c r="B55" i="5"/>
  <c r="B8" i="5"/>
  <c r="B72" i="5"/>
  <c r="B69" i="5"/>
  <c r="B66" i="5"/>
  <c r="B63" i="5"/>
  <c r="B60" i="5"/>
  <c r="B57" i="5"/>
  <c r="B68" i="5"/>
  <c r="B62" i="5"/>
  <c r="B56" i="5"/>
  <c r="B74" i="5"/>
  <c r="B71" i="5"/>
  <c r="B65" i="5"/>
  <c r="B59" i="5"/>
  <c r="C3" i="4"/>
  <c r="E3" i="6" s="1"/>
  <c r="H57" i="6"/>
  <c r="R57" i="4"/>
  <c r="A79" i="6"/>
  <c r="H79" i="4"/>
  <c r="G79" i="4"/>
  <c r="N79" i="4"/>
  <c r="R79" i="6" s="1"/>
  <c r="M79" i="4"/>
  <c r="H81" i="6"/>
  <c r="R81" i="4"/>
  <c r="A91" i="6"/>
  <c r="H91" i="4"/>
  <c r="G91" i="4"/>
  <c r="N91" i="4"/>
  <c r="R91" i="6" s="1"/>
  <c r="M91" i="4"/>
  <c r="H93" i="6"/>
  <c r="R93" i="4"/>
  <c r="A103" i="6"/>
  <c r="H103" i="4"/>
  <c r="G103" i="4"/>
  <c r="N103" i="4"/>
  <c r="R103" i="6" s="1"/>
  <c r="M103" i="4"/>
  <c r="H105" i="6"/>
  <c r="R105" i="4"/>
  <c r="A115" i="6"/>
  <c r="H115" i="4"/>
  <c r="G115" i="4"/>
  <c r="N115" i="4"/>
  <c r="R115" i="6" s="1"/>
  <c r="M115" i="4"/>
  <c r="H117" i="6"/>
  <c r="R117" i="4"/>
  <c r="A127" i="6"/>
  <c r="G127" i="4"/>
  <c r="N127" i="4"/>
  <c r="R127" i="6" s="1"/>
  <c r="H127" i="4"/>
  <c r="M127" i="4"/>
  <c r="H129" i="6"/>
  <c r="R129" i="4"/>
  <c r="A139" i="6"/>
  <c r="G139" i="4"/>
  <c r="N139" i="4"/>
  <c r="R139" i="6" s="1"/>
  <c r="M139" i="4"/>
  <c r="H139" i="4"/>
  <c r="H141" i="6"/>
  <c r="R141" i="4"/>
  <c r="A151" i="6"/>
  <c r="G151" i="4"/>
  <c r="N151" i="4"/>
  <c r="R151" i="6" s="1"/>
  <c r="M151" i="4"/>
  <c r="H151" i="4"/>
  <c r="H153" i="6"/>
  <c r="R153" i="4"/>
  <c r="A163" i="6"/>
  <c r="G163" i="4"/>
  <c r="N163" i="4"/>
  <c r="R163" i="6" s="1"/>
  <c r="H163" i="4"/>
  <c r="M163" i="4"/>
  <c r="H165" i="6"/>
  <c r="R165" i="4"/>
  <c r="A175" i="6"/>
  <c r="G175" i="4"/>
  <c r="N175" i="4"/>
  <c r="R175" i="6" s="1"/>
  <c r="M175" i="4"/>
  <c r="H175" i="4"/>
  <c r="H177" i="6"/>
  <c r="R177" i="4"/>
  <c r="A187" i="6"/>
  <c r="G187" i="4"/>
  <c r="N187" i="4"/>
  <c r="R187" i="6" s="1"/>
  <c r="H187" i="4"/>
  <c r="M187" i="4"/>
  <c r="H189" i="6"/>
  <c r="R189" i="4"/>
  <c r="A199" i="6"/>
  <c r="G199" i="4"/>
  <c r="N199" i="4"/>
  <c r="R199" i="6" s="1"/>
  <c r="M199" i="4"/>
  <c r="H199" i="4"/>
  <c r="H201" i="6"/>
  <c r="R201" i="4"/>
  <c r="L11" i="6"/>
  <c r="I11" i="4"/>
  <c r="L41" i="6"/>
  <c r="I41" i="4"/>
  <c r="M53" i="4"/>
  <c r="L63" i="6"/>
  <c r="I63" i="4"/>
  <c r="L73" i="6"/>
  <c r="I73" i="4"/>
  <c r="R77" i="4"/>
  <c r="A50" i="6"/>
  <c r="M50" i="4"/>
  <c r="G50" i="4"/>
  <c r="H50" i="4"/>
  <c r="A62" i="6"/>
  <c r="D62" i="5"/>
  <c r="M62" i="4"/>
  <c r="G62" i="4"/>
  <c r="N62" i="4"/>
  <c r="R62" i="6" s="1"/>
  <c r="H62" i="4"/>
  <c r="A74" i="6"/>
  <c r="M74" i="4"/>
  <c r="H74" i="4"/>
  <c r="G74" i="4"/>
  <c r="N74" i="4"/>
  <c r="R74" i="6" s="1"/>
  <c r="H76" i="6"/>
  <c r="R76" i="4"/>
  <c r="A86" i="6"/>
  <c r="M86" i="4"/>
  <c r="H86" i="4"/>
  <c r="G86" i="4"/>
  <c r="N86" i="4"/>
  <c r="R86" i="6" s="1"/>
  <c r="H88" i="6"/>
  <c r="R88" i="4"/>
  <c r="A98" i="6"/>
  <c r="N98" i="4"/>
  <c r="R98" i="6" s="1"/>
  <c r="M98" i="4"/>
  <c r="H98" i="4"/>
  <c r="G98" i="4"/>
  <c r="H100" i="6"/>
  <c r="R100" i="4"/>
  <c r="A110" i="6"/>
  <c r="N110" i="4"/>
  <c r="R110" i="6" s="1"/>
  <c r="M110" i="4"/>
  <c r="H110" i="4"/>
  <c r="G110" i="4"/>
  <c r="H112" i="6"/>
  <c r="R112" i="4"/>
  <c r="A122" i="6"/>
  <c r="N122" i="4"/>
  <c r="R122" i="6" s="1"/>
  <c r="G122" i="4"/>
  <c r="M122" i="4"/>
  <c r="H122" i="4"/>
  <c r="H124" i="6"/>
  <c r="R124" i="4"/>
  <c r="A134" i="6"/>
  <c r="N134" i="4"/>
  <c r="R134" i="6" s="1"/>
  <c r="M134" i="4"/>
  <c r="H134" i="4"/>
  <c r="G134" i="4"/>
  <c r="H136" i="6"/>
  <c r="R136" i="4"/>
  <c r="A146" i="6"/>
  <c r="N146" i="4"/>
  <c r="R146" i="6" s="1"/>
  <c r="M146" i="4"/>
  <c r="H146" i="4"/>
  <c r="G146" i="4"/>
  <c r="H148" i="6"/>
  <c r="R148" i="4"/>
  <c r="A158" i="6"/>
  <c r="N158" i="4"/>
  <c r="R158" i="6" s="1"/>
  <c r="M158" i="4"/>
  <c r="H158" i="4"/>
  <c r="G158" i="4"/>
  <c r="H160" i="6"/>
  <c r="R160" i="4"/>
  <c r="A170" i="6"/>
  <c r="N170" i="4"/>
  <c r="R170" i="6" s="1"/>
  <c r="G170" i="4"/>
  <c r="M170" i="4"/>
  <c r="H170" i="4"/>
  <c r="H172" i="6"/>
  <c r="R172" i="4"/>
  <c r="A182" i="6"/>
  <c r="N182" i="4"/>
  <c r="R182" i="6" s="1"/>
  <c r="M182" i="4"/>
  <c r="H182" i="4"/>
  <c r="G182" i="4"/>
  <c r="H184" i="6"/>
  <c r="R184" i="4"/>
  <c r="A194" i="6"/>
  <c r="N194" i="4"/>
  <c r="R194" i="6" s="1"/>
  <c r="M194" i="4"/>
  <c r="H194" i="4"/>
  <c r="G194" i="4"/>
  <c r="H196" i="6"/>
  <c r="R196" i="4"/>
  <c r="L13" i="6"/>
  <c r="I13" i="4"/>
  <c r="G24" i="4"/>
  <c r="G28" i="4"/>
  <c r="L29" i="6"/>
  <c r="I29" i="4"/>
  <c r="L52" i="6"/>
  <c r="I52" i="4"/>
  <c r="N53" i="4"/>
  <c r="R53" i="6" s="1"/>
  <c r="R59" i="4"/>
  <c r="H66" i="4"/>
  <c r="L69" i="6"/>
  <c r="I69" i="4"/>
  <c r="R75" i="4"/>
  <c r="A69" i="6"/>
  <c r="M69" i="4"/>
  <c r="H69" i="4"/>
  <c r="G69" i="4"/>
  <c r="A81" i="6"/>
  <c r="N81" i="4"/>
  <c r="R81" i="6" s="1"/>
  <c r="M81" i="4"/>
  <c r="H81" i="4"/>
  <c r="G81" i="4"/>
  <c r="A93" i="6"/>
  <c r="N93" i="4"/>
  <c r="R93" i="6" s="1"/>
  <c r="M93" i="4"/>
  <c r="H93" i="4"/>
  <c r="G93" i="4"/>
  <c r="H95" i="6"/>
  <c r="R95" i="4"/>
  <c r="A105" i="6"/>
  <c r="N105" i="4"/>
  <c r="R105" i="6" s="1"/>
  <c r="M105" i="4"/>
  <c r="H105" i="4"/>
  <c r="G105" i="4"/>
  <c r="H107" i="6"/>
  <c r="R107" i="4"/>
  <c r="A117" i="6"/>
  <c r="N117" i="4"/>
  <c r="R117" i="6" s="1"/>
  <c r="M117" i="4"/>
  <c r="H117" i="4"/>
  <c r="G117" i="4"/>
  <c r="H119" i="6"/>
  <c r="R119" i="4"/>
  <c r="A129" i="6"/>
  <c r="M129" i="4"/>
  <c r="H129" i="4"/>
  <c r="G129" i="4"/>
  <c r="N129" i="4"/>
  <c r="R129" i="6" s="1"/>
  <c r="H131" i="6"/>
  <c r="R131" i="4"/>
  <c r="A141" i="6"/>
  <c r="M141" i="4"/>
  <c r="H141" i="4"/>
  <c r="G141" i="4"/>
  <c r="N141" i="4"/>
  <c r="R141" i="6" s="1"/>
  <c r="H143" i="6"/>
  <c r="R143" i="4"/>
  <c r="A153" i="6"/>
  <c r="M153" i="4"/>
  <c r="H153" i="4"/>
  <c r="G153" i="4"/>
  <c r="N153" i="4"/>
  <c r="R153" i="6" s="1"/>
  <c r="H155" i="6"/>
  <c r="R155" i="4"/>
  <c r="A165" i="6"/>
  <c r="M165" i="4"/>
  <c r="H165" i="4"/>
  <c r="N165" i="4"/>
  <c r="R165" i="6" s="1"/>
  <c r="G165" i="4"/>
  <c r="H167" i="6"/>
  <c r="R167" i="4"/>
  <c r="A177" i="6"/>
  <c r="M177" i="4"/>
  <c r="H177" i="4"/>
  <c r="G177" i="4"/>
  <c r="N177" i="4"/>
  <c r="R177" i="6" s="1"/>
  <c r="H179" i="6"/>
  <c r="R179" i="4"/>
  <c r="A189" i="6"/>
  <c r="M189" i="4"/>
  <c r="H189" i="4"/>
  <c r="N189" i="4"/>
  <c r="R189" i="6" s="1"/>
  <c r="G189" i="4"/>
  <c r="H191" i="6"/>
  <c r="R191" i="4"/>
  <c r="A201" i="6"/>
  <c r="M201" i="4"/>
  <c r="H201" i="4"/>
  <c r="G201" i="4"/>
  <c r="N201" i="4"/>
  <c r="R201" i="6" s="1"/>
  <c r="L15" i="6"/>
  <c r="I15" i="4"/>
  <c r="H24" i="4"/>
  <c r="L25" i="6"/>
  <c r="I25" i="4"/>
  <c r="R58" i="4"/>
  <c r="M63" i="4"/>
  <c r="A28" i="6"/>
  <c r="M28" i="4"/>
  <c r="H30" i="6"/>
  <c r="R30" i="4"/>
  <c r="A40" i="6"/>
  <c r="G40" i="4"/>
  <c r="M40" i="4"/>
  <c r="H42" i="6"/>
  <c r="R42" i="4"/>
  <c r="A52" i="6"/>
  <c r="G52" i="4"/>
  <c r="M52" i="4"/>
  <c r="H52" i="4"/>
  <c r="A64" i="6"/>
  <c r="D64" i="5"/>
  <c r="G64" i="4"/>
  <c r="M64" i="4"/>
  <c r="H66" i="6"/>
  <c r="R66" i="4"/>
  <c r="A76" i="6"/>
  <c r="G76" i="4"/>
  <c r="N76" i="4"/>
  <c r="R76" i="6" s="1"/>
  <c r="M76" i="4"/>
  <c r="H76" i="4"/>
  <c r="A88" i="6"/>
  <c r="G88" i="4"/>
  <c r="N88" i="4"/>
  <c r="R88" i="6" s="1"/>
  <c r="M88" i="4"/>
  <c r="H88" i="4"/>
  <c r="H90" i="6"/>
  <c r="R90" i="4"/>
  <c r="A100" i="6"/>
  <c r="H100" i="4"/>
  <c r="G100" i="4"/>
  <c r="N100" i="4"/>
  <c r="R100" i="6" s="1"/>
  <c r="M100" i="4"/>
  <c r="H102" i="6"/>
  <c r="R102" i="4"/>
  <c r="A112" i="6"/>
  <c r="H112" i="4"/>
  <c r="G112" i="4"/>
  <c r="N112" i="4"/>
  <c r="R112" i="6" s="1"/>
  <c r="M112" i="4"/>
  <c r="H114" i="6"/>
  <c r="R114" i="4"/>
  <c r="A124" i="6"/>
  <c r="H124" i="4"/>
  <c r="G124" i="4"/>
  <c r="N124" i="4"/>
  <c r="R124" i="6" s="1"/>
  <c r="M124" i="4"/>
  <c r="H126" i="6"/>
  <c r="R126" i="4"/>
  <c r="A136" i="6"/>
  <c r="H136" i="4"/>
  <c r="G136" i="4"/>
  <c r="N136" i="4"/>
  <c r="R136" i="6" s="1"/>
  <c r="M136" i="4"/>
  <c r="H138" i="6"/>
  <c r="R138" i="4"/>
  <c r="A148" i="6"/>
  <c r="M148" i="4"/>
  <c r="H148" i="4"/>
  <c r="N148" i="4"/>
  <c r="R148" i="6" s="1"/>
  <c r="G148" i="4"/>
  <c r="H150" i="6"/>
  <c r="R150" i="4"/>
  <c r="A160" i="6"/>
  <c r="N160" i="4"/>
  <c r="R160" i="6" s="1"/>
  <c r="M160" i="4"/>
  <c r="H160" i="4"/>
  <c r="G160" i="4"/>
  <c r="H162" i="6"/>
  <c r="R162" i="4"/>
  <c r="A172" i="6"/>
  <c r="H172" i="4"/>
  <c r="M172" i="4"/>
  <c r="G172" i="4"/>
  <c r="N172" i="4"/>
  <c r="R172" i="6" s="1"/>
  <c r="H174" i="6"/>
  <c r="R174" i="4"/>
  <c r="A184" i="6"/>
  <c r="H184" i="4"/>
  <c r="N184" i="4"/>
  <c r="R184" i="6" s="1"/>
  <c r="M184" i="4"/>
  <c r="G184" i="4"/>
  <c r="H186" i="6"/>
  <c r="R186" i="4"/>
  <c r="A196" i="6"/>
  <c r="H196" i="4"/>
  <c r="M196" i="4"/>
  <c r="G196" i="4"/>
  <c r="N196" i="4"/>
  <c r="R196" i="6" s="1"/>
  <c r="H198" i="6"/>
  <c r="R198" i="4"/>
  <c r="L17" i="6"/>
  <c r="I17" i="4"/>
  <c r="L40" i="6"/>
  <c r="I40" i="4"/>
  <c r="H44" i="4"/>
  <c r="R48" i="4"/>
  <c r="L51" i="6"/>
  <c r="I51" i="4"/>
  <c r="N52" i="4"/>
  <c r="R52" i="6" s="1"/>
  <c r="L62" i="6"/>
  <c r="I62" i="4"/>
  <c r="N69" i="4"/>
  <c r="R69" i="6" s="1"/>
  <c r="B14" i="5"/>
  <c r="B16" i="5" s="1"/>
  <c r="B13" i="5"/>
  <c r="B15" i="5" s="1"/>
  <c r="E45" i="1" s="1"/>
  <c r="A47" i="6"/>
  <c r="M47" i="4"/>
  <c r="G47" i="4"/>
  <c r="N47" i="4"/>
  <c r="R47" i="6" s="1"/>
  <c r="H73" i="6"/>
  <c r="R73" i="4"/>
  <c r="A83" i="6"/>
  <c r="H83" i="4"/>
  <c r="G83" i="4"/>
  <c r="N83" i="4"/>
  <c r="R83" i="6" s="1"/>
  <c r="M83" i="4"/>
  <c r="H85" i="6"/>
  <c r="R85" i="4"/>
  <c r="A95" i="6"/>
  <c r="H95" i="4"/>
  <c r="G95" i="4"/>
  <c r="N95" i="4"/>
  <c r="R95" i="6" s="1"/>
  <c r="M95" i="4"/>
  <c r="H97" i="6"/>
  <c r="R97" i="4"/>
  <c r="A107" i="6"/>
  <c r="H107" i="4"/>
  <c r="G107" i="4"/>
  <c r="N107" i="4"/>
  <c r="R107" i="6" s="1"/>
  <c r="M107" i="4"/>
  <c r="H109" i="6"/>
  <c r="R109" i="4"/>
  <c r="A119" i="6"/>
  <c r="G119" i="4"/>
  <c r="H119" i="4"/>
  <c r="N119" i="4"/>
  <c r="R119" i="6" s="1"/>
  <c r="M119" i="4"/>
  <c r="H121" i="6"/>
  <c r="R121" i="4"/>
  <c r="A131" i="6"/>
  <c r="G131" i="4"/>
  <c r="N131" i="4"/>
  <c r="R131" i="6" s="1"/>
  <c r="M131" i="4"/>
  <c r="H131" i="4"/>
  <c r="H133" i="6"/>
  <c r="R133" i="4"/>
  <c r="A143" i="6"/>
  <c r="G143" i="4"/>
  <c r="N143" i="4"/>
  <c r="R143" i="6" s="1"/>
  <c r="M143" i="4"/>
  <c r="H143" i="4"/>
  <c r="H145" i="6"/>
  <c r="R145" i="4"/>
  <c r="A155" i="6"/>
  <c r="G155" i="4"/>
  <c r="N155" i="4"/>
  <c r="R155" i="6" s="1"/>
  <c r="H155" i="4"/>
  <c r="M155" i="4"/>
  <c r="H157" i="6"/>
  <c r="R157" i="4"/>
  <c r="A167" i="6"/>
  <c r="G167" i="4"/>
  <c r="N167" i="4"/>
  <c r="R167" i="6" s="1"/>
  <c r="H167" i="4"/>
  <c r="M167" i="4"/>
  <c r="H169" i="6"/>
  <c r="R169" i="4"/>
  <c r="A179" i="6"/>
  <c r="G179" i="4"/>
  <c r="N179" i="4"/>
  <c r="R179" i="6" s="1"/>
  <c r="H179" i="4"/>
  <c r="M179" i="4"/>
  <c r="H181" i="6"/>
  <c r="R181" i="4"/>
  <c r="A191" i="6"/>
  <c r="G191" i="4"/>
  <c r="N191" i="4"/>
  <c r="R191" i="6" s="1"/>
  <c r="H191" i="4"/>
  <c r="M191" i="4"/>
  <c r="H193" i="6"/>
  <c r="R193" i="4"/>
  <c r="L19" i="6"/>
  <c r="I19" i="4"/>
  <c r="L31" i="6"/>
  <c r="I31" i="4"/>
  <c r="H40" i="4"/>
  <c r="G51" i="4"/>
  <c r="R71" i="4"/>
  <c r="B24" i="5"/>
  <c r="B23" i="5"/>
  <c r="H32" i="6"/>
  <c r="R32" i="4"/>
  <c r="A42" i="6"/>
  <c r="M42" i="4"/>
  <c r="G42" i="4"/>
  <c r="H44" i="6"/>
  <c r="R44" i="4"/>
  <c r="A54" i="6"/>
  <c r="M54" i="4"/>
  <c r="G54" i="4"/>
  <c r="H56" i="6"/>
  <c r="R56" i="4"/>
  <c r="A66" i="6"/>
  <c r="D66" i="5"/>
  <c r="M66" i="4"/>
  <c r="G66" i="4"/>
  <c r="H68" i="6"/>
  <c r="R68" i="4"/>
  <c r="A78" i="6"/>
  <c r="M78" i="4"/>
  <c r="H78" i="4"/>
  <c r="G78" i="4"/>
  <c r="N78" i="4"/>
  <c r="R78" i="6" s="1"/>
  <c r="H80" i="6"/>
  <c r="R80" i="4"/>
  <c r="A90" i="6"/>
  <c r="M90" i="4"/>
  <c r="H90" i="4"/>
  <c r="G90" i="4"/>
  <c r="N90" i="4"/>
  <c r="R90" i="6" s="1"/>
  <c r="H92" i="6"/>
  <c r="R92" i="4"/>
  <c r="A102" i="6"/>
  <c r="N102" i="4"/>
  <c r="R102" i="6" s="1"/>
  <c r="M102" i="4"/>
  <c r="H102" i="4"/>
  <c r="G102" i="4"/>
  <c r="H104" i="6"/>
  <c r="R104" i="4"/>
  <c r="A114" i="6"/>
  <c r="N114" i="4"/>
  <c r="R114" i="6" s="1"/>
  <c r="M114" i="4"/>
  <c r="H114" i="4"/>
  <c r="G114" i="4"/>
  <c r="H116" i="6"/>
  <c r="R116" i="4"/>
  <c r="A126" i="6"/>
  <c r="N126" i="4"/>
  <c r="R126" i="6" s="1"/>
  <c r="M126" i="4"/>
  <c r="H126" i="4"/>
  <c r="G126" i="4"/>
  <c r="H128" i="6"/>
  <c r="R128" i="4"/>
  <c r="A138" i="6"/>
  <c r="N138" i="4"/>
  <c r="R138" i="6" s="1"/>
  <c r="M138" i="4"/>
  <c r="H138" i="4"/>
  <c r="G138" i="4"/>
  <c r="H140" i="6"/>
  <c r="R140" i="4"/>
  <c r="A150" i="6"/>
  <c r="H150" i="4"/>
  <c r="G150" i="4"/>
  <c r="N150" i="4"/>
  <c r="R150" i="6" s="1"/>
  <c r="M150" i="4"/>
  <c r="H152" i="6"/>
  <c r="R152" i="4"/>
  <c r="A162" i="6"/>
  <c r="N162" i="4"/>
  <c r="R162" i="6" s="1"/>
  <c r="M162" i="4"/>
  <c r="H162" i="4"/>
  <c r="G162" i="4"/>
  <c r="H164" i="6"/>
  <c r="R164" i="4"/>
  <c r="A174" i="6"/>
  <c r="N174" i="4"/>
  <c r="R174" i="6" s="1"/>
  <c r="H174" i="4"/>
  <c r="M174" i="4"/>
  <c r="G174" i="4"/>
  <c r="H176" i="6"/>
  <c r="R176" i="4"/>
  <c r="A186" i="6"/>
  <c r="N186" i="4"/>
  <c r="R186" i="6" s="1"/>
  <c r="M186" i="4"/>
  <c r="H186" i="4"/>
  <c r="G186" i="4"/>
  <c r="H188" i="6"/>
  <c r="R188" i="4"/>
  <c r="A198" i="6"/>
  <c r="N198" i="4"/>
  <c r="R198" i="6" s="1"/>
  <c r="H198" i="4"/>
  <c r="M198" i="4"/>
  <c r="G198" i="4"/>
  <c r="H200" i="6"/>
  <c r="R200" i="4"/>
  <c r="L21" i="6"/>
  <c r="I21" i="4"/>
  <c r="N28" i="4"/>
  <c r="R28" i="6" s="1"/>
  <c r="L39" i="6"/>
  <c r="I39" i="4"/>
  <c r="L43" i="6"/>
  <c r="I43" i="4"/>
  <c r="L65" i="6"/>
  <c r="I65" i="4"/>
  <c r="R78" i="4"/>
  <c r="B36" i="5"/>
  <c r="B35" i="5"/>
  <c r="I45" i="1" s="1"/>
  <c r="A37" i="6"/>
  <c r="N37" i="4"/>
  <c r="R37" i="6" s="1"/>
  <c r="M37" i="4"/>
  <c r="H37" i="4"/>
  <c r="A49" i="6"/>
  <c r="N49" i="4"/>
  <c r="R49" i="6" s="1"/>
  <c r="M49" i="4"/>
  <c r="H49" i="4"/>
  <c r="G49" i="4"/>
  <c r="A61" i="6"/>
  <c r="D61" i="5"/>
  <c r="G61" i="4"/>
  <c r="N61" i="4"/>
  <c r="R61" i="6" s="1"/>
  <c r="H61" i="4"/>
  <c r="A73" i="6"/>
  <c r="D73" i="5"/>
  <c r="N73" i="4"/>
  <c r="R73" i="6" s="1"/>
  <c r="M73" i="4"/>
  <c r="H73" i="4"/>
  <c r="G73" i="4"/>
  <c r="A85" i="6"/>
  <c r="N85" i="4"/>
  <c r="R85" i="6" s="1"/>
  <c r="M85" i="4"/>
  <c r="H85" i="4"/>
  <c r="G85" i="4"/>
  <c r="H87" i="6"/>
  <c r="R87" i="4"/>
  <c r="A97" i="6"/>
  <c r="N97" i="4"/>
  <c r="R97" i="6" s="1"/>
  <c r="M97" i="4"/>
  <c r="H97" i="4"/>
  <c r="G97" i="4"/>
  <c r="H99" i="6"/>
  <c r="R99" i="4"/>
  <c r="A109" i="6"/>
  <c r="N109" i="4"/>
  <c r="R109" i="6" s="1"/>
  <c r="M109" i="4"/>
  <c r="H109" i="4"/>
  <c r="G109" i="4"/>
  <c r="H111" i="6"/>
  <c r="R111" i="4"/>
  <c r="A121" i="6"/>
  <c r="M121" i="4"/>
  <c r="N121" i="4"/>
  <c r="R121" i="6" s="1"/>
  <c r="H121" i="4"/>
  <c r="G121" i="4"/>
  <c r="H123" i="6"/>
  <c r="R123" i="4"/>
  <c r="A133" i="6"/>
  <c r="M133" i="4"/>
  <c r="H133" i="4"/>
  <c r="N133" i="4"/>
  <c r="R133" i="6" s="1"/>
  <c r="G133" i="4"/>
  <c r="H135" i="6"/>
  <c r="R135" i="4"/>
  <c r="A145" i="6"/>
  <c r="M145" i="4"/>
  <c r="H145" i="4"/>
  <c r="N145" i="4"/>
  <c r="R145" i="6" s="1"/>
  <c r="G145" i="4"/>
  <c r="H147" i="6"/>
  <c r="R147" i="4"/>
  <c r="A157" i="6"/>
  <c r="M157" i="4"/>
  <c r="H157" i="4"/>
  <c r="N157" i="4"/>
  <c r="R157" i="6" s="1"/>
  <c r="G157" i="4"/>
  <c r="H159" i="6"/>
  <c r="R159" i="4"/>
  <c r="A169" i="6"/>
  <c r="M169" i="4"/>
  <c r="H169" i="4"/>
  <c r="N169" i="4"/>
  <c r="R169" i="6" s="1"/>
  <c r="G169" i="4"/>
  <c r="H171" i="6"/>
  <c r="R171" i="4"/>
  <c r="A181" i="6"/>
  <c r="M181" i="4"/>
  <c r="H181" i="4"/>
  <c r="N181" i="4"/>
  <c r="R181" i="6" s="1"/>
  <c r="G181" i="4"/>
  <c r="H183" i="6"/>
  <c r="R183" i="4"/>
  <c r="A193" i="6"/>
  <c r="M193" i="4"/>
  <c r="H193" i="4"/>
  <c r="G193" i="4"/>
  <c r="N193" i="4"/>
  <c r="R193" i="6" s="1"/>
  <c r="H195" i="6"/>
  <c r="R195" i="4"/>
  <c r="D3" i="4"/>
  <c r="G3" i="6" s="1"/>
  <c r="L23" i="6"/>
  <c r="I23" i="4"/>
  <c r="L33" i="6"/>
  <c r="I33" i="4"/>
  <c r="L37" i="6"/>
  <c r="I37" i="4"/>
  <c r="L54" i="6"/>
  <c r="I54" i="4"/>
  <c r="I74" i="4"/>
  <c r="L82" i="6"/>
  <c r="I82" i="4"/>
  <c r="A32" i="6"/>
  <c r="M32" i="4"/>
  <c r="H34" i="6"/>
  <c r="R34" i="4"/>
  <c r="A44" i="6"/>
  <c r="G44" i="4"/>
  <c r="M44" i="4"/>
  <c r="H46" i="6"/>
  <c r="R46" i="4"/>
  <c r="A56" i="6"/>
  <c r="D56" i="5"/>
  <c r="G56" i="4"/>
  <c r="M56" i="4"/>
  <c r="N56" i="4"/>
  <c r="R56" i="6" s="1"/>
  <c r="A68" i="6"/>
  <c r="D68" i="5"/>
  <c r="G68" i="4"/>
  <c r="M68" i="4"/>
  <c r="N68" i="4"/>
  <c r="R68" i="6" s="1"/>
  <c r="A80" i="6"/>
  <c r="G80" i="4"/>
  <c r="N80" i="4"/>
  <c r="R80" i="6" s="1"/>
  <c r="M80" i="4"/>
  <c r="H80" i="4"/>
  <c r="H82" i="6"/>
  <c r="R82" i="4"/>
  <c r="A92" i="6"/>
  <c r="G92" i="4"/>
  <c r="N92" i="4"/>
  <c r="R92" i="6" s="1"/>
  <c r="M92" i="4"/>
  <c r="H92" i="4"/>
  <c r="H94" i="6"/>
  <c r="R94" i="4"/>
  <c r="A104" i="6"/>
  <c r="H104" i="4"/>
  <c r="G104" i="4"/>
  <c r="N104" i="4"/>
  <c r="R104" i="6" s="1"/>
  <c r="M104" i="4"/>
  <c r="H106" i="6"/>
  <c r="R106" i="4"/>
  <c r="A116" i="6"/>
  <c r="H116" i="4"/>
  <c r="G116" i="4"/>
  <c r="N116" i="4"/>
  <c r="R116" i="6" s="1"/>
  <c r="M116" i="4"/>
  <c r="H118" i="6"/>
  <c r="R118" i="4"/>
  <c r="A128" i="6"/>
  <c r="H128" i="4"/>
  <c r="G128" i="4"/>
  <c r="N128" i="4"/>
  <c r="R128" i="6" s="1"/>
  <c r="M128" i="4"/>
  <c r="H130" i="6"/>
  <c r="R130" i="4"/>
  <c r="A140" i="6"/>
  <c r="H140" i="4"/>
  <c r="G140" i="4"/>
  <c r="N140" i="4"/>
  <c r="R140" i="6" s="1"/>
  <c r="M140" i="4"/>
  <c r="H142" i="6"/>
  <c r="R142" i="4"/>
  <c r="A152" i="6"/>
  <c r="M152" i="4"/>
  <c r="H152" i="4"/>
  <c r="G152" i="4"/>
  <c r="N152" i="4"/>
  <c r="R152" i="6" s="1"/>
  <c r="H154" i="6"/>
  <c r="R154" i="4"/>
  <c r="A164" i="6"/>
  <c r="N164" i="4"/>
  <c r="R164" i="6" s="1"/>
  <c r="M164" i="4"/>
  <c r="H164" i="4"/>
  <c r="G164" i="4"/>
  <c r="H166" i="6"/>
  <c r="R166" i="4"/>
  <c r="A176" i="6"/>
  <c r="H176" i="4"/>
  <c r="N176" i="4"/>
  <c r="R176" i="6" s="1"/>
  <c r="M176" i="4"/>
  <c r="G176" i="4"/>
  <c r="H178" i="6"/>
  <c r="R178" i="4"/>
  <c r="A188" i="6"/>
  <c r="H188" i="4"/>
  <c r="N188" i="4"/>
  <c r="R188" i="6" s="1"/>
  <c r="M188" i="4"/>
  <c r="G188" i="4"/>
  <c r="H190" i="6"/>
  <c r="R190" i="4"/>
  <c r="A200" i="6"/>
  <c r="H200" i="4"/>
  <c r="N200" i="4"/>
  <c r="R200" i="6" s="1"/>
  <c r="M200" i="4"/>
  <c r="G200" i="4"/>
  <c r="H202" i="6"/>
  <c r="R202" i="4"/>
  <c r="E3" i="4"/>
  <c r="H32" i="4"/>
  <c r="G37" i="4"/>
  <c r="N40" i="4"/>
  <c r="R40" i="6" s="1"/>
  <c r="R45" i="4"/>
  <c r="H54" i="4"/>
  <c r="L79" i="6"/>
  <c r="I79" i="4"/>
  <c r="B21" i="5"/>
  <c r="B29" i="5"/>
  <c r="B3" i="5"/>
  <c r="C3" i="9" s="1"/>
  <c r="A51" i="6"/>
  <c r="N51" i="4"/>
  <c r="R51" i="6" s="1"/>
  <c r="H51" i="4"/>
  <c r="H53" i="6"/>
  <c r="R53" i="4"/>
  <c r="A63" i="6"/>
  <c r="D63" i="5"/>
  <c r="H63" i="4"/>
  <c r="G63" i="4"/>
  <c r="H65" i="6"/>
  <c r="R65" i="4"/>
  <c r="A75" i="6"/>
  <c r="H75" i="4"/>
  <c r="G75" i="4"/>
  <c r="N75" i="4"/>
  <c r="R75" i="6" s="1"/>
  <c r="M75" i="4"/>
  <c r="A87" i="6"/>
  <c r="H87" i="4"/>
  <c r="G87" i="4"/>
  <c r="N87" i="4"/>
  <c r="R87" i="6" s="1"/>
  <c r="M87" i="4"/>
  <c r="H89" i="6"/>
  <c r="R89" i="4"/>
  <c r="A99" i="6"/>
  <c r="H99" i="4"/>
  <c r="G99" i="4"/>
  <c r="N99" i="4"/>
  <c r="R99" i="6" s="1"/>
  <c r="M99" i="4"/>
  <c r="H101" i="6"/>
  <c r="R101" i="4"/>
  <c r="A111" i="6"/>
  <c r="H111" i="4"/>
  <c r="G111" i="4"/>
  <c r="N111" i="4"/>
  <c r="R111" i="6" s="1"/>
  <c r="M111" i="4"/>
  <c r="H113" i="6"/>
  <c r="R113" i="4"/>
  <c r="A123" i="6"/>
  <c r="G123" i="4"/>
  <c r="N123" i="4"/>
  <c r="R123" i="6" s="1"/>
  <c r="M123" i="4"/>
  <c r="H123" i="4"/>
  <c r="H125" i="6"/>
  <c r="R125" i="4"/>
  <c r="A135" i="6"/>
  <c r="G135" i="4"/>
  <c r="N135" i="4"/>
  <c r="R135" i="6" s="1"/>
  <c r="M135" i="4"/>
  <c r="H135" i="4"/>
  <c r="H137" i="6"/>
  <c r="R137" i="4"/>
  <c r="A147" i="6"/>
  <c r="N147" i="4"/>
  <c r="R147" i="6" s="1"/>
  <c r="H147" i="4"/>
  <c r="M147" i="4"/>
  <c r="G147" i="4"/>
  <c r="H149" i="6"/>
  <c r="R149" i="4"/>
  <c r="A159" i="6"/>
  <c r="G159" i="4"/>
  <c r="N159" i="4"/>
  <c r="R159" i="6" s="1"/>
  <c r="H159" i="4"/>
  <c r="M159" i="4"/>
  <c r="H161" i="6"/>
  <c r="R161" i="4"/>
  <c r="A171" i="6"/>
  <c r="G171" i="4"/>
  <c r="N171" i="4"/>
  <c r="R171" i="6" s="1"/>
  <c r="M171" i="4"/>
  <c r="H171" i="4"/>
  <c r="H173" i="6"/>
  <c r="R173" i="4"/>
  <c r="A183" i="6"/>
  <c r="G183" i="4"/>
  <c r="N183" i="4"/>
  <c r="R183" i="6" s="1"/>
  <c r="H183" i="4"/>
  <c r="M183" i="4"/>
  <c r="H185" i="6"/>
  <c r="R185" i="4"/>
  <c r="A195" i="6"/>
  <c r="G195" i="4"/>
  <c r="N195" i="4"/>
  <c r="R195" i="6" s="1"/>
  <c r="M195" i="4"/>
  <c r="H195" i="4"/>
  <c r="H197" i="6"/>
  <c r="R197" i="4"/>
  <c r="L3" i="6"/>
  <c r="B30" i="5"/>
  <c r="I3" i="4"/>
  <c r="L35" i="6"/>
  <c r="I35" i="4"/>
  <c r="G36" i="4"/>
  <c r="I49" i="4"/>
  <c r="L53" i="6"/>
  <c r="I53" i="4"/>
  <c r="N54" i="4"/>
  <c r="R54" i="6" s="1"/>
  <c r="M61" i="4"/>
  <c r="R74" i="4"/>
  <c r="R79" i="4"/>
  <c r="H36" i="6"/>
  <c r="R36" i="4"/>
  <c r="A46" i="6"/>
  <c r="M46" i="4"/>
  <c r="G46" i="4"/>
  <c r="N46" i="4"/>
  <c r="R46" i="6" s="1"/>
  <c r="H46" i="4"/>
  <c r="A58" i="6"/>
  <c r="D58" i="5"/>
  <c r="M58" i="4"/>
  <c r="G58" i="4"/>
  <c r="N58" i="4"/>
  <c r="R58" i="6" s="1"/>
  <c r="A70" i="6"/>
  <c r="D70" i="5"/>
  <c r="M70" i="4"/>
  <c r="G70" i="4"/>
  <c r="N70" i="4"/>
  <c r="R70" i="6" s="1"/>
  <c r="H70" i="4"/>
  <c r="H72" i="6"/>
  <c r="R72" i="4"/>
  <c r="A82" i="6"/>
  <c r="M82" i="4"/>
  <c r="H82" i="4"/>
  <c r="G82" i="4"/>
  <c r="N82" i="4"/>
  <c r="R82" i="6" s="1"/>
  <c r="H84" i="6"/>
  <c r="R84" i="4"/>
  <c r="A94" i="6"/>
  <c r="N94" i="4"/>
  <c r="R94" i="6" s="1"/>
  <c r="M94" i="4"/>
  <c r="H94" i="4"/>
  <c r="G94" i="4"/>
  <c r="H96" i="6"/>
  <c r="R96" i="4"/>
  <c r="A106" i="6"/>
  <c r="N106" i="4"/>
  <c r="R106" i="6" s="1"/>
  <c r="M106" i="4"/>
  <c r="H106" i="4"/>
  <c r="G106" i="4"/>
  <c r="H108" i="6"/>
  <c r="R108" i="4"/>
  <c r="A118" i="6"/>
  <c r="N118" i="4"/>
  <c r="R118" i="6" s="1"/>
  <c r="M118" i="4"/>
  <c r="H118" i="4"/>
  <c r="G118" i="4"/>
  <c r="H120" i="6"/>
  <c r="R120" i="4"/>
  <c r="A130" i="6"/>
  <c r="N130" i="4"/>
  <c r="R130" i="6" s="1"/>
  <c r="M130" i="4"/>
  <c r="H130" i="4"/>
  <c r="G130" i="4"/>
  <c r="H132" i="6"/>
  <c r="R132" i="4"/>
  <c r="A142" i="6"/>
  <c r="N142" i="4"/>
  <c r="R142" i="6" s="1"/>
  <c r="M142" i="4"/>
  <c r="H142" i="4"/>
  <c r="G142" i="4"/>
  <c r="H144" i="6"/>
  <c r="R144" i="4"/>
  <c r="A154" i="6"/>
  <c r="N154" i="4"/>
  <c r="R154" i="6" s="1"/>
  <c r="H154" i="4"/>
  <c r="M154" i="4"/>
  <c r="G154" i="4"/>
  <c r="H156" i="6"/>
  <c r="R156" i="4"/>
  <c r="A166" i="6"/>
  <c r="G166" i="4"/>
  <c r="N166" i="4"/>
  <c r="R166" i="6" s="1"/>
  <c r="M166" i="4"/>
  <c r="H166" i="4"/>
  <c r="H168" i="6"/>
  <c r="R168" i="4"/>
  <c r="A178" i="6"/>
  <c r="N178" i="4"/>
  <c r="R178" i="6" s="1"/>
  <c r="H178" i="4"/>
  <c r="G178" i="4"/>
  <c r="M178" i="4"/>
  <c r="H180" i="6"/>
  <c r="R180" i="4"/>
  <c r="A190" i="6"/>
  <c r="N190" i="4"/>
  <c r="R190" i="6" s="1"/>
  <c r="M190" i="4"/>
  <c r="H190" i="4"/>
  <c r="G190" i="4"/>
  <c r="H192" i="6"/>
  <c r="R192" i="4"/>
  <c r="A202" i="6"/>
  <c r="N202" i="4"/>
  <c r="R202" i="6" s="1"/>
  <c r="H202" i="4"/>
  <c r="G202" i="4"/>
  <c r="M202" i="4"/>
  <c r="L5" i="6"/>
  <c r="I5" i="4"/>
  <c r="L27" i="6"/>
  <c r="I27" i="4"/>
  <c r="H42" i="4"/>
  <c r="N50" i="4"/>
  <c r="R50" i="6" s="1"/>
  <c r="G53" i="4"/>
  <c r="H58" i="4"/>
  <c r="L64" i="6"/>
  <c r="I64" i="4"/>
  <c r="H43" i="6"/>
  <c r="R43" i="4"/>
  <c r="H55" i="6"/>
  <c r="R55" i="4"/>
  <c r="H67" i="6"/>
  <c r="R67" i="4"/>
  <c r="A77" i="6"/>
  <c r="N77" i="4"/>
  <c r="R77" i="6" s="1"/>
  <c r="M77" i="4"/>
  <c r="H77" i="4"/>
  <c r="G77" i="4"/>
  <c r="A89" i="6"/>
  <c r="N89" i="4"/>
  <c r="R89" i="6" s="1"/>
  <c r="M89" i="4"/>
  <c r="H89" i="4"/>
  <c r="G89" i="4"/>
  <c r="H91" i="6"/>
  <c r="R91" i="4"/>
  <c r="A101" i="6"/>
  <c r="N101" i="4"/>
  <c r="R101" i="6" s="1"/>
  <c r="M101" i="4"/>
  <c r="H101" i="4"/>
  <c r="G101" i="4"/>
  <c r="H103" i="6"/>
  <c r="R103" i="4"/>
  <c r="A113" i="6"/>
  <c r="N113" i="4"/>
  <c r="R113" i="6" s="1"/>
  <c r="M113" i="4"/>
  <c r="H113" i="4"/>
  <c r="G113" i="4"/>
  <c r="H115" i="6"/>
  <c r="R115" i="4"/>
  <c r="A125" i="6"/>
  <c r="M125" i="4"/>
  <c r="H125" i="4"/>
  <c r="G125" i="4"/>
  <c r="N125" i="4"/>
  <c r="R125" i="6" s="1"/>
  <c r="H127" i="6"/>
  <c r="R127" i="4"/>
  <c r="A137" i="6"/>
  <c r="M137" i="4"/>
  <c r="H137" i="4"/>
  <c r="G137" i="4"/>
  <c r="N137" i="4"/>
  <c r="R137" i="6" s="1"/>
  <c r="H139" i="6"/>
  <c r="R139" i="4"/>
  <c r="A149" i="6"/>
  <c r="H149" i="4"/>
  <c r="N149" i="4"/>
  <c r="R149" i="6" s="1"/>
  <c r="M149" i="4"/>
  <c r="G149" i="4"/>
  <c r="H151" i="6"/>
  <c r="R151" i="4"/>
  <c r="A161" i="6"/>
  <c r="M161" i="4"/>
  <c r="H161" i="4"/>
  <c r="G161" i="4"/>
  <c r="N161" i="4"/>
  <c r="R161" i="6" s="1"/>
  <c r="H163" i="6"/>
  <c r="R163" i="4"/>
  <c r="A173" i="6"/>
  <c r="M173" i="4"/>
  <c r="H173" i="4"/>
  <c r="G173" i="4"/>
  <c r="N173" i="4"/>
  <c r="R173" i="6" s="1"/>
  <c r="H175" i="6"/>
  <c r="R175" i="4"/>
  <c r="A185" i="6"/>
  <c r="M185" i="4"/>
  <c r="H185" i="4"/>
  <c r="N185" i="4"/>
  <c r="R185" i="6" s="1"/>
  <c r="G185" i="4"/>
  <c r="H187" i="6"/>
  <c r="R187" i="4"/>
  <c r="A197" i="6"/>
  <c r="M197" i="4"/>
  <c r="H197" i="4"/>
  <c r="G197" i="4"/>
  <c r="N197" i="4"/>
  <c r="R197" i="6" s="1"/>
  <c r="H199" i="6"/>
  <c r="R199" i="4"/>
  <c r="L7" i="6"/>
  <c r="I7" i="4"/>
  <c r="N32" i="4"/>
  <c r="R32" i="6" s="1"/>
  <c r="I42" i="4"/>
  <c r="H53" i="4"/>
  <c r="H64" i="4"/>
  <c r="R70" i="4"/>
  <c r="R83" i="4"/>
  <c r="A24" i="6"/>
  <c r="M24" i="4"/>
  <c r="H26" i="6"/>
  <c r="R26" i="4"/>
  <c r="A36" i="6"/>
  <c r="M36" i="4"/>
  <c r="H38" i="6"/>
  <c r="R38" i="4"/>
  <c r="A48" i="6"/>
  <c r="G48" i="4"/>
  <c r="M48" i="4"/>
  <c r="N48" i="4"/>
  <c r="R48" i="6" s="1"/>
  <c r="H48" i="4"/>
  <c r="A60" i="6"/>
  <c r="D60" i="5"/>
  <c r="G60" i="4"/>
  <c r="M60" i="4"/>
  <c r="N60" i="4"/>
  <c r="R60" i="6" s="1"/>
  <c r="H60" i="4"/>
  <c r="A72" i="6"/>
  <c r="D72" i="5"/>
  <c r="G72" i="4"/>
  <c r="N72" i="4"/>
  <c r="R72" i="6" s="1"/>
  <c r="M72" i="4"/>
  <c r="H72" i="4"/>
  <c r="A84" i="6"/>
  <c r="G84" i="4"/>
  <c r="N84" i="4"/>
  <c r="R84" i="6" s="1"/>
  <c r="M84" i="4"/>
  <c r="H84" i="4"/>
  <c r="H86" i="6"/>
  <c r="R86" i="4"/>
  <c r="A96" i="6"/>
  <c r="H96" i="4"/>
  <c r="G96" i="4"/>
  <c r="N96" i="4"/>
  <c r="R96" i="6" s="1"/>
  <c r="M96" i="4"/>
  <c r="H98" i="6"/>
  <c r="R98" i="4"/>
  <c r="A108" i="6"/>
  <c r="H108" i="4"/>
  <c r="G108" i="4"/>
  <c r="N108" i="4"/>
  <c r="R108" i="6" s="1"/>
  <c r="M108" i="4"/>
  <c r="H110" i="6"/>
  <c r="R110" i="4"/>
  <c r="A120" i="6"/>
  <c r="H120" i="4"/>
  <c r="N120" i="4"/>
  <c r="R120" i="6" s="1"/>
  <c r="M120" i="4"/>
  <c r="G120" i="4"/>
  <c r="H122" i="6"/>
  <c r="R122" i="4"/>
  <c r="A132" i="6"/>
  <c r="H132" i="4"/>
  <c r="G132" i="4"/>
  <c r="N132" i="4"/>
  <c r="R132" i="6" s="1"/>
  <c r="M132" i="4"/>
  <c r="H134" i="6"/>
  <c r="R134" i="4"/>
  <c r="A144" i="6"/>
  <c r="H144" i="4"/>
  <c r="G144" i="4"/>
  <c r="N144" i="4"/>
  <c r="R144" i="6" s="1"/>
  <c r="M144" i="4"/>
  <c r="H146" i="6"/>
  <c r="R146" i="4"/>
  <c r="A156" i="6"/>
  <c r="M156" i="4"/>
  <c r="G156" i="4"/>
  <c r="N156" i="4"/>
  <c r="R156" i="6" s="1"/>
  <c r="H156" i="4"/>
  <c r="H158" i="6"/>
  <c r="R158" i="4"/>
  <c r="A168" i="6"/>
  <c r="H168" i="4"/>
  <c r="N168" i="4"/>
  <c r="R168" i="6" s="1"/>
  <c r="M168" i="4"/>
  <c r="G168" i="4"/>
  <c r="H170" i="6"/>
  <c r="R170" i="4"/>
  <c r="A180" i="6"/>
  <c r="H180" i="4"/>
  <c r="N180" i="4"/>
  <c r="R180" i="6" s="1"/>
  <c r="M180" i="4"/>
  <c r="G180" i="4"/>
  <c r="H182" i="6"/>
  <c r="R182" i="4"/>
  <c r="A192" i="6"/>
  <c r="H192" i="4"/>
  <c r="M192" i="4"/>
  <c r="G192" i="4"/>
  <c r="N192" i="4"/>
  <c r="R192" i="6" s="1"/>
  <c r="H194" i="6"/>
  <c r="R194" i="4"/>
  <c r="L9" i="6"/>
  <c r="I9" i="4"/>
  <c r="N36" i="4"/>
  <c r="R36" i="6" s="1"/>
  <c r="H47" i="4"/>
  <c r="I75" i="4"/>
  <c r="I50" i="4"/>
  <c r="I77" i="4"/>
  <c r="I85" i="4"/>
  <c r="I93" i="4"/>
  <c r="I97" i="4"/>
  <c r="I48" i="4"/>
  <c r="I61" i="4"/>
  <c r="I83" i="4"/>
  <c r="I91" i="4"/>
  <c r="I96" i="4"/>
  <c r="I90" i="4"/>
  <c r="I81" i="4"/>
  <c r="I89" i="4"/>
  <c r="I95" i="4"/>
  <c r="I87" i="4"/>
  <c r="I94" i="4"/>
  <c r="I67" i="4"/>
  <c r="I78" i="4"/>
  <c r="I86" i="4"/>
  <c r="L99" i="6"/>
  <c r="I99" i="4"/>
  <c r="I125" i="4"/>
  <c r="I127" i="4"/>
  <c r="L155" i="6"/>
  <c r="I155" i="4"/>
  <c r="I122" i="4"/>
  <c r="I126" i="4"/>
  <c r="L143" i="6"/>
  <c r="I143" i="4"/>
  <c r="I135" i="4"/>
  <c r="L139" i="6"/>
  <c r="I139" i="4"/>
  <c r="L193" i="6"/>
  <c r="I193" i="4"/>
  <c r="I101" i="4"/>
  <c r="I105" i="4"/>
  <c r="I109" i="4"/>
  <c r="I113" i="4"/>
  <c r="I117" i="4"/>
  <c r="L133" i="6"/>
  <c r="I133" i="4"/>
  <c r="I123" i="4"/>
  <c r="I134" i="4"/>
  <c r="L166" i="6"/>
  <c r="I166" i="4"/>
  <c r="L138" i="6"/>
  <c r="I138" i="4"/>
  <c r="I124" i="4"/>
  <c r="L129" i="6"/>
  <c r="I129" i="4"/>
  <c r="L152" i="6"/>
  <c r="I152" i="4"/>
  <c r="I130" i="4"/>
  <c r="I103" i="4"/>
  <c r="I107" i="4"/>
  <c r="I111" i="4"/>
  <c r="I115" i="4"/>
  <c r="L180" i="6"/>
  <c r="I180" i="4"/>
  <c r="I162" i="4"/>
  <c r="L176" i="6"/>
  <c r="I176" i="4"/>
  <c r="L200" i="6"/>
  <c r="I200" i="4"/>
  <c r="I142" i="4"/>
  <c r="I146" i="4"/>
  <c r="I160" i="4"/>
  <c r="I185" i="4"/>
  <c r="I190" i="4"/>
  <c r="L196" i="6"/>
  <c r="I196" i="4"/>
  <c r="I167" i="4"/>
  <c r="I172" i="4"/>
  <c r="I181" i="4"/>
  <c r="I137" i="4"/>
  <c r="I141" i="4"/>
  <c r="I145" i="4"/>
  <c r="I148" i="4"/>
  <c r="I154" i="4"/>
  <c r="I165" i="4"/>
  <c r="L192" i="6"/>
  <c r="I192" i="4"/>
  <c r="I163" i="4"/>
  <c r="I177" i="4"/>
  <c r="I182" i="4"/>
  <c r="I201" i="4"/>
  <c r="I150" i="4"/>
  <c r="L188" i="6"/>
  <c r="I188" i="4"/>
  <c r="I157" i="4"/>
  <c r="I170" i="4"/>
  <c r="L184" i="6"/>
  <c r="I184" i="4"/>
  <c r="D69" i="5" l="1"/>
  <c r="S200" i="6"/>
  <c r="T200" i="6"/>
  <c r="C200" i="6"/>
  <c r="K200" i="6"/>
  <c r="S197" i="6"/>
  <c r="K197" i="6"/>
  <c r="C197" i="6"/>
  <c r="T197" i="6"/>
  <c r="S62" i="6"/>
  <c r="K62" i="6"/>
  <c r="C62" i="6"/>
  <c r="T62" i="6"/>
  <c r="S91" i="6"/>
  <c r="C91" i="6"/>
  <c r="K91" i="6"/>
  <c r="T91" i="6"/>
  <c r="S3" i="6"/>
  <c r="T3" i="6"/>
  <c r="K3" i="6"/>
  <c r="C3" i="6"/>
  <c r="S12" i="6"/>
  <c r="T12" i="6"/>
  <c r="K12" i="6"/>
  <c r="C12" i="6"/>
  <c r="S137" i="6"/>
  <c r="K137" i="6"/>
  <c r="C137" i="6"/>
  <c r="T137" i="6"/>
  <c r="S70" i="6"/>
  <c r="T70" i="6"/>
  <c r="C70" i="6"/>
  <c r="K70" i="6"/>
  <c r="S87" i="6"/>
  <c r="K87" i="6"/>
  <c r="T87" i="6"/>
  <c r="C87" i="6"/>
  <c r="S126" i="6"/>
  <c r="T126" i="6"/>
  <c r="C126" i="6"/>
  <c r="K126" i="6"/>
  <c r="S190" i="6"/>
  <c r="T190" i="6"/>
  <c r="C190" i="6"/>
  <c r="K190" i="6"/>
  <c r="S166" i="6"/>
  <c r="T166" i="6"/>
  <c r="C166" i="6"/>
  <c r="K166" i="6"/>
  <c r="S92" i="6"/>
  <c r="T92" i="6"/>
  <c r="C92" i="6"/>
  <c r="K92" i="6"/>
  <c r="S68" i="6"/>
  <c r="T68" i="6"/>
  <c r="C68" i="6"/>
  <c r="K68" i="6"/>
  <c r="S162" i="6"/>
  <c r="T162" i="6"/>
  <c r="C162" i="6"/>
  <c r="K162" i="6"/>
  <c r="C52" i="6"/>
  <c r="T52" i="6"/>
  <c r="K52" i="6"/>
  <c r="S82" i="6"/>
  <c r="T82" i="6"/>
  <c r="C82" i="6"/>
  <c r="K82" i="6"/>
  <c r="K51" i="6"/>
  <c r="T51" i="6"/>
  <c r="C51" i="6"/>
  <c r="S145" i="6"/>
  <c r="K145" i="6"/>
  <c r="T145" i="6"/>
  <c r="C145" i="6"/>
  <c r="S33" i="6"/>
  <c r="T33" i="6"/>
  <c r="K33" i="6"/>
  <c r="C33" i="6"/>
  <c r="S43" i="6"/>
  <c r="C43" i="6"/>
  <c r="K43" i="6"/>
  <c r="T43" i="6"/>
  <c r="S17" i="6"/>
  <c r="K17" i="6"/>
  <c r="C17" i="6"/>
  <c r="T17" i="6"/>
  <c r="S53" i="6"/>
  <c r="K53" i="6"/>
  <c r="C53" i="6"/>
  <c r="T53" i="6"/>
  <c r="S120" i="6"/>
  <c r="T120" i="6"/>
  <c r="C120" i="6"/>
  <c r="K120" i="6"/>
  <c r="S116" i="6"/>
  <c r="T116" i="6"/>
  <c r="C116" i="6"/>
  <c r="K116" i="6"/>
  <c r="S183" i="6"/>
  <c r="K183" i="6"/>
  <c r="C183" i="6"/>
  <c r="T183" i="6"/>
  <c r="S151" i="6"/>
  <c r="C151" i="6"/>
  <c r="K151" i="6"/>
  <c r="T151" i="6"/>
  <c r="S149" i="6"/>
  <c r="K149" i="6"/>
  <c r="T149" i="6"/>
  <c r="C149" i="6"/>
  <c r="S99" i="6"/>
  <c r="K99" i="6"/>
  <c r="T99" i="6"/>
  <c r="C99" i="6"/>
  <c r="S75" i="6"/>
  <c r="K75" i="6"/>
  <c r="T75" i="6"/>
  <c r="C75" i="6"/>
  <c r="S32" i="6"/>
  <c r="T32" i="6"/>
  <c r="C32" i="6"/>
  <c r="K32" i="6"/>
  <c r="S138" i="6"/>
  <c r="T138" i="6"/>
  <c r="C138" i="6"/>
  <c r="K138" i="6"/>
  <c r="S83" i="6"/>
  <c r="K83" i="6"/>
  <c r="T83" i="6"/>
  <c r="C83" i="6"/>
  <c r="S100" i="6"/>
  <c r="C100" i="6"/>
  <c r="T100" i="6"/>
  <c r="K100" i="6"/>
  <c r="S76" i="6"/>
  <c r="C76" i="6"/>
  <c r="T76" i="6"/>
  <c r="K76" i="6"/>
  <c r="S182" i="6"/>
  <c r="K182" i="6"/>
  <c r="C182" i="6"/>
  <c r="T182" i="6"/>
  <c r="S13" i="6"/>
  <c r="K13" i="6"/>
  <c r="C13" i="6"/>
  <c r="T13" i="6"/>
  <c r="S18" i="6"/>
  <c r="T18" i="6"/>
  <c r="C18" i="6"/>
  <c r="K18" i="6"/>
  <c r="D71" i="5"/>
  <c r="S38" i="6"/>
  <c r="K38" i="6"/>
  <c r="C38" i="6"/>
  <c r="T38" i="6"/>
  <c r="S67" i="6"/>
  <c r="C67" i="6"/>
  <c r="T67" i="6"/>
  <c r="K67" i="6"/>
  <c r="S22" i="6"/>
  <c r="T22" i="6"/>
  <c r="C22" i="6"/>
  <c r="K22" i="6"/>
  <c r="S180" i="6"/>
  <c r="T180" i="6"/>
  <c r="C180" i="6"/>
  <c r="K180" i="6"/>
  <c r="S123" i="6"/>
  <c r="K123" i="6"/>
  <c r="T123" i="6"/>
  <c r="C123" i="6"/>
  <c r="S107" i="6"/>
  <c r="K107" i="6"/>
  <c r="T107" i="6"/>
  <c r="C107" i="6"/>
  <c r="S93" i="6"/>
  <c r="T93" i="6"/>
  <c r="K93" i="6"/>
  <c r="C93" i="6"/>
  <c r="S122" i="6"/>
  <c r="K122" i="6"/>
  <c r="T122" i="6"/>
  <c r="C122" i="6"/>
  <c r="S58" i="6"/>
  <c r="T58" i="6"/>
  <c r="C58" i="6"/>
  <c r="K58" i="6"/>
  <c r="S192" i="6"/>
  <c r="T192" i="6"/>
  <c r="K192" i="6"/>
  <c r="C192" i="6"/>
  <c r="S36" i="6"/>
  <c r="T36" i="6"/>
  <c r="C36" i="6"/>
  <c r="K36" i="6"/>
  <c r="S202" i="6"/>
  <c r="T202" i="6"/>
  <c r="C202" i="6"/>
  <c r="K202" i="6"/>
  <c r="S159" i="6"/>
  <c r="K159" i="6"/>
  <c r="C159" i="6"/>
  <c r="T159" i="6"/>
  <c r="S128" i="6"/>
  <c r="T128" i="6"/>
  <c r="C128" i="6"/>
  <c r="K128" i="6"/>
  <c r="S121" i="6"/>
  <c r="K121" i="6"/>
  <c r="C121" i="6"/>
  <c r="T121" i="6"/>
  <c r="S198" i="6"/>
  <c r="T198" i="6"/>
  <c r="C198" i="6"/>
  <c r="K198" i="6"/>
  <c r="S143" i="6"/>
  <c r="K143" i="6"/>
  <c r="C143" i="6"/>
  <c r="T143" i="6"/>
  <c r="S160" i="6"/>
  <c r="C160" i="6"/>
  <c r="K160" i="6"/>
  <c r="T160" i="6"/>
  <c r="S129" i="6"/>
  <c r="T129" i="6"/>
  <c r="K129" i="6"/>
  <c r="C129" i="6"/>
  <c r="S98" i="6"/>
  <c r="K98" i="6"/>
  <c r="T98" i="6"/>
  <c r="C98" i="6"/>
  <c r="S127" i="6"/>
  <c r="C127" i="6"/>
  <c r="T127" i="6"/>
  <c r="K127" i="6"/>
  <c r="S39" i="6"/>
  <c r="K39" i="6"/>
  <c r="C39" i="6"/>
  <c r="T39" i="6"/>
  <c r="S71" i="6"/>
  <c r="K71" i="6"/>
  <c r="T71" i="6"/>
  <c r="C71" i="6"/>
  <c r="S23" i="6"/>
  <c r="K23" i="6"/>
  <c r="T23" i="6"/>
  <c r="C23" i="6"/>
  <c r="S9" i="6"/>
  <c r="T9" i="6"/>
  <c r="K9" i="6"/>
  <c r="C9" i="6"/>
  <c r="S19" i="6"/>
  <c r="C19" i="6"/>
  <c r="K19" i="6"/>
  <c r="T19" i="6"/>
  <c r="S147" i="6"/>
  <c r="K147" i="6"/>
  <c r="T147" i="6"/>
  <c r="C147" i="6"/>
  <c r="S124" i="6"/>
  <c r="C124" i="6"/>
  <c r="T124" i="6"/>
  <c r="K124" i="6"/>
  <c r="S152" i="6"/>
  <c r="T152" i="6"/>
  <c r="C152" i="6"/>
  <c r="K152" i="6"/>
  <c r="S184" i="6"/>
  <c r="C184" i="6"/>
  <c r="T184" i="6"/>
  <c r="K184" i="6"/>
  <c r="S132" i="6"/>
  <c r="T132" i="6"/>
  <c r="K132" i="6"/>
  <c r="C132" i="6"/>
  <c r="S142" i="6"/>
  <c r="T142" i="6"/>
  <c r="C142" i="6"/>
  <c r="K142" i="6"/>
  <c r="S108" i="6"/>
  <c r="T108" i="6"/>
  <c r="K108" i="6"/>
  <c r="C108" i="6"/>
  <c r="S125" i="6"/>
  <c r="K125" i="6"/>
  <c r="T125" i="6"/>
  <c r="C125" i="6"/>
  <c r="S118" i="6"/>
  <c r="T118" i="6"/>
  <c r="C118" i="6"/>
  <c r="K118" i="6"/>
  <c r="S188" i="6"/>
  <c r="T188" i="6"/>
  <c r="C188" i="6"/>
  <c r="K188" i="6"/>
  <c r="S181" i="6"/>
  <c r="K181" i="6"/>
  <c r="C181" i="6"/>
  <c r="T181" i="6"/>
  <c r="S49" i="6"/>
  <c r="K49" i="6"/>
  <c r="C49" i="6"/>
  <c r="T49" i="6"/>
  <c r="S114" i="6"/>
  <c r="T114" i="6"/>
  <c r="C114" i="6"/>
  <c r="K114" i="6"/>
  <c r="S189" i="6"/>
  <c r="T189" i="6"/>
  <c r="C189" i="6"/>
  <c r="K189" i="6"/>
  <c r="S158" i="6"/>
  <c r="K158" i="6"/>
  <c r="C158" i="6"/>
  <c r="T158" i="6"/>
  <c r="K50" i="6"/>
  <c r="T50" i="6"/>
  <c r="C50" i="6"/>
  <c r="S187" i="6"/>
  <c r="C187" i="6"/>
  <c r="T187" i="6"/>
  <c r="K187" i="6"/>
  <c r="S14" i="6"/>
  <c r="K14" i="6"/>
  <c r="C14" i="6"/>
  <c r="T14" i="6"/>
  <c r="S156" i="6"/>
  <c r="T156" i="6"/>
  <c r="K156" i="6"/>
  <c r="C156" i="6"/>
  <c r="S85" i="6"/>
  <c r="K85" i="6"/>
  <c r="T85" i="6"/>
  <c r="C85" i="6"/>
  <c r="S89" i="6"/>
  <c r="K89" i="6"/>
  <c r="T89" i="6"/>
  <c r="C89" i="6"/>
  <c r="S78" i="6"/>
  <c r="T78" i="6"/>
  <c r="C78" i="6"/>
  <c r="K78" i="6"/>
  <c r="S167" i="6"/>
  <c r="K167" i="6"/>
  <c r="T167" i="6"/>
  <c r="C167" i="6"/>
  <c r="S153" i="6"/>
  <c r="T153" i="6"/>
  <c r="K153" i="6"/>
  <c r="C153" i="6"/>
  <c r="S168" i="6"/>
  <c r="T168" i="6"/>
  <c r="C168" i="6"/>
  <c r="K168" i="6"/>
  <c r="S185" i="6"/>
  <c r="K185" i="6"/>
  <c r="T185" i="6"/>
  <c r="C185" i="6"/>
  <c r="S178" i="6"/>
  <c r="T178" i="6"/>
  <c r="C178" i="6"/>
  <c r="K178" i="6"/>
  <c r="S135" i="6"/>
  <c r="K135" i="6"/>
  <c r="C135" i="6"/>
  <c r="T135" i="6"/>
  <c r="S104" i="6"/>
  <c r="T104" i="6"/>
  <c r="C104" i="6"/>
  <c r="K104" i="6"/>
  <c r="S56" i="6"/>
  <c r="T56" i="6"/>
  <c r="C56" i="6"/>
  <c r="K56" i="6"/>
  <c r="S97" i="6"/>
  <c r="K97" i="6"/>
  <c r="C97" i="6"/>
  <c r="T97" i="6"/>
  <c r="S174" i="6"/>
  <c r="T174" i="6"/>
  <c r="C174" i="6"/>
  <c r="K174" i="6"/>
  <c r="S42" i="6"/>
  <c r="T42" i="6"/>
  <c r="C42" i="6"/>
  <c r="K42" i="6"/>
  <c r="S119" i="6"/>
  <c r="K119" i="6"/>
  <c r="T119" i="6"/>
  <c r="C119" i="6"/>
  <c r="S136" i="6"/>
  <c r="C136" i="6"/>
  <c r="K136" i="6"/>
  <c r="T136" i="6"/>
  <c r="S40" i="6"/>
  <c r="C40" i="6"/>
  <c r="K40" i="6"/>
  <c r="T40" i="6"/>
  <c r="S105" i="6"/>
  <c r="T105" i="6"/>
  <c r="C105" i="6"/>
  <c r="K105" i="6"/>
  <c r="S81" i="6"/>
  <c r="T81" i="6"/>
  <c r="C81" i="6"/>
  <c r="K81" i="6"/>
  <c r="S103" i="6"/>
  <c r="C103" i="6"/>
  <c r="T103" i="6"/>
  <c r="K103" i="6"/>
  <c r="S15" i="6"/>
  <c r="K15" i="6"/>
  <c r="C15" i="6"/>
  <c r="T15" i="6"/>
  <c r="S20" i="6"/>
  <c r="T20" i="6"/>
  <c r="C20" i="6"/>
  <c r="K20" i="6"/>
  <c r="S4" i="6"/>
  <c r="C4" i="6"/>
  <c r="T4" i="6"/>
  <c r="K4" i="6"/>
  <c r="S164" i="6"/>
  <c r="T164" i="6"/>
  <c r="C164" i="6"/>
  <c r="K164" i="6"/>
  <c r="S157" i="6"/>
  <c r="K157" i="6"/>
  <c r="C157" i="6"/>
  <c r="T157" i="6"/>
  <c r="S73" i="6"/>
  <c r="K73" i="6"/>
  <c r="T73" i="6"/>
  <c r="C73" i="6"/>
  <c r="S90" i="6"/>
  <c r="T90" i="6"/>
  <c r="C90" i="6"/>
  <c r="K90" i="6"/>
  <c r="S179" i="6"/>
  <c r="K179" i="6"/>
  <c r="C179" i="6"/>
  <c r="T179" i="6"/>
  <c r="S196" i="6"/>
  <c r="C196" i="6"/>
  <c r="K196" i="6"/>
  <c r="T196" i="6"/>
  <c r="S165" i="6"/>
  <c r="T165" i="6"/>
  <c r="C165" i="6"/>
  <c r="K165" i="6"/>
  <c r="S134" i="6"/>
  <c r="K134" i="6"/>
  <c r="T134" i="6"/>
  <c r="C134" i="6"/>
  <c r="S74" i="6"/>
  <c r="K74" i="6"/>
  <c r="T74" i="6"/>
  <c r="C74" i="6"/>
  <c r="S163" i="6"/>
  <c r="C163" i="6"/>
  <c r="T163" i="6"/>
  <c r="K163" i="6"/>
  <c r="S45" i="6"/>
  <c r="T45" i="6"/>
  <c r="C45" i="6"/>
  <c r="K45" i="6"/>
  <c r="S65" i="6"/>
  <c r="K65" i="6"/>
  <c r="C65" i="6"/>
  <c r="T65" i="6"/>
  <c r="S29" i="6"/>
  <c r="K29" i="6"/>
  <c r="T29" i="6"/>
  <c r="C29" i="6"/>
  <c r="S130" i="6"/>
  <c r="T130" i="6"/>
  <c r="C130" i="6"/>
  <c r="K130" i="6"/>
  <c r="S72" i="6"/>
  <c r="T72" i="6"/>
  <c r="K72" i="6"/>
  <c r="C72" i="6"/>
  <c r="S173" i="6"/>
  <c r="K173" i="6"/>
  <c r="T173" i="6"/>
  <c r="C173" i="6"/>
  <c r="S101" i="6"/>
  <c r="K101" i="6"/>
  <c r="T101" i="6"/>
  <c r="C101" i="6"/>
  <c r="S77" i="6"/>
  <c r="K77" i="6"/>
  <c r="C77" i="6"/>
  <c r="T77" i="6"/>
  <c r="S161" i="6"/>
  <c r="K161" i="6"/>
  <c r="C161" i="6"/>
  <c r="T161" i="6"/>
  <c r="S46" i="6"/>
  <c r="T46" i="6"/>
  <c r="C46" i="6"/>
  <c r="K46" i="6"/>
  <c r="S111" i="6"/>
  <c r="K111" i="6"/>
  <c r="T111" i="6"/>
  <c r="C111" i="6"/>
  <c r="S80" i="6"/>
  <c r="T80" i="6"/>
  <c r="C80" i="6"/>
  <c r="K80" i="6"/>
  <c r="S150" i="6"/>
  <c r="T150" i="6"/>
  <c r="C150" i="6"/>
  <c r="K150" i="6"/>
  <c r="S66" i="6"/>
  <c r="T66" i="6"/>
  <c r="C66" i="6"/>
  <c r="K66" i="6"/>
  <c r="S95" i="6"/>
  <c r="K95" i="6"/>
  <c r="T95" i="6"/>
  <c r="C95" i="6"/>
  <c r="S112" i="6"/>
  <c r="C112" i="6"/>
  <c r="K112" i="6"/>
  <c r="T112" i="6"/>
  <c r="S194" i="6"/>
  <c r="K194" i="6"/>
  <c r="T194" i="6"/>
  <c r="C194" i="6"/>
  <c r="S79" i="6"/>
  <c r="C79" i="6"/>
  <c r="T79" i="6"/>
  <c r="K79" i="6"/>
  <c r="S25" i="6"/>
  <c r="K25" i="6"/>
  <c r="C25" i="6"/>
  <c r="T25" i="6"/>
  <c r="S30" i="6"/>
  <c r="T30" i="6"/>
  <c r="C30" i="6"/>
  <c r="K30" i="6"/>
  <c r="S34" i="6"/>
  <c r="T34" i="6"/>
  <c r="C34" i="6"/>
  <c r="K34" i="6"/>
  <c r="T54" i="6"/>
  <c r="C54" i="6"/>
  <c r="K54" i="6"/>
  <c r="S84" i="6"/>
  <c r="T84" i="6"/>
  <c r="C84" i="6"/>
  <c r="K84" i="6"/>
  <c r="S60" i="6"/>
  <c r="T60" i="6"/>
  <c r="C60" i="6"/>
  <c r="K60" i="6"/>
  <c r="S94" i="6"/>
  <c r="T94" i="6"/>
  <c r="C94" i="6"/>
  <c r="K94" i="6"/>
  <c r="S195" i="6"/>
  <c r="K195" i="6"/>
  <c r="T195" i="6"/>
  <c r="C195" i="6"/>
  <c r="S144" i="6"/>
  <c r="T144" i="6"/>
  <c r="C144" i="6"/>
  <c r="K144" i="6"/>
  <c r="S24" i="6"/>
  <c r="T24" i="6"/>
  <c r="C24" i="6"/>
  <c r="K24" i="6"/>
  <c r="S154" i="6"/>
  <c r="T154" i="6"/>
  <c r="C154" i="6"/>
  <c r="K154" i="6"/>
  <c r="S171" i="6"/>
  <c r="K171" i="6"/>
  <c r="T171" i="6"/>
  <c r="C171" i="6"/>
  <c r="S63" i="6"/>
  <c r="K63" i="6"/>
  <c r="C63" i="6"/>
  <c r="T63" i="6"/>
  <c r="S140" i="6"/>
  <c r="T140" i="6"/>
  <c r="C140" i="6"/>
  <c r="K140" i="6"/>
  <c r="S133" i="6"/>
  <c r="K133" i="6"/>
  <c r="T133" i="6"/>
  <c r="C133" i="6"/>
  <c r="S37" i="6"/>
  <c r="K37" i="6"/>
  <c r="C37" i="6"/>
  <c r="T37" i="6"/>
  <c r="S155" i="6"/>
  <c r="K155" i="6"/>
  <c r="T155" i="6"/>
  <c r="C155" i="6"/>
  <c r="S47" i="6"/>
  <c r="K47" i="6"/>
  <c r="T47" i="6"/>
  <c r="C47" i="6"/>
  <c r="S172" i="6"/>
  <c r="C172" i="6"/>
  <c r="K172" i="6"/>
  <c r="T172" i="6"/>
  <c r="S64" i="6"/>
  <c r="C64" i="6"/>
  <c r="T64" i="6"/>
  <c r="K64" i="6"/>
  <c r="S141" i="6"/>
  <c r="T141" i="6"/>
  <c r="C141" i="6"/>
  <c r="K141" i="6"/>
  <c r="S110" i="6"/>
  <c r="K110" i="6"/>
  <c r="T110" i="6"/>
  <c r="C110" i="6"/>
  <c r="S139" i="6"/>
  <c r="C139" i="6"/>
  <c r="K139" i="6"/>
  <c r="T139" i="6"/>
  <c r="S35" i="6"/>
  <c r="K35" i="6"/>
  <c r="T35" i="6"/>
  <c r="C35" i="6"/>
  <c r="S21" i="6"/>
  <c r="T21" i="6"/>
  <c r="C21" i="6"/>
  <c r="K21" i="6"/>
  <c r="S55" i="6"/>
  <c r="C55" i="6"/>
  <c r="T55" i="6"/>
  <c r="K55" i="6"/>
  <c r="S31" i="6"/>
  <c r="C31" i="6"/>
  <c r="K31" i="6"/>
  <c r="T31" i="6"/>
  <c r="S5" i="6"/>
  <c r="K5" i="6"/>
  <c r="T5" i="6"/>
  <c r="C5" i="6"/>
  <c r="S88" i="6"/>
  <c r="C88" i="6"/>
  <c r="T88" i="6"/>
  <c r="K88" i="6"/>
  <c r="S28" i="6"/>
  <c r="C28" i="6"/>
  <c r="K28" i="6"/>
  <c r="T28" i="6"/>
  <c r="S201" i="6"/>
  <c r="T201" i="6"/>
  <c r="C201" i="6"/>
  <c r="K201" i="6"/>
  <c r="S170" i="6"/>
  <c r="K170" i="6"/>
  <c r="T170" i="6"/>
  <c r="C170" i="6"/>
  <c r="S199" i="6"/>
  <c r="C199" i="6"/>
  <c r="K199" i="6"/>
  <c r="T199" i="6"/>
  <c r="S6" i="6"/>
  <c r="T6" i="6"/>
  <c r="C6" i="6"/>
  <c r="K6" i="6"/>
  <c r="S26" i="6"/>
  <c r="K26" i="6"/>
  <c r="T26" i="6"/>
  <c r="C26" i="6"/>
  <c r="S10" i="6"/>
  <c r="T10" i="6"/>
  <c r="C10" i="6"/>
  <c r="K10" i="6"/>
  <c r="S148" i="6"/>
  <c r="C148" i="6"/>
  <c r="T148" i="6"/>
  <c r="K148" i="6"/>
  <c r="S117" i="6"/>
  <c r="T117" i="6"/>
  <c r="C117" i="6"/>
  <c r="K117" i="6"/>
  <c r="S69" i="6"/>
  <c r="T69" i="6"/>
  <c r="K69" i="6"/>
  <c r="C69" i="6"/>
  <c r="S86" i="6"/>
  <c r="K86" i="6"/>
  <c r="T86" i="6"/>
  <c r="C86" i="6"/>
  <c r="S115" i="6"/>
  <c r="C115" i="6"/>
  <c r="K115" i="6"/>
  <c r="T115" i="6"/>
  <c r="S27" i="6"/>
  <c r="K27" i="6"/>
  <c r="T27" i="6"/>
  <c r="C27" i="6"/>
  <c r="S8" i="6"/>
  <c r="T8" i="6"/>
  <c r="C8" i="6"/>
  <c r="K8" i="6"/>
  <c r="S11" i="6"/>
  <c r="K11" i="6"/>
  <c r="T11" i="6"/>
  <c r="C11" i="6"/>
  <c r="S16" i="6"/>
  <c r="C16" i="6"/>
  <c r="K16" i="6"/>
  <c r="T16" i="6"/>
  <c r="D57" i="5"/>
  <c r="S7" i="6"/>
  <c r="C7" i="6"/>
  <c r="K7" i="6"/>
  <c r="T7" i="6"/>
  <c r="S193" i="6"/>
  <c r="K193" i="6"/>
  <c r="T193" i="6"/>
  <c r="C193" i="6"/>
  <c r="S44" i="6"/>
  <c r="T44" i="6"/>
  <c r="C44" i="6"/>
  <c r="K44" i="6"/>
  <c r="S109" i="6"/>
  <c r="K109" i="6"/>
  <c r="T109" i="6"/>
  <c r="C109" i="6"/>
  <c r="S186" i="6"/>
  <c r="T186" i="6"/>
  <c r="C186" i="6"/>
  <c r="K186" i="6"/>
  <c r="S131" i="6"/>
  <c r="K131" i="6"/>
  <c r="T131" i="6"/>
  <c r="C131" i="6"/>
  <c r="S96" i="6"/>
  <c r="T96" i="6"/>
  <c r="C96" i="6"/>
  <c r="K96" i="6"/>
  <c r="S48" i="6"/>
  <c r="T48" i="6"/>
  <c r="K48" i="6"/>
  <c r="C48" i="6"/>
  <c r="S113" i="6"/>
  <c r="K113" i="6"/>
  <c r="T113" i="6"/>
  <c r="C113" i="6"/>
  <c r="S106" i="6"/>
  <c r="T106" i="6"/>
  <c r="C106" i="6"/>
  <c r="K106" i="6"/>
  <c r="S176" i="6"/>
  <c r="T176" i="6"/>
  <c r="C176" i="6"/>
  <c r="K176" i="6"/>
  <c r="S169" i="6"/>
  <c r="K169" i="6"/>
  <c r="T169" i="6"/>
  <c r="C169" i="6"/>
  <c r="S61" i="6"/>
  <c r="K61" i="6"/>
  <c r="C61" i="6"/>
  <c r="T61" i="6"/>
  <c r="S102" i="6"/>
  <c r="T102" i="6"/>
  <c r="C102" i="6"/>
  <c r="K102" i="6"/>
  <c r="S191" i="6"/>
  <c r="K191" i="6"/>
  <c r="T191" i="6"/>
  <c r="C191" i="6"/>
  <c r="S177" i="6"/>
  <c r="T177" i="6"/>
  <c r="K177" i="6"/>
  <c r="C177" i="6"/>
  <c r="S146" i="6"/>
  <c r="K146" i="6"/>
  <c r="T146" i="6"/>
  <c r="C146" i="6"/>
  <c r="S175" i="6"/>
  <c r="C175" i="6"/>
  <c r="K175" i="6"/>
  <c r="T175" i="6"/>
  <c r="S59" i="6"/>
  <c r="K59" i="6"/>
  <c r="T59" i="6"/>
  <c r="C59" i="6"/>
  <c r="S57" i="6"/>
  <c r="T57" i="6"/>
  <c r="C57" i="6"/>
  <c r="K57" i="6"/>
  <c r="S41" i="6"/>
  <c r="K41" i="6"/>
  <c r="C41" i="6"/>
  <c r="T41" i="6"/>
  <c r="Q56" i="6"/>
  <c r="O56" i="4"/>
  <c r="P56" i="6" s="1"/>
  <c r="N191" i="6"/>
  <c r="S191" i="4"/>
  <c r="K191" i="4"/>
  <c r="M136" i="6"/>
  <c r="J136" i="4"/>
  <c r="Q112" i="6"/>
  <c r="O112" i="4"/>
  <c r="P112" i="6" s="1"/>
  <c r="Q40" i="6"/>
  <c r="O40" i="4"/>
  <c r="P40" i="6" s="1"/>
  <c r="M189" i="6"/>
  <c r="J189" i="4"/>
  <c r="Q153" i="6"/>
  <c r="O153" i="4"/>
  <c r="P153" i="6" s="1"/>
  <c r="M129" i="6"/>
  <c r="J129" i="4"/>
  <c r="L129" i="4" s="1"/>
  <c r="T129" i="4" s="1"/>
  <c r="N182" i="6"/>
  <c r="K182" i="4"/>
  <c r="S182" i="4"/>
  <c r="M122" i="6"/>
  <c r="J122" i="4"/>
  <c r="M98" i="6"/>
  <c r="J98" i="4"/>
  <c r="M199" i="6"/>
  <c r="J199" i="4"/>
  <c r="Q175" i="6"/>
  <c r="O175" i="4"/>
  <c r="P175" i="6" s="1"/>
  <c r="M115" i="6"/>
  <c r="J115" i="4"/>
  <c r="Q91" i="6"/>
  <c r="O91" i="4"/>
  <c r="P91" i="6" s="1"/>
  <c r="M39" i="6"/>
  <c r="J39" i="4"/>
  <c r="L39" i="4" s="1"/>
  <c r="T39" i="4" s="1"/>
  <c r="N3" i="6"/>
  <c r="S3" i="4"/>
  <c r="K3" i="4"/>
  <c r="N13" i="6"/>
  <c r="K13" i="4"/>
  <c r="S13" i="4"/>
  <c r="Q18" i="6"/>
  <c r="O18" i="4"/>
  <c r="P18" i="6" s="1"/>
  <c r="Q71" i="6"/>
  <c r="O71" i="4"/>
  <c r="P71" i="6" s="1"/>
  <c r="Q23" i="6"/>
  <c r="O23" i="4"/>
  <c r="P23" i="6" s="1"/>
  <c r="N33" i="6"/>
  <c r="K33" i="4"/>
  <c r="S33" i="4"/>
  <c r="M9" i="6"/>
  <c r="J9" i="4"/>
  <c r="Q38" i="6"/>
  <c r="O38" i="4"/>
  <c r="P38" i="6" s="1"/>
  <c r="M19" i="6"/>
  <c r="J19" i="4"/>
  <c r="M12" i="6"/>
  <c r="J12" i="4"/>
  <c r="N41" i="6"/>
  <c r="K41" i="4"/>
  <c r="S41" i="4"/>
  <c r="N17" i="6"/>
  <c r="K17" i="4"/>
  <c r="S17" i="4"/>
  <c r="M22" i="6"/>
  <c r="J22" i="4"/>
  <c r="N44" i="6"/>
  <c r="S44" i="4"/>
  <c r="K44" i="4"/>
  <c r="Q196" i="6"/>
  <c r="O196" i="4"/>
  <c r="P196" i="6" s="1"/>
  <c r="N136" i="6"/>
  <c r="S136" i="4"/>
  <c r="K136" i="4"/>
  <c r="M40" i="6"/>
  <c r="J40" i="4"/>
  <c r="N24" i="6"/>
  <c r="K24" i="4"/>
  <c r="S24" i="4"/>
  <c r="N129" i="6"/>
  <c r="K129" i="4"/>
  <c r="S129" i="4"/>
  <c r="M105" i="6"/>
  <c r="J105" i="4"/>
  <c r="M81" i="6"/>
  <c r="J81" i="4"/>
  <c r="L81" i="4" s="1"/>
  <c r="T81" i="4" s="1"/>
  <c r="Q182" i="6"/>
  <c r="O182" i="4"/>
  <c r="P182" i="6" s="1"/>
  <c r="M158" i="6"/>
  <c r="J158" i="4"/>
  <c r="N98" i="6"/>
  <c r="K98" i="4"/>
  <c r="S98" i="4"/>
  <c r="N151" i="6"/>
  <c r="S151" i="4"/>
  <c r="K151" i="4"/>
  <c r="N115" i="6"/>
  <c r="S115" i="4"/>
  <c r="K115" i="4"/>
  <c r="Q39" i="6"/>
  <c r="O39" i="4"/>
  <c r="P39" i="6" s="1"/>
  <c r="Q13" i="6"/>
  <c r="O13" i="4"/>
  <c r="P13" i="6" s="1"/>
  <c r="N9" i="6"/>
  <c r="S9" i="4"/>
  <c r="K9" i="4"/>
  <c r="L9" i="4" s="1"/>
  <c r="T9" i="4" s="1"/>
  <c r="Q14" i="6"/>
  <c r="O14" i="4"/>
  <c r="P14" i="6" s="1"/>
  <c r="Q67" i="6"/>
  <c r="O67" i="4"/>
  <c r="P67" i="6" s="1"/>
  <c r="Q43" i="6"/>
  <c r="O43" i="4"/>
  <c r="P43" i="6" s="1"/>
  <c r="N19" i="6"/>
  <c r="K19" i="4"/>
  <c r="L19" i="4" s="1"/>
  <c r="T19" i="4" s="1"/>
  <c r="S19" i="4"/>
  <c r="N12" i="6"/>
  <c r="S12" i="4"/>
  <c r="K12" i="4"/>
  <c r="Q17" i="6"/>
  <c r="O17" i="4"/>
  <c r="P17" i="6" s="1"/>
  <c r="N22" i="6"/>
  <c r="S22" i="4"/>
  <c r="K22" i="4"/>
  <c r="N196" i="6"/>
  <c r="K196" i="4"/>
  <c r="S196" i="4"/>
  <c r="M172" i="6"/>
  <c r="J172" i="4"/>
  <c r="M112" i="6"/>
  <c r="J112" i="4"/>
  <c r="N88" i="6"/>
  <c r="K88" i="4"/>
  <c r="S88" i="4"/>
  <c r="Q64" i="6"/>
  <c r="O64" i="4"/>
  <c r="P64" i="6" s="1"/>
  <c r="N189" i="6"/>
  <c r="K189" i="4"/>
  <c r="S189" i="4"/>
  <c r="M165" i="6"/>
  <c r="J165" i="4"/>
  <c r="Q129" i="6"/>
  <c r="O129" i="4"/>
  <c r="P129" i="6" s="1"/>
  <c r="N105" i="6"/>
  <c r="K105" i="4"/>
  <c r="S105" i="4"/>
  <c r="N81" i="6"/>
  <c r="S81" i="4"/>
  <c r="K81" i="4"/>
  <c r="N66" i="6"/>
  <c r="S66" i="4"/>
  <c r="K66" i="4"/>
  <c r="N158" i="6"/>
  <c r="K158" i="4"/>
  <c r="S158" i="4"/>
  <c r="Q98" i="6"/>
  <c r="O98" i="4"/>
  <c r="P98" i="6" s="1"/>
  <c r="N50" i="6"/>
  <c r="S50" i="4"/>
  <c r="K50" i="4"/>
  <c r="M175" i="6"/>
  <c r="J175" i="4"/>
  <c r="Q151" i="6"/>
  <c r="O151" i="4"/>
  <c r="P151" i="6" s="1"/>
  <c r="M91" i="6"/>
  <c r="J91" i="4"/>
  <c r="M15" i="6"/>
  <c r="J15" i="4"/>
  <c r="M20" i="6"/>
  <c r="J20" i="4"/>
  <c r="M18" i="6"/>
  <c r="J18" i="4"/>
  <c r="M71" i="6"/>
  <c r="J71" i="4"/>
  <c r="M23" i="6"/>
  <c r="J23" i="4"/>
  <c r="M4" i="6"/>
  <c r="J4" i="4"/>
  <c r="Q9" i="6"/>
  <c r="O9" i="4"/>
  <c r="P9" i="6" s="1"/>
  <c r="M38" i="6"/>
  <c r="J38" i="4"/>
  <c r="D67" i="5"/>
  <c r="Q19" i="6"/>
  <c r="O19" i="4"/>
  <c r="P19" i="6" s="1"/>
  <c r="Q22" i="6"/>
  <c r="O22" i="4"/>
  <c r="P22" i="6" s="1"/>
  <c r="N142" i="6"/>
  <c r="K142" i="4"/>
  <c r="S142" i="4"/>
  <c r="M164" i="6"/>
  <c r="J164" i="4"/>
  <c r="Q145" i="6"/>
  <c r="O145" i="4"/>
  <c r="P145" i="6" s="1"/>
  <c r="M198" i="6"/>
  <c r="J198" i="4"/>
  <c r="Q167" i="6"/>
  <c r="O167" i="4"/>
  <c r="P167" i="6" s="1"/>
  <c r="N48" i="6"/>
  <c r="S48" i="4"/>
  <c r="K48" i="4"/>
  <c r="Q178" i="6"/>
  <c r="O178" i="4"/>
  <c r="P178" i="6" s="1"/>
  <c r="N104" i="6"/>
  <c r="K104" i="4"/>
  <c r="S104" i="4"/>
  <c r="Q80" i="6"/>
  <c r="O80" i="4"/>
  <c r="P80" i="6" s="1"/>
  <c r="N97" i="6"/>
  <c r="K97" i="4"/>
  <c r="S97" i="4"/>
  <c r="Q198" i="6"/>
  <c r="O198" i="4"/>
  <c r="P198" i="6" s="1"/>
  <c r="M191" i="6"/>
  <c r="J191" i="4"/>
  <c r="M107" i="6"/>
  <c r="J107" i="4"/>
  <c r="N120" i="6"/>
  <c r="S120" i="4"/>
  <c r="K120" i="4"/>
  <c r="Q72" i="6"/>
  <c r="O72" i="4"/>
  <c r="P72" i="6" s="1"/>
  <c r="N185" i="6"/>
  <c r="K185" i="4"/>
  <c r="S185" i="4"/>
  <c r="Q125" i="6"/>
  <c r="O125" i="4"/>
  <c r="P125" i="6" s="1"/>
  <c r="N101" i="6"/>
  <c r="K101" i="4"/>
  <c r="S101" i="4"/>
  <c r="N77" i="6"/>
  <c r="S77" i="4"/>
  <c r="K77" i="4"/>
  <c r="N58" i="6"/>
  <c r="S58" i="4"/>
  <c r="K58" i="4"/>
  <c r="M178" i="6"/>
  <c r="J178" i="4"/>
  <c r="Q118" i="6"/>
  <c r="O118" i="4"/>
  <c r="P118" i="6" s="1"/>
  <c r="M94" i="6"/>
  <c r="J94" i="4"/>
  <c r="Q61" i="6"/>
  <c r="O61" i="4"/>
  <c r="P61" i="6" s="1"/>
  <c r="Q183" i="6"/>
  <c r="O183" i="4"/>
  <c r="P183" i="6" s="1"/>
  <c r="Q123" i="6"/>
  <c r="O123" i="4"/>
  <c r="P123" i="6" s="1"/>
  <c r="M200" i="6"/>
  <c r="J200" i="4"/>
  <c r="Q181" i="6"/>
  <c r="O181" i="4"/>
  <c r="P181" i="6" s="1"/>
  <c r="Q97" i="6"/>
  <c r="O97" i="4"/>
  <c r="P97" i="6" s="1"/>
  <c r="Q73" i="6"/>
  <c r="O73" i="4"/>
  <c r="P73" i="6" s="1"/>
  <c r="N198" i="6"/>
  <c r="K198" i="4"/>
  <c r="S198" i="4"/>
  <c r="M174" i="6"/>
  <c r="J174" i="4"/>
  <c r="N114" i="6"/>
  <c r="K114" i="4"/>
  <c r="S114" i="4"/>
  <c r="N143" i="6"/>
  <c r="S143" i="4"/>
  <c r="K143" i="4"/>
  <c r="N107" i="6"/>
  <c r="S107" i="4"/>
  <c r="K107" i="4"/>
  <c r="L107" i="4" s="1"/>
  <c r="T107" i="4" s="1"/>
  <c r="Q172" i="6"/>
  <c r="O172" i="4"/>
  <c r="P172" i="6" s="1"/>
  <c r="M148" i="6"/>
  <c r="J148" i="4"/>
  <c r="N112" i="6"/>
  <c r="K112" i="4"/>
  <c r="S112" i="4"/>
  <c r="Q88" i="6"/>
  <c r="O88" i="4"/>
  <c r="P88" i="6" s="1"/>
  <c r="M64" i="6"/>
  <c r="J64" i="4"/>
  <c r="Q189" i="6"/>
  <c r="O189" i="4"/>
  <c r="P189" i="6" s="1"/>
  <c r="Q105" i="6"/>
  <c r="O105" i="4"/>
  <c r="P105" i="6" s="1"/>
  <c r="Q81" i="6"/>
  <c r="O81" i="4"/>
  <c r="P81" i="6" s="1"/>
  <c r="Q158" i="6"/>
  <c r="O158" i="4"/>
  <c r="P158" i="6" s="1"/>
  <c r="M134" i="6"/>
  <c r="J134" i="4"/>
  <c r="L134" i="4" s="1"/>
  <c r="M74" i="6"/>
  <c r="J74" i="4"/>
  <c r="M50" i="6"/>
  <c r="J50" i="4"/>
  <c r="L50" i="4" s="1"/>
  <c r="Q127" i="6"/>
  <c r="O127" i="4"/>
  <c r="P127" i="6" s="1"/>
  <c r="N91" i="6"/>
  <c r="S91" i="4"/>
  <c r="K91" i="4"/>
  <c r="N39" i="6"/>
  <c r="K39" i="4"/>
  <c r="S39" i="4"/>
  <c r="N15" i="6"/>
  <c r="K15" i="4"/>
  <c r="S15" i="4"/>
  <c r="N20" i="6"/>
  <c r="S20" i="4"/>
  <c r="K20" i="4"/>
  <c r="N23" i="6"/>
  <c r="K23" i="4"/>
  <c r="L23" i="4" s="1"/>
  <c r="T23" i="4" s="1"/>
  <c r="S23" i="4"/>
  <c r="N4" i="6"/>
  <c r="K4" i="4"/>
  <c r="S4" i="4"/>
  <c r="M45" i="6"/>
  <c r="J45" i="4"/>
  <c r="M14" i="6"/>
  <c r="J14" i="4"/>
  <c r="M65" i="6"/>
  <c r="J65" i="4"/>
  <c r="Q202" i="6"/>
  <c r="O202" i="4"/>
  <c r="P202" i="6" s="1"/>
  <c r="N63" i="6"/>
  <c r="K63" i="4"/>
  <c r="S63" i="4"/>
  <c r="M138" i="6"/>
  <c r="J138" i="4"/>
  <c r="M180" i="6"/>
  <c r="J180" i="4"/>
  <c r="N164" i="6"/>
  <c r="K164" i="4"/>
  <c r="S164" i="4"/>
  <c r="M51" i="6"/>
  <c r="J51" i="4"/>
  <c r="L51" i="4" s="1"/>
  <c r="N72" i="6"/>
  <c r="K72" i="4"/>
  <c r="S72" i="4"/>
  <c r="N118" i="6"/>
  <c r="S118" i="4"/>
  <c r="K118" i="4"/>
  <c r="N181" i="6"/>
  <c r="K181" i="4"/>
  <c r="S181" i="4"/>
  <c r="N73" i="6"/>
  <c r="S73" i="4"/>
  <c r="K73" i="4"/>
  <c r="Q49" i="6"/>
  <c r="O49" i="4"/>
  <c r="P49" i="6" s="1"/>
  <c r="M114" i="6"/>
  <c r="J114" i="4"/>
  <c r="S54" i="6"/>
  <c r="N167" i="6"/>
  <c r="S167" i="4"/>
  <c r="K167" i="4"/>
  <c r="Q83" i="6"/>
  <c r="O83" i="4"/>
  <c r="P83" i="6" s="1"/>
  <c r="N180" i="6"/>
  <c r="K180" i="4"/>
  <c r="S180" i="4"/>
  <c r="Q48" i="6"/>
  <c r="O48" i="4"/>
  <c r="P48" i="6" s="1"/>
  <c r="M161" i="6"/>
  <c r="J161" i="4"/>
  <c r="M53" i="6"/>
  <c r="J53" i="4"/>
  <c r="N178" i="6"/>
  <c r="K178" i="4"/>
  <c r="S178" i="4"/>
  <c r="M154" i="6"/>
  <c r="J154" i="4"/>
  <c r="N94" i="6"/>
  <c r="K94" i="4"/>
  <c r="S94" i="4"/>
  <c r="N46" i="6"/>
  <c r="S46" i="4"/>
  <c r="K46" i="4"/>
  <c r="N183" i="6"/>
  <c r="S183" i="4"/>
  <c r="K183" i="4"/>
  <c r="Q99" i="6"/>
  <c r="O99" i="4"/>
  <c r="P99" i="6" s="1"/>
  <c r="Q75" i="6"/>
  <c r="O75" i="4"/>
  <c r="P75" i="6" s="1"/>
  <c r="Q200" i="6"/>
  <c r="O200" i="4"/>
  <c r="P200" i="6" s="1"/>
  <c r="M140" i="6"/>
  <c r="J140" i="4"/>
  <c r="Q116" i="6"/>
  <c r="O116" i="4"/>
  <c r="P116" i="6" s="1"/>
  <c r="M80" i="6"/>
  <c r="J80" i="4"/>
  <c r="N157" i="6"/>
  <c r="S157" i="4"/>
  <c r="K157" i="4"/>
  <c r="M133" i="6"/>
  <c r="J133" i="4"/>
  <c r="Q174" i="6"/>
  <c r="O174" i="4"/>
  <c r="P174" i="6" s="1"/>
  <c r="Q114" i="6"/>
  <c r="O114" i="4"/>
  <c r="P114" i="6" s="1"/>
  <c r="N40" i="6"/>
  <c r="S40" i="4"/>
  <c r="K40" i="4"/>
  <c r="M167" i="6"/>
  <c r="J167" i="4"/>
  <c r="Q143" i="6"/>
  <c r="O143" i="4"/>
  <c r="P143" i="6" s="1"/>
  <c r="M83" i="6"/>
  <c r="J83" i="4"/>
  <c r="N172" i="6"/>
  <c r="K172" i="4"/>
  <c r="L172" i="4" s="1"/>
  <c r="S172" i="4"/>
  <c r="N165" i="6"/>
  <c r="K165" i="4"/>
  <c r="S165" i="4"/>
  <c r="M194" i="6"/>
  <c r="J194" i="4"/>
  <c r="N134" i="6"/>
  <c r="K134" i="4"/>
  <c r="S134" i="4"/>
  <c r="N74" i="6"/>
  <c r="K74" i="4"/>
  <c r="S74" i="4"/>
  <c r="Q50" i="6"/>
  <c r="O50" i="4"/>
  <c r="P50" i="6" s="1"/>
  <c r="Q187" i="6"/>
  <c r="O187" i="4"/>
  <c r="P187" i="6" s="1"/>
  <c r="M151" i="6"/>
  <c r="J151" i="4"/>
  <c r="L151" i="4" s="1"/>
  <c r="N127" i="6"/>
  <c r="S127" i="4"/>
  <c r="K127" i="4"/>
  <c r="Q15" i="6"/>
  <c r="O15" i="4"/>
  <c r="P15" i="6" s="1"/>
  <c r="Q20" i="6"/>
  <c r="O20" i="4"/>
  <c r="P20" i="6" s="1"/>
  <c r="M25" i="6"/>
  <c r="J25" i="4"/>
  <c r="L25" i="4" s="1"/>
  <c r="T25" i="4" s="1"/>
  <c r="N30" i="6"/>
  <c r="K30" i="4"/>
  <c r="S30" i="4"/>
  <c r="Q4" i="6"/>
  <c r="O4" i="4"/>
  <c r="P4" i="6" s="1"/>
  <c r="N45" i="6"/>
  <c r="K45" i="4"/>
  <c r="S45" i="4"/>
  <c r="N14" i="6"/>
  <c r="S14" i="4"/>
  <c r="K14" i="4"/>
  <c r="M55" i="6"/>
  <c r="J55" i="4"/>
  <c r="Q65" i="6"/>
  <c r="O65" i="4"/>
  <c r="P65" i="6" s="1"/>
  <c r="M29" i="6"/>
  <c r="J29" i="4"/>
  <c r="M120" i="6"/>
  <c r="J120" i="4"/>
  <c r="N82" i="6"/>
  <c r="K82" i="4"/>
  <c r="S82" i="4"/>
  <c r="M54" i="6"/>
  <c r="J54" i="4"/>
  <c r="Q107" i="6"/>
  <c r="O107" i="4"/>
  <c r="P107" i="6" s="1"/>
  <c r="N149" i="6"/>
  <c r="K149" i="4"/>
  <c r="S149" i="4"/>
  <c r="Q142" i="6"/>
  <c r="O142" i="4"/>
  <c r="P142" i="6" s="1"/>
  <c r="Q58" i="6"/>
  <c r="O58" i="4"/>
  <c r="P58" i="6" s="1"/>
  <c r="N80" i="6"/>
  <c r="K80" i="4"/>
  <c r="S80" i="4"/>
  <c r="N138" i="6"/>
  <c r="K138" i="4"/>
  <c r="S138" i="4"/>
  <c r="Q164" i="6"/>
  <c r="O164" i="4"/>
  <c r="P164" i="6" s="1"/>
  <c r="M157" i="6"/>
  <c r="J157" i="4"/>
  <c r="Q121" i="6"/>
  <c r="O121" i="4"/>
  <c r="P121" i="6" s="1"/>
  <c r="Q138" i="6"/>
  <c r="O138" i="4"/>
  <c r="P138" i="6" s="1"/>
  <c r="Q78" i="6"/>
  <c r="O78" i="4"/>
  <c r="P78" i="6" s="1"/>
  <c r="N156" i="6"/>
  <c r="K156" i="4"/>
  <c r="S156" i="4"/>
  <c r="L105" i="4"/>
  <c r="T105" i="4" s="1"/>
  <c r="M96" i="6"/>
  <c r="J96" i="4"/>
  <c r="L96" i="4" s="1"/>
  <c r="Q185" i="6"/>
  <c r="O185" i="4"/>
  <c r="P185" i="6" s="1"/>
  <c r="Q101" i="6"/>
  <c r="O101" i="4"/>
  <c r="P101" i="6" s="1"/>
  <c r="Q77" i="6"/>
  <c r="O77" i="4"/>
  <c r="P77" i="6" s="1"/>
  <c r="M156" i="6"/>
  <c r="J156" i="4"/>
  <c r="Q132" i="6"/>
  <c r="O132" i="4"/>
  <c r="P132" i="6" s="1"/>
  <c r="N96" i="6"/>
  <c r="K96" i="4"/>
  <c r="S96" i="4"/>
  <c r="M72" i="6"/>
  <c r="J72" i="4"/>
  <c r="L72" i="4" s="1"/>
  <c r="M48" i="6"/>
  <c r="J48" i="4"/>
  <c r="L48" i="4" s="1"/>
  <c r="N161" i="6"/>
  <c r="K161" i="4"/>
  <c r="S161" i="4"/>
  <c r="Q154" i="6"/>
  <c r="O154" i="4"/>
  <c r="P154" i="6" s="1"/>
  <c r="Q94" i="6"/>
  <c r="O94" i="4"/>
  <c r="P94" i="6" s="1"/>
  <c r="N70" i="6"/>
  <c r="K70" i="4"/>
  <c r="S70" i="4"/>
  <c r="Q159" i="6"/>
  <c r="O159" i="4"/>
  <c r="P159" i="6" s="1"/>
  <c r="M123" i="6"/>
  <c r="J123" i="4"/>
  <c r="N51" i="6"/>
  <c r="S51" i="4"/>
  <c r="K51" i="4"/>
  <c r="M176" i="6"/>
  <c r="J176" i="4"/>
  <c r="N140" i="6"/>
  <c r="S140" i="4"/>
  <c r="K140" i="4"/>
  <c r="Q157" i="6"/>
  <c r="O157" i="4"/>
  <c r="P157" i="6" s="1"/>
  <c r="N37" i="6"/>
  <c r="K37" i="4"/>
  <c r="S37" i="4"/>
  <c r="N174" i="6"/>
  <c r="K174" i="4"/>
  <c r="S174" i="4"/>
  <c r="Q150" i="6"/>
  <c r="O150" i="4"/>
  <c r="P150" i="6" s="1"/>
  <c r="M90" i="6"/>
  <c r="J90" i="4"/>
  <c r="M42" i="6"/>
  <c r="J42" i="4"/>
  <c r="Q119" i="6"/>
  <c r="O119" i="4"/>
  <c r="P119" i="6" s="1"/>
  <c r="N83" i="6"/>
  <c r="S83" i="4"/>
  <c r="K83" i="4"/>
  <c r="N148" i="6"/>
  <c r="K148" i="4"/>
  <c r="S148" i="4"/>
  <c r="Q124" i="6"/>
  <c r="O124" i="4"/>
  <c r="P124" i="6" s="1"/>
  <c r="M88" i="6"/>
  <c r="J88" i="4"/>
  <c r="L88" i="4" s="1"/>
  <c r="Q28" i="6"/>
  <c r="O28" i="4"/>
  <c r="P28" i="6" s="1"/>
  <c r="Q165" i="6"/>
  <c r="O165" i="4"/>
  <c r="P165" i="6" s="1"/>
  <c r="M141" i="6"/>
  <c r="J141" i="4"/>
  <c r="N194" i="6"/>
  <c r="K194" i="4"/>
  <c r="S194" i="4"/>
  <c r="Q134" i="6"/>
  <c r="O134" i="4"/>
  <c r="P134" i="6" s="1"/>
  <c r="M110" i="6"/>
  <c r="J110" i="4"/>
  <c r="Q74" i="6"/>
  <c r="O74" i="4"/>
  <c r="P74" i="6" s="1"/>
  <c r="S50" i="6"/>
  <c r="N187" i="6"/>
  <c r="S187" i="4"/>
  <c r="K187" i="4"/>
  <c r="Q103" i="6"/>
  <c r="O103" i="4"/>
  <c r="P103" i="6" s="1"/>
  <c r="N25" i="6"/>
  <c r="S25" i="4"/>
  <c r="K25" i="4"/>
  <c r="Q30" i="6"/>
  <c r="O30" i="4"/>
  <c r="P30" i="6" s="1"/>
  <c r="Q35" i="6"/>
  <c r="O35" i="4"/>
  <c r="P35" i="6" s="1"/>
  <c r="Q45" i="6"/>
  <c r="O45" i="4"/>
  <c r="P45" i="6" s="1"/>
  <c r="N55" i="6"/>
  <c r="K55" i="4"/>
  <c r="S55" i="4"/>
  <c r="M31" i="6"/>
  <c r="J31" i="4"/>
  <c r="Q29" i="6"/>
  <c r="O29" i="4"/>
  <c r="P29" i="6" s="1"/>
  <c r="Q34" i="6"/>
  <c r="O34" i="4"/>
  <c r="P34" i="6" s="1"/>
  <c r="M144" i="6"/>
  <c r="J144" i="4"/>
  <c r="M58" i="6"/>
  <c r="J58" i="4"/>
  <c r="M181" i="6"/>
  <c r="J181" i="4"/>
  <c r="M185" i="6"/>
  <c r="J185" i="4"/>
  <c r="M87" i="6"/>
  <c r="J87" i="4"/>
  <c r="M73" i="6"/>
  <c r="J73" i="4"/>
  <c r="Q54" i="6"/>
  <c r="O54" i="4"/>
  <c r="P54" i="6" s="1"/>
  <c r="Q180" i="6"/>
  <c r="O180" i="4"/>
  <c r="P180" i="6" s="1"/>
  <c r="N202" i="6"/>
  <c r="K202" i="4"/>
  <c r="S202" i="4"/>
  <c r="Q140" i="6"/>
  <c r="O140" i="4"/>
  <c r="P140" i="6" s="1"/>
  <c r="Q156" i="6"/>
  <c r="O156" i="4"/>
  <c r="P156" i="6" s="1"/>
  <c r="N64" i="6"/>
  <c r="S64" i="4"/>
  <c r="K64" i="4"/>
  <c r="L64" i="4" s="1"/>
  <c r="Q161" i="6"/>
  <c r="O161" i="4"/>
  <c r="P161" i="6" s="1"/>
  <c r="M137" i="6"/>
  <c r="J137" i="4"/>
  <c r="N42" i="6"/>
  <c r="S42" i="4"/>
  <c r="K42" i="4"/>
  <c r="N154" i="6"/>
  <c r="K154" i="4"/>
  <c r="S154" i="4"/>
  <c r="M130" i="6"/>
  <c r="J130" i="4"/>
  <c r="M46" i="6"/>
  <c r="J46" i="4"/>
  <c r="M183" i="6"/>
  <c r="J183" i="4"/>
  <c r="N159" i="6"/>
  <c r="S159" i="4"/>
  <c r="K159" i="4"/>
  <c r="M99" i="6"/>
  <c r="J99" i="4"/>
  <c r="M75" i="6"/>
  <c r="J75" i="4"/>
  <c r="N54" i="6"/>
  <c r="S54" i="4"/>
  <c r="K54" i="4"/>
  <c r="N200" i="6"/>
  <c r="K200" i="4"/>
  <c r="L200" i="4" s="1"/>
  <c r="S200" i="4"/>
  <c r="Q176" i="6"/>
  <c r="O176" i="4"/>
  <c r="P176" i="6" s="1"/>
  <c r="M116" i="6"/>
  <c r="J116" i="4"/>
  <c r="N92" i="6"/>
  <c r="K92" i="4"/>
  <c r="S92" i="4"/>
  <c r="Q44" i="6"/>
  <c r="O44" i="4"/>
  <c r="P44" i="6" s="1"/>
  <c r="M193" i="6"/>
  <c r="J193" i="4"/>
  <c r="N133" i="6"/>
  <c r="K133" i="4"/>
  <c r="S133" i="4"/>
  <c r="M109" i="6"/>
  <c r="J109" i="4"/>
  <c r="Q37" i="6"/>
  <c r="O37" i="4"/>
  <c r="P37" i="6" s="1"/>
  <c r="N90" i="6"/>
  <c r="K90" i="4"/>
  <c r="S90" i="4"/>
  <c r="M66" i="6"/>
  <c r="J66" i="4"/>
  <c r="Q42" i="6"/>
  <c r="O42" i="4"/>
  <c r="P42" i="6" s="1"/>
  <c r="Q179" i="6"/>
  <c r="O179" i="4"/>
  <c r="P179" i="6" s="1"/>
  <c r="M143" i="6"/>
  <c r="J143" i="4"/>
  <c r="M184" i="6"/>
  <c r="J184" i="4"/>
  <c r="Q148" i="6"/>
  <c r="O148" i="4"/>
  <c r="P148" i="6" s="1"/>
  <c r="N52" i="6"/>
  <c r="S52" i="4"/>
  <c r="K52" i="4"/>
  <c r="M201" i="6"/>
  <c r="J201" i="4"/>
  <c r="N141" i="6"/>
  <c r="K141" i="4"/>
  <c r="L141" i="4" s="1"/>
  <c r="S141" i="4"/>
  <c r="M117" i="6"/>
  <c r="J117" i="4"/>
  <c r="M69" i="6"/>
  <c r="J69" i="4"/>
  <c r="Q194" i="6"/>
  <c r="O194" i="4"/>
  <c r="P194" i="6" s="1"/>
  <c r="N170" i="6"/>
  <c r="K170" i="4"/>
  <c r="S170" i="4"/>
  <c r="N110" i="6"/>
  <c r="K110" i="4"/>
  <c r="S110" i="4"/>
  <c r="D74" i="5"/>
  <c r="Q163" i="6"/>
  <c r="O163" i="4"/>
  <c r="P163" i="6" s="1"/>
  <c r="M127" i="6"/>
  <c r="J127" i="4"/>
  <c r="Q25" i="6"/>
  <c r="O25" i="4"/>
  <c r="P25" i="6" s="1"/>
  <c r="M6" i="6"/>
  <c r="J6" i="4"/>
  <c r="M21" i="6"/>
  <c r="J21" i="4"/>
  <c r="Q55" i="6"/>
  <c r="O55" i="4"/>
  <c r="P55" i="6" s="1"/>
  <c r="Q31" i="6"/>
  <c r="O31" i="4"/>
  <c r="P31" i="6" s="1"/>
  <c r="N65" i="6"/>
  <c r="S65" i="4"/>
  <c r="K65" i="4"/>
  <c r="L65" i="4" s="1"/>
  <c r="N29" i="6"/>
  <c r="S29" i="4"/>
  <c r="K29" i="4"/>
  <c r="Q5" i="6"/>
  <c r="O5" i="4"/>
  <c r="P5" i="6" s="1"/>
  <c r="M166" i="6"/>
  <c r="J166" i="4"/>
  <c r="N128" i="6"/>
  <c r="S128" i="4"/>
  <c r="K128" i="4"/>
  <c r="M78" i="6"/>
  <c r="J78" i="4"/>
  <c r="L78" i="4" s="1"/>
  <c r="M171" i="6"/>
  <c r="J171" i="4"/>
  <c r="M56" i="6"/>
  <c r="J56" i="4"/>
  <c r="L56" i="4" s="1"/>
  <c r="M101" i="6"/>
  <c r="J101" i="4"/>
  <c r="L101" i="4" s="1"/>
  <c r="T101" i="4" s="1"/>
  <c r="N147" i="6"/>
  <c r="S147" i="4"/>
  <c r="K147" i="4"/>
  <c r="M192" i="6"/>
  <c r="J192" i="4"/>
  <c r="M132" i="6"/>
  <c r="J132" i="4"/>
  <c r="Q108" i="6"/>
  <c r="O108" i="4"/>
  <c r="P108" i="6" s="1"/>
  <c r="M197" i="6"/>
  <c r="J197" i="4"/>
  <c r="N137" i="6"/>
  <c r="K137" i="4"/>
  <c r="S137" i="4"/>
  <c r="M113" i="6"/>
  <c r="J113" i="4"/>
  <c r="M190" i="6"/>
  <c r="J190" i="4"/>
  <c r="N130" i="6"/>
  <c r="K130" i="4"/>
  <c r="S130" i="4"/>
  <c r="M70" i="6"/>
  <c r="J70" i="4"/>
  <c r="Q46" i="6"/>
  <c r="O46" i="4"/>
  <c r="P46" i="6" s="1"/>
  <c r="N135" i="6"/>
  <c r="S135" i="4"/>
  <c r="K135" i="4"/>
  <c r="N99" i="6"/>
  <c r="S99" i="4"/>
  <c r="K99" i="4"/>
  <c r="N75" i="6"/>
  <c r="S75" i="4"/>
  <c r="K75" i="4"/>
  <c r="S51" i="6"/>
  <c r="N116" i="6"/>
  <c r="K116" i="4"/>
  <c r="S116" i="4"/>
  <c r="Q92" i="6"/>
  <c r="O92" i="4"/>
  <c r="P92" i="6" s="1"/>
  <c r="Q68" i="6"/>
  <c r="O68" i="4"/>
  <c r="P68" i="6" s="1"/>
  <c r="M44" i="6"/>
  <c r="J44" i="4"/>
  <c r="L44" i="4" s="1"/>
  <c r="N193" i="6"/>
  <c r="K193" i="4"/>
  <c r="S193" i="4"/>
  <c r="M169" i="6"/>
  <c r="J169" i="4"/>
  <c r="Q133" i="6"/>
  <c r="O133" i="4"/>
  <c r="P133" i="6" s="1"/>
  <c r="N109" i="6"/>
  <c r="K109" i="4"/>
  <c r="S109" i="4"/>
  <c r="N61" i="6"/>
  <c r="S61" i="4"/>
  <c r="K61" i="4"/>
  <c r="M150" i="6"/>
  <c r="J150" i="4"/>
  <c r="M126" i="6"/>
  <c r="J126" i="4"/>
  <c r="Q90" i="6"/>
  <c r="O90" i="4"/>
  <c r="P90" i="6" s="1"/>
  <c r="Q66" i="6"/>
  <c r="O66" i="4"/>
  <c r="P66" i="6" s="1"/>
  <c r="N179" i="6"/>
  <c r="S179" i="4"/>
  <c r="K179" i="4"/>
  <c r="N119" i="6"/>
  <c r="S119" i="4"/>
  <c r="K119" i="4"/>
  <c r="Q95" i="6"/>
  <c r="O95" i="4"/>
  <c r="P95" i="6" s="1"/>
  <c r="Q184" i="6"/>
  <c r="O184" i="4"/>
  <c r="P184" i="6" s="1"/>
  <c r="M124" i="6"/>
  <c r="J124" i="4"/>
  <c r="L124" i="4" s="1"/>
  <c r="T124" i="4" s="1"/>
  <c r="Q100" i="6"/>
  <c r="O100" i="4"/>
  <c r="P100" i="6" s="1"/>
  <c r="N76" i="6"/>
  <c r="K76" i="4"/>
  <c r="S76" i="4"/>
  <c r="Q52" i="6"/>
  <c r="O52" i="4"/>
  <c r="P52" i="6" s="1"/>
  <c r="N201" i="6"/>
  <c r="K201" i="4"/>
  <c r="S201" i="4"/>
  <c r="Q141" i="6"/>
  <c r="O141" i="4"/>
  <c r="P141" i="6" s="1"/>
  <c r="N117" i="6"/>
  <c r="K117" i="4"/>
  <c r="S117" i="4"/>
  <c r="N69" i="6"/>
  <c r="K69" i="4"/>
  <c r="S69" i="4"/>
  <c r="Q170" i="6"/>
  <c r="O170" i="4"/>
  <c r="P170" i="6" s="1"/>
  <c r="Q110" i="6"/>
  <c r="O110" i="4"/>
  <c r="P110" i="6" s="1"/>
  <c r="M187" i="6"/>
  <c r="J187" i="4"/>
  <c r="N163" i="6"/>
  <c r="S163" i="4"/>
  <c r="K163" i="4"/>
  <c r="M103" i="6"/>
  <c r="J103" i="4"/>
  <c r="Q79" i="6"/>
  <c r="O79" i="4"/>
  <c r="P79" i="6" s="1"/>
  <c r="Q27" i="6"/>
  <c r="O27" i="4"/>
  <c r="P27" i="6" s="1"/>
  <c r="M30" i="6"/>
  <c r="J30" i="4"/>
  <c r="N6" i="6"/>
  <c r="K6" i="4"/>
  <c r="S6" i="4"/>
  <c r="M59" i="6"/>
  <c r="J59" i="4"/>
  <c r="M35" i="6"/>
  <c r="J35" i="4"/>
  <c r="M11" i="6"/>
  <c r="J11" i="4"/>
  <c r="Q16" i="6"/>
  <c r="O16" i="4"/>
  <c r="P16" i="6" s="1"/>
  <c r="N21" i="6"/>
  <c r="K21" i="4"/>
  <c r="S21" i="4"/>
  <c r="N26" i="6"/>
  <c r="S26" i="4"/>
  <c r="K26" i="4"/>
  <c r="N7" i="6"/>
  <c r="S7" i="4"/>
  <c r="K7" i="4"/>
  <c r="D65" i="5"/>
  <c r="N34" i="6"/>
  <c r="K34" i="4"/>
  <c r="S34" i="4"/>
  <c r="Q10" i="6"/>
  <c r="O10" i="4"/>
  <c r="P10" i="6" s="1"/>
  <c r="N111" i="6"/>
  <c r="S111" i="4"/>
  <c r="K111" i="4"/>
  <c r="M49" i="6"/>
  <c r="J49" i="4"/>
  <c r="Q162" i="6"/>
  <c r="O162" i="4"/>
  <c r="P162" i="6" s="1"/>
  <c r="Q24" i="6"/>
  <c r="O24" i="4"/>
  <c r="P24" i="6" s="1"/>
  <c r="M97" i="6"/>
  <c r="J97" i="4"/>
  <c r="Q96" i="6"/>
  <c r="O96" i="4"/>
  <c r="P96" i="6" s="1"/>
  <c r="N87" i="6"/>
  <c r="S87" i="4"/>
  <c r="K87" i="4"/>
  <c r="N60" i="6"/>
  <c r="S60" i="4"/>
  <c r="K60" i="4"/>
  <c r="N53" i="6"/>
  <c r="K53" i="4"/>
  <c r="S53" i="4"/>
  <c r="N197" i="6"/>
  <c r="K197" i="4"/>
  <c r="S197" i="4"/>
  <c r="Q137" i="6"/>
  <c r="O137" i="4"/>
  <c r="P137" i="6" s="1"/>
  <c r="N113" i="6"/>
  <c r="K113" i="4"/>
  <c r="S113" i="4"/>
  <c r="N190" i="6"/>
  <c r="K190" i="4"/>
  <c r="S190" i="4"/>
  <c r="Q130" i="6"/>
  <c r="O130" i="4"/>
  <c r="P130" i="6" s="1"/>
  <c r="M106" i="6"/>
  <c r="J106" i="4"/>
  <c r="Q70" i="6"/>
  <c r="O70" i="4"/>
  <c r="P70" i="6" s="1"/>
  <c r="N195" i="6"/>
  <c r="S195" i="4"/>
  <c r="K195" i="4"/>
  <c r="M159" i="6"/>
  <c r="J159" i="4"/>
  <c r="Q135" i="6"/>
  <c r="O135" i="4"/>
  <c r="P135" i="6" s="1"/>
  <c r="B5" i="1"/>
  <c r="C43" i="1"/>
  <c r="N176" i="6"/>
  <c r="K176" i="4"/>
  <c r="S176" i="4"/>
  <c r="M152" i="6"/>
  <c r="J152" i="4"/>
  <c r="M68" i="6"/>
  <c r="J68" i="4"/>
  <c r="L68" i="4" s="1"/>
  <c r="Q193" i="6"/>
  <c r="O193" i="4"/>
  <c r="P193" i="6" s="1"/>
  <c r="Q109" i="6"/>
  <c r="O109" i="4"/>
  <c r="P109" i="6" s="1"/>
  <c r="M85" i="6"/>
  <c r="J85" i="4"/>
  <c r="M186" i="6"/>
  <c r="J186" i="4"/>
  <c r="N150" i="6"/>
  <c r="K150" i="4"/>
  <c r="S150" i="4"/>
  <c r="N126" i="6"/>
  <c r="S126" i="4"/>
  <c r="K126" i="4"/>
  <c r="Q155" i="6"/>
  <c r="O155" i="4"/>
  <c r="P155" i="6" s="1"/>
  <c r="M119" i="6"/>
  <c r="J119" i="4"/>
  <c r="M160" i="6"/>
  <c r="J160" i="4"/>
  <c r="N124" i="6"/>
  <c r="S124" i="4"/>
  <c r="K124" i="4"/>
  <c r="Q76" i="6"/>
  <c r="O76" i="4"/>
  <c r="P76" i="6" s="1"/>
  <c r="M52" i="6"/>
  <c r="J52" i="4"/>
  <c r="Q63" i="6"/>
  <c r="O63" i="4"/>
  <c r="P63" i="6" s="1"/>
  <c r="Q201" i="6"/>
  <c r="O201" i="4"/>
  <c r="P201" i="6" s="1"/>
  <c r="M177" i="6"/>
  <c r="J177" i="4"/>
  <c r="Q117" i="6"/>
  <c r="O117" i="4"/>
  <c r="P117" i="6" s="1"/>
  <c r="M93" i="6"/>
  <c r="J93" i="4"/>
  <c r="Q69" i="6"/>
  <c r="O69" i="4"/>
  <c r="P69" i="6" s="1"/>
  <c r="M170" i="6"/>
  <c r="J170" i="4"/>
  <c r="M146" i="6"/>
  <c r="J146" i="4"/>
  <c r="M86" i="6"/>
  <c r="J86" i="4"/>
  <c r="N62" i="6"/>
  <c r="S62" i="4"/>
  <c r="K62" i="4"/>
  <c r="N139" i="6"/>
  <c r="S139" i="4"/>
  <c r="K139" i="4"/>
  <c r="N103" i="6"/>
  <c r="S103" i="4"/>
  <c r="K103" i="4"/>
  <c r="O51" i="4"/>
  <c r="P51" i="6" s="1"/>
  <c r="M8" i="6"/>
  <c r="J8" i="4"/>
  <c r="Q6" i="6"/>
  <c r="O6" i="4"/>
  <c r="P6" i="6" s="1"/>
  <c r="N59" i="6"/>
  <c r="S59" i="4"/>
  <c r="K59" i="4"/>
  <c r="N35" i="6"/>
  <c r="S35" i="4"/>
  <c r="K35" i="4"/>
  <c r="N11" i="6"/>
  <c r="S11" i="4"/>
  <c r="K11" i="4"/>
  <c r="N57" i="6"/>
  <c r="S57" i="4"/>
  <c r="K57" i="4"/>
  <c r="Q21" i="6"/>
  <c r="O21" i="4"/>
  <c r="P21" i="6" s="1"/>
  <c r="Q26" i="6"/>
  <c r="O26" i="4"/>
  <c r="P26" i="6" s="1"/>
  <c r="D55" i="5"/>
  <c r="N31" i="6"/>
  <c r="K31" i="4"/>
  <c r="S31" i="4"/>
  <c r="Q7" i="6"/>
  <c r="O7" i="4"/>
  <c r="P7" i="6" s="1"/>
  <c r="M5" i="6"/>
  <c r="J5" i="4"/>
  <c r="M34" i="6"/>
  <c r="J34" i="4"/>
  <c r="M125" i="6"/>
  <c r="J125" i="4"/>
  <c r="N188" i="6"/>
  <c r="K188" i="4"/>
  <c r="S188" i="4"/>
  <c r="N49" i="6"/>
  <c r="K49" i="4"/>
  <c r="S49" i="4"/>
  <c r="M77" i="6"/>
  <c r="J77" i="4"/>
  <c r="L77" i="4" s="1"/>
  <c r="N123" i="6"/>
  <c r="S123" i="4"/>
  <c r="K123" i="4"/>
  <c r="Q192" i="6"/>
  <c r="O192" i="4"/>
  <c r="P192" i="6" s="1"/>
  <c r="N192" i="6"/>
  <c r="K192" i="4"/>
  <c r="S192" i="4"/>
  <c r="M108" i="6"/>
  <c r="J108" i="4"/>
  <c r="M89" i="6"/>
  <c r="J89" i="4"/>
  <c r="Q190" i="6"/>
  <c r="O190" i="4"/>
  <c r="P190" i="6" s="1"/>
  <c r="N166" i="6"/>
  <c r="K166" i="4"/>
  <c r="S166" i="4"/>
  <c r="N106" i="6"/>
  <c r="K106" i="4"/>
  <c r="S106" i="4"/>
  <c r="M36" i="6"/>
  <c r="J36" i="4"/>
  <c r="L36" i="4" s="1"/>
  <c r="Q195" i="6"/>
  <c r="O195" i="4"/>
  <c r="P195" i="6" s="1"/>
  <c r="Q111" i="6"/>
  <c r="O111" i="4"/>
  <c r="P111" i="6" s="1"/>
  <c r="M37" i="6"/>
  <c r="J37" i="4"/>
  <c r="N152" i="6"/>
  <c r="K152" i="4"/>
  <c r="S152" i="4"/>
  <c r="Q128" i="6"/>
  <c r="O128" i="4"/>
  <c r="P128" i="6" s="1"/>
  <c r="M92" i="6"/>
  <c r="J92" i="4"/>
  <c r="N169" i="6"/>
  <c r="K169" i="4"/>
  <c r="S169" i="4"/>
  <c r="M145" i="6"/>
  <c r="J145" i="4"/>
  <c r="N85" i="6"/>
  <c r="S85" i="4"/>
  <c r="K85" i="4"/>
  <c r="M61" i="6"/>
  <c r="J61" i="4"/>
  <c r="N186" i="6"/>
  <c r="K186" i="4"/>
  <c r="S186" i="4"/>
  <c r="Q126" i="6"/>
  <c r="O126" i="4"/>
  <c r="P126" i="6" s="1"/>
  <c r="M102" i="6"/>
  <c r="J102" i="4"/>
  <c r="M179" i="6"/>
  <c r="J179" i="4"/>
  <c r="N155" i="6"/>
  <c r="S155" i="4"/>
  <c r="K155" i="4"/>
  <c r="M95" i="6"/>
  <c r="J95" i="4"/>
  <c r="N184" i="6"/>
  <c r="S184" i="4"/>
  <c r="K184" i="4"/>
  <c r="N160" i="6"/>
  <c r="K160" i="4"/>
  <c r="S160" i="4"/>
  <c r="M100" i="6"/>
  <c r="J100" i="4"/>
  <c r="S52" i="6"/>
  <c r="N177" i="6"/>
  <c r="K177" i="4"/>
  <c r="S177" i="4"/>
  <c r="N93" i="6"/>
  <c r="S93" i="4"/>
  <c r="K93" i="4"/>
  <c r="M28" i="6"/>
  <c r="J28" i="4"/>
  <c r="L28" i="4" s="1"/>
  <c r="N146" i="6"/>
  <c r="K146" i="4"/>
  <c r="S146" i="4"/>
  <c r="N86" i="6"/>
  <c r="K86" i="4"/>
  <c r="S86" i="4"/>
  <c r="N199" i="6"/>
  <c r="S199" i="4"/>
  <c r="K199" i="4"/>
  <c r="M163" i="6"/>
  <c r="J163" i="4"/>
  <c r="Q139" i="6"/>
  <c r="O139" i="4"/>
  <c r="P139" i="6" s="1"/>
  <c r="M79" i="6"/>
  <c r="J79" i="4"/>
  <c r="M27" i="6"/>
  <c r="J27" i="4"/>
  <c r="Q3" i="6"/>
  <c r="O3" i="4"/>
  <c r="N8" i="6"/>
  <c r="K8" i="4"/>
  <c r="S8" i="4"/>
  <c r="Q59" i="6"/>
  <c r="O59" i="4"/>
  <c r="P59" i="6" s="1"/>
  <c r="Q11" i="6"/>
  <c r="O11" i="4"/>
  <c r="P11" i="6" s="1"/>
  <c r="M16" i="6"/>
  <c r="J16" i="4"/>
  <c r="M57" i="6"/>
  <c r="J57" i="4"/>
  <c r="M26" i="6"/>
  <c r="J26" i="4"/>
  <c r="M41" i="6"/>
  <c r="J41" i="4"/>
  <c r="L41" i="4" s="1"/>
  <c r="N5" i="6"/>
  <c r="S5" i="4"/>
  <c r="K5" i="4"/>
  <c r="M10" i="6"/>
  <c r="J10" i="4"/>
  <c r="M84" i="6"/>
  <c r="J84" i="4"/>
  <c r="M147" i="6"/>
  <c r="J147" i="4"/>
  <c r="L147" i="4" s="1"/>
  <c r="N121" i="6"/>
  <c r="K121" i="4"/>
  <c r="S121" i="4"/>
  <c r="M196" i="6"/>
  <c r="J196" i="4"/>
  <c r="Q120" i="6"/>
  <c r="O120" i="4"/>
  <c r="P120" i="6" s="1"/>
  <c r="M118" i="6"/>
  <c r="J118" i="4"/>
  <c r="L118" i="4" s="1"/>
  <c r="Q147" i="6"/>
  <c r="O147" i="4"/>
  <c r="P147" i="6" s="1"/>
  <c r="N78" i="6"/>
  <c r="K78" i="4"/>
  <c r="S78" i="4"/>
  <c r="N125" i="6"/>
  <c r="K125" i="4"/>
  <c r="S125" i="4"/>
  <c r="N132" i="6"/>
  <c r="S132" i="4"/>
  <c r="K132" i="4"/>
  <c r="Q168" i="6"/>
  <c r="O168" i="4"/>
  <c r="P168" i="6" s="1"/>
  <c r="N84" i="6"/>
  <c r="K84" i="4"/>
  <c r="S84" i="4"/>
  <c r="Q36" i="6"/>
  <c r="O36" i="4"/>
  <c r="P36" i="6" s="1"/>
  <c r="Q197" i="6"/>
  <c r="O197" i="4"/>
  <c r="P197" i="6" s="1"/>
  <c r="Q113" i="6"/>
  <c r="O113" i="4"/>
  <c r="P113" i="6" s="1"/>
  <c r="Q144" i="6"/>
  <c r="O144" i="4"/>
  <c r="P144" i="6" s="1"/>
  <c r="N108" i="6"/>
  <c r="K108" i="4"/>
  <c r="S108" i="4"/>
  <c r="Q84" i="6"/>
  <c r="O84" i="4"/>
  <c r="P84" i="6" s="1"/>
  <c r="Q60" i="6"/>
  <c r="O60" i="4"/>
  <c r="P60" i="6" s="1"/>
  <c r="N173" i="6"/>
  <c r="K173" i="4"/>
  <c r="S173" i="4"/>
  <c r="M149" i="6"/>
  <c r="J149" i="4"/>
  <c r="N89" i="6"/>
  <c r="S89" i="4"/>
  <c r="K89" i="4"/>
  <c r="Q166" i="6"/>
  <c r="O166" i="4"/>
  <c r="P166" i="6" s="1"/>
  <c r="Q106" i="6"/>
  <c r="O106" i="4"/>
  <c r="P106" i="6" s="1"/>
  <c r="N171" i="6"/>
  <c r="S171" i="4"/>
  <c r="K171" i="4"/>
  <c r="M135" i="6"/>
  <c r="J135" i="4"/>
  <c r="N32" i="6"/>
  <c r="K32" i="4"/>
  <c r="L32" i="4" s="1"/>
  <c r="S32" i="4"/>
  <c r="M188" i="6"/>
  <c r="J188" i="4"/>
  <c r="Q152" i="6"/>
  <c r="O152" i="4"/>
  <c r="P152" i="6" s="1"/>
  <c r="Q169" i="6"/>
  <c r="O169" i="4"/>
  <c r="P169" i="6" s="1"/>
  <c r="Q85" i="6"/>
  <c r="O85" i="4"/>
  <c r="P85" i="6" s="1"/>
  <c r="Q186" i="6"/>
  <c r="O186" i="4"/>
  <c r="P186" i="6" s="1"/>
  <c r="M162" i="6"/>
  <c r="J162" i="4"/>
  <c r="N102" i="6"/>
  <c r="K102" i="4"/>
  <c r="S102" i="4"/>
  <c r="N131" i="6"/>
  <c r="S131" i="4"/>
  <c r="K131" i="4"/>
  <c r="N95" i="6"/>
  <c r="S95" i="4"/>
  <c r="K95" i="4"/>
  <c r="M47" i="6"/>
  <c r="J47" i="4"/>
  <c r="Q160" i="6"/>
  <c r="O160" i="4"/>
  <c r="P160" i="6" s="1"/>
  <c r="Q136" i="6"/>
  <c r="O136" i="4"/>
  <c r="P136" i="6" s="1"/>
  <c r="N100" i="6"/>
  <c r="K100" i="4"/>
  <c r="S100" i="4"/>
  <c r="M76" i="6"/>
  <c r="J76" i="4"/>
  <c r="Q177" i="6"/>
  <c r="O177" i="4"/>
  <c r="P177" i="6" s="1"/>
  <c r="M153" i="6"/>
  <c r="J153" i="4"/>
  <c r="Q93" i="6"/>
  <c r="O93" i="4"/>
  <c r="P93" i="6" s="1"/>
  <c r="M24" i="6"/>
  <c r="J24" i="4"/>
  <c r="Q146" i="6"/>
  <c r="O146" i="4"/>
  <c r="P146" i="6" s="1"/>
  <c r="N122" i="6"/>
  <c r="S122" i="4"/>
  <c r="K122" i="4"/>
  <c r="Q86" i="6"/>
  <c r="O86" i="4"/>
  <c r="P86" i="6" s="1"/>
  <c r="M62" i="6"/>
  <c r="J62" i="4"/>
  <c r="Q199" i="6"/>
  <c r="O199" i="4"/>
  <c r="P199" i="6" s="1"/>
  <c r="Q115" i="6"/>
  <c r="O115" i="4"/>
  <c r="P115" i="6" s="1"/>
  <c r="N79" i="6"/>
  <c r="S79" i="4"/>
  <c r="K79" i="4"/>
  <c r="N27" i="6"/>
  <c r="K27" i="4"/>
  <c r="S27" i="4"/>
  <c r="Q8" i="6"/>
  <c r="O8" i="4"/>
  <c r="P8" i="6" s="1"/>
  <c r="N16" i="6"/>
  <c r="S16" i="4"/>
  <c r="K16" i="4"/>
  <c r="Q57" i="6"/>
  <c r="O57" i="4"/>
  <c r="P57" i="6" s="1"/>
  <c r="M33" i="6"/>
  <c r="J33" i="4"/>
  <c r="L33" i="4" s="1"/>
  <c r="M67" i="6"/>
  <c r="J67" i="4"/>
  <c r="M43" i="6"/>
  <c r="J43" i="4"/>
  <c r="M7" i="6"/>
  <c r="J7" i="4"/>
  <c r="L7" i="4" s="1"/>
  <c r="T7" i="4" s="1"/>
  <c r="Q12" i="6"/>
  <c r="O12" i="4"/>
  <c r="P12" i="6" s="1"/>
  <c r="Q41" i="6"/>
  <c r="O41" i="4"/>
  <c r="P41" i="6" s="1"/>
  <c r="N10" i="6"/>
  <c r="K10" i="4"/>
  <c r="S10" i="4"/>
  <c r="H3" i="6"/>
  <c r="R3" i="4"/>
  <c r="N144" i="6"/>
  <c r="S144" i="4"/>
  <c r="K144" i="4"/>
  <c r="M202" i="6"/>
  <c r="J202" i="4"/>
  <c r="Q82" i="6"/>
  <c r="O82" i="4"/>
  <c r="P82" i="6" s="1"/>
  <c r="M104" i="6"/>
  <c r="J104" i="4"/>
  <c r="L104" i="4" s="1"/>
  <c r="M131" i="6"/>
  <c r="J131" i="4"/>
  <c r="M168" i="6"/>
  <c r="J168" i="4"/>
  <c r="M173" i="6"/>
  <c r="J173" i="4"/>
  <c r="N47" i="6"/>
  <c r="S47" i="4"/>
  <c r="K47" i="4"/>
  <c r="N168" i="6"/>
  <c r="S168" i="4"/>
  <c r="K168" i="4"/>
  <c r="M60" i="6"/>
  <c r="J60" i="4"/>
  <c r="Q173" i="6"/>
  <c r="O173" i="4"/>
  <c r="P173" i="6" s="1"/>
  <c r="Q149" i="6"/>
  <c r="O149" i="4"/>
  <c r="P149" i="6" s="1"/>
  <c r="Q89" i="6"/>
  <c r="O89" i="4"/>
  <c r="P89" i="6" s="1"/>
  <c r="M142" i="6"/>
  <c r="J142" i="4"/>
  <c r="L142" i="4" s="1"/>
  <c r="M82" i="6"/>
  <c r="J82" i="4"/>
  <c r="L82" i="4" s="1"/>
  <c r="M195" i="6"/>
  <c r="J195" i="4"/>
  <c r="Q171" i="6"/>
  <c r="O171" i="4"/>
  <c r="P171" i="6" s="1"/>
  <c r="M111" i="6"/>
  <c r="J111" i="4"/>
  <c r="Q87" i="6"/>
  <c r="O87" i="4"/>
  <c r="P87" i="6" s="1"/>
  <c r="M63" i="6"/>
  <c r="J63" i="4"/>
  <c r="Q188" i="6"/>
  <c r="O188" i="4"/>
  <c r="P188" i="6" s="1"/>
  <c r="M128" i="6"/>
  <c r="J128" i="4"/>
  <c r="Q104" i="6"/>
  <c r="O104" i="4"/>
  <c r="P104" i="6" s="1"/>
  <c r="Q32" i="6"/>
  <c r="O32" i="4"/>
  <c r="P32" i="6" s="1"/>
  <c r="N145" i="6"/>
  <c r="K145" i="4"/>
  <c r="S145" i="4"/>
  <c r="M121" i="6"/>
  <c r="J121" i="4"/>
  <c r="L121" i="4" s="1"/>
  <c r="N162" i="6"/>
  <c r="K162" i="4"/>
  <c r="S162" i="4"/>
  <c r="Q102" i="6"/>
  <c r="O102" i="4"/>
  <c r="P102" i="6" s="1"/>
  <c r="H5" i="1"/>
  <c r="C44" i="1"/>
  <c r="Q191" i="6"/>
  <c r="O191" i="4"/>
  <c r="P191" i="6" s="1"/>
  <c r="M155" i="6"/>
  <c r="J155" i="4"/>
  <c r="Q131" i="6"/>
  <c r="O131" i="4"/>
  <c r="P131" i="6" s="1"/>
  <c r="Q47" i="6"/>
  <c r="O47" i="4"/>
  <c r="P47" i="6" s="1"/>
  <c r="N153" i="6"/>
  <c r="K153" i="4"/>
  <c r="S153" i="4"/>
  <c r="M182" i="6"/>
  <c r="J182" i="4"/>
  <c r="L182" i="4" s="1"/>
  <c r="T182" i="4" s="1"/>
  <c r="Q122" i="6"/>
  <c r="O122" i="4"/>
  <c r="P122" i="6" s="1"/>
  <c r="Q62" i="6"/>
  <c r="O62" i="4"/>
  <c r="P62" i="6" s="1"/>
  <c r="Q53" i="6"/>
  <c r="O53" i="4"/>
  <c r="P53" i="6" s="1"/>
  <c r="N175" i="6"/>
  <c r="S175" i="4"/>
  <c r="K175" i="4"/>
  <c r="M139" i="6"/>
  <c r="J139" i="4"/>
  <c r="L139" i="4" s="1"/>
  <c r="M3" i="6"/>
  <c r="J3" i="4"/>
  <c r="M13" i="6"/>
  <c r="J13" i="4"/>
  <c r="L13" i="4" s="1"/>
  <c r="N18" i="6"/>
  <c r="S18" i="4"/>
  <c r="K18" i="4"/>
  <c r="N71" i="6"/>
  <c r="S71" i="4"/>
  <c r="K71" i="4"/>
  <c r="D59" i="5"/>
  <c r="Q33" i="6"/>
  <c r="O33" i="4"/>
  <c r="P33" i="6" s="1"/>
  <c r="N38" i="6"/>
  <c r="K38" i="4"/>
  <c r="S38" i="4"/>
  <c r="N67" i="6"/>
  <c r="K67" i="4"/>
  <c r="S67" i="4"/>
  <c r="N43" i="6"/>
  <c r="K43" i="4"/>
  <c r="S43" i="4"/>
  <c r="M17" i="6"/>
  <c r="J17" i="4"/>
  <c r="L17" i="4" s="1"/>
  <c r="T17" i="4" s="1"/>
  <c r="T13" i="4" l="1"/>
  <c r="L155" i="4"/>
  <c r="T155" i="4" s="1"/>
  <c r="I155" i="6" s="1"/>
  <c r="L130" i="4"/>
  <c r="T130" i="4" s="1"/>
  <c r="I130" i="6" s="1"/>
  <c r="L185" i="4"/>
  <c r="T185" i="4" s="1"/>
  <c r="I185" i="6" s="1"/>
  <c r="L117" i="4"/>
  <c r="T78" i="4"/>
  <c r="I78" i="6" s="1"/>
  <c r="L183" i="4"/>
  <c r="T183" i="4" s="1"/>
  <c r="I183" i="6" s="1"/>
  <c r="T172" i="4"/>
  <c r="I172" i="6" s="1"/>
  <c r="L202" i="4"/>
  <c r="T202" i="4" s="1"/>
  <c r="I202" i="6" s="1"/>
  <c r="T139" i="4"/>
  <c r="I139" i="6" s="1"/>
  <c r="L125" i="4"/>
  <c r="O125" i="6" s="1"/>
  <c r="L178" i="4"/>
  <c r="T178" i="4" s="1"/>
  <c r="I178" i="6" s="1"/>
  <c r="T77" i="4"/>
  <c r="I77" i="6" s="1"/>
  <c r="T151" i="4"/>
  <c r="I151" i="6" s="1"/>
  <c r="L67" i="4"/>
  <c r="T67" i="4" s="1"/>
  <c r="I67" i="6" s="1"/>
  <c r="L111" i="4"/>
  <c r="T111" i="4" s="1"/>
  <c r="I111" i="6" s="1"/>
  <c r="T117" i="4"/>
  <c r="I117" i="6" s="1"/>
  <c r="L69" i="4"/>
  <c r="T69" i="4" s="1"/>
  <c r="I69" i="6" s="1"/>
  <c r="L83" i="4"/>
  <c r="T83" i="4" s="1"/>
  <c r="L163" i="4"/>
  <c r="O163" i="6" s="1"/>
  <c r="L157" i="4"/>
  <c r="T157" i="4" s="1"/>
  <c r="I157" i="6" s="1"/>
  <c r="L153" i="4"/>
  <c r="T153" i="4" s="1"/>
  <c r="I153" i="6" s="1"/>
  <c r="L162" i="4"/>
  <c r="T162" i="4" s="1"/>
  <c r="I162" i="6" s="1"/>
  <c r="L171" i="4"/>
  <c r="O171" i="6" s="1"/>
  <c r="T82" i="4"/>
  <c r="I82" i="6" s="1"/>
  <c r="T51" i="4"/>
  <c r="I51" i="6" s="1"/>
  <c r="L57" i="4"/>
  <c r="T57" i="4" s="1"/>
  <c r="I57" i="6" s="1"/>
  <c r="L73" i="4"/>
  <c r="T73" i="4" s="1"/>
  <c r="I73" i="6" s="1"/>
  <c r="L167" i="4"/>
  <c r="T167" i="4" s="1"/>
  <c r="I167" i="6" s="1"/>
  <c r="L173" i="4"/>
  <c r="O173" i="6" s="1"/>
  <c r="T121" i="4"/>
  <c r="I121" i="6" s="1"/>
  <c r="L143" i="4"/>
  <c r="T143" i="4" s="1"/>
  <c r="I143" i="6" s="1"/>
  <c r="L149" i="4"/>
  <c r="T149" i="4" s="1"/>
  <c r="I149" i="6" s="1"/>
  <c r="L61" i="4"/>
  <c r="T61" i="4" s="1"/>
  <c r="I61" i="6" s="1"/>
  <c r="L49" i="4"/>
  <c r="T49" i="4" s="1"/>
  <c r="I49" i="6" s="1"/>
  <c r="T141" i="4"/>
  <c r="I141" i="6" s="1"/>
  <c r="L109" i="4"/>
  <c r="O109" i="6" s="1"/>
  <c r="L116" i="4"/>
  <c r="T116" i="4" s="1"/>
  <c r="I116" i="6" s="1"/>
  <c r="L123" i="4"/>
  <c r="T123" i="4" s="1"/>
  <c r="I123" i="6" s="1"/>
  <c r="T33" i="4"/>
  <c r="I33" i="6" s="1"/>
  <c r="L76" i="4"/>
  <c r="T76" i="4" s="1"/>
  <c r="I76" i="6" s="1"/>
  <c r="L115" i="4"/>
  <c r="T115" i="4" s="1"/>
  <c r="I115" i="6" s="1"/>
  <c r="T44" i="4"/>
  <c r="I44" i="6" s="1"/>
  <c r="T88" i="4"/>
  <c r="I88" i="6" s="1"/>
  <c r="T50" i="4"/>
  <c r="I50" i="6" s="1"/>
  <c r="L180" i="4"/>
  <c r="T180" i="4" s="1"/>
  <c r="I180" i="6" s="1"/>
  <c r="L93" i="4"/>
  <c r="T93" i="4" s="1"/>
  <c r="I93" i="6" s="1"/>
  <c r="L131" i="4"/>
  <c r="O131" i="6" s="1"/>
  <c r="T32" i="4"/>
  <c r="I32" i="6" s="1"/>
  <c r="L26" i="4"/>
  <c r="T26" i="4" s="1"/>
  <c r="I26" i="6" s="1"/>
  <c r="L89" i="4"/>
  <c r="O89" i="6" s="1"/>
  <c r="T68" i="4"/>
  <c r="I68" i="6" s="1"/>
  <c r="L192" i="4"/>
  <c r="O192" i="6" s="1"/>
  <c r="L66" i="4"/>
  <c r="T66" i="4" s="1"/>
  <c r="I66" i="6" s="1"/>
  <c r="L193" i="4"/>
  <c r="T193" i="4" s="1"/>
  <c r="I193" i="6" s="1"/>
  <c r="L181" i="4"/>
  <c r="T181" i="4" s="1"/>
  <c r="I181" i="6" s="1"/>
  <c r="L15" i="4"/>
  <c r="T15" i="4" s="1"/>
  <c r="I15" i="6" s="1"/>
  <c r="L74" i="4"/>
  <c r="T74" i="4" s="1"/>
  <c r="I74" i="6" s="1"/>
  <c r="T147" i="4"/>
  <c r="I147" i="6" s="1"/>
  <c r="L92" i="4"/>
  <c r="T92" i="4" s="1"/>
  <c r="I92" i="6" s="1"/>
  <c r="L113" i="4"/>
  <c r="T113" i="4" s="1"/>
  <c r="I113" i="6" s="1"/>
  <c r="T134" i="4"/>
  <c r="I134" i="6" s="1"/>
  <c r="L86" i="4"/>
  <c r="T86" i="4" s="1"/>
  <c r="I86" i="6" s="1"/>
  <c r="L177" i="4"/>
  <c r="T177" i="4" s="1"/>
  <c r="I177" i="6" s="1"/>
  <c r="L133" i="4"/>
  <c r="T133" i="4" s="1"/>
  <c r="I133" i="6" s="1"/>
  <c r="L94" i="4"/>
  <c r="T94" i="4" s="1"/>
  <c r="I94" i="6" s="1"/>
  <c r="T118" i="4"/>
  <c r="I118" i="6" s="1"/>
  <c r="L160" i="4"/>
  <c r="T160" i="4" s="1"/>
  <c r="I160" i="6" s="1"/>
  <c r="T64" i="4"/>
  <c r="I64" i="6" s="1"/>
  <c r="T200" i="4"/>
  <c r="I200" i="6" s="1"/>
  <c r="T142" i="4"/>
  <c r="I142" i="6" s="1"/>
  <c r="L79" i="4"/>
  <c r="T79" i="4" s="1"/>
  <c r="I79" i="6" s="1"/>
  <c r="L100" i="4"/>
  <c r="T100" i="4" s="1"/>
  <c r="I100" i="6" s="1"/>
  <c r="L122" i="4"/>
  <c r="T122" i="4" s="1"/>
  <c r="I122" i="6" s="1"/>
  <c r="L150" i="4"/>
  <c r="O150" i="6" s="1"/>
  <c r="L75" i="4"/>
  <c r="O75" i="6" s="1"/>
  <c r="L21" i="4"/>
  <c r="T21" i="4" s="1"/>
  <c r="I21" i="6" s="1"/>
  <c r="L154" i="4"/>
  <c r="T154" i="4" s="1"/>
  <c r="I154" i="6" s="1"/>
  <c r="L138" i="4"/>
  <c r="T138" i="4" s="1"/>
  <c r="L148" i="4"/>
  <c r="T148" i="4" s="1"/>
  <c r="I148" i="6" s="1"/>
  <c r="L91" i="4"/>
  <c r="T91" i="4" s="1"/>
  <c r="I91" i="6" s="1"/>
  <c r="T28" i="4"/>
  <c r="I28" i="6" s="1"/>
  <c r="L145" i="4"/>
  <c r="T145" i="4" s="1"/>
  <c r="I145" i="6" s="1"/>
  <c r="L37" i="4"/>
  <c r="T37" i="4" s="1"/>
  <c r="I37" i="6" s="1"/>
  <c r="L40" i="4"/>
  <c r="T40" i="4" s="1"/>
  <c r="I40" i="6" s="1"/>
  <c r="L186" i="4"/>
  <c r="T186" i="4" s="1"/>
  <c r="I186" i="6" s="1"/>
  <c r="L24" i="4"/>
  <c r="T24" i="4" s="1"/>
  <c r="L170" i="4"/>
  <c r="T170" i="4" s="1"/>
  <c r="I170" i="6" s="1"/>
  <c r="L35" i="4"/>
  <c r="T35" i="4" s="1"/>
  <c r="I35" i="6" s="1"/>
  <c r="L46" i="4"/>
  <c r="T46" i="4" s="1"/>
  <c r="I46" i="6" s="1"/>
  <c r="T72" i="4"/>
  <c r="I72" i="6" s="1"/>
  <c r="L52" i="4"/>
  <c r="T52" i="4" s="1"/>
  <c r="I52" i="6" s="1"/>
  <c r="L70" i="4"/>
  <c r="T70" i="4" s="1"/>
  <c r="I70" i="6" s="1"/>
  <c r="L45" i="4"/>
  <c r="T45" i="4" s="1"/>
  <c r="I45" i="6" s="1"/>
  <c r="L168" i="4"/>
  <c r="T168" i="4" s="1"/>
  <c r="I168" i="6" s="1"/>
  <c r="L62" i="4"/>
  <c r="T62" i="4" s="1"/>
  <c r="I62" i="6" s="1"/>
  <c r="L188" i="4"/>
  <c r="T188" i="4" s="1"/>
  <c r="I188" i="6" s="1"/>
  <c r="L27" i="4"/>
  <c r="T27" i="4" s="1"/>
  <c r="I27" i="6" s="1"/>
  <c r="T36" i="4"/>
  <c r="L126" i="4"/>
  <c r="T126" i="4" s="1"/>
  <c r="I126" i="6" s="1"/>
  <c r="L53" i="4"/>
  <c r="T53" i="4" s="1"/>
  <c r="I53" i="6" s="1"/>
  <c r="L166" i="4"/>
  <c r="T166" i="4" s="1"/>
  <c r="I166" i="6" s="1"/>
  <c r="L176" i="4"/>
  <c r="T176" i="4" s="1"/>
  <c r="I176" i="6" s="1"/>
  <c r="L43" i="4"/>
  <c r="T43" i="4" s="1"/>
  <c r="I43" i="6" s="1"/>
  <c r="T96" i="4"/>
  <c r="I96" i="6" s="1"/>
  <c r="L114" i="4"/>
  <c r="T114" i="4" s="1"/>
  <c r="I114" i="6" s="1"/>
  <c r="L97" i="4"/>
  <c r="T97" i="4" s="1"/>
  <c r="I97" i="6" s="1"/>
  <c r="L99" i="4"/>
  <c r="T99" i="4" s="1"/>
  <c r="I99" i="6" s="1"/>
  <c r="L132" i="4"/>
  <c r="T132" i="4" s="1"/>
  <c r="I132" i="6" s="1"/>
  <c r="L47" i="4"/>
  <c r="T47" i="4" s="1"/>
  <c r="L146" i="4"/>
  <c r="T146" i="4" s="1"/>
  <c r="I146" i="6" s="1"/>
  <c r="L187" i="4"/>
  <c r="T187" i="4" s="1"/>
  <c r="I187" i="6" s="1"/>
  <c r="T56" i="4"/>
  <c r="I56" i="6" s="1"/>
  <c r="L128" i="4"/>
  <c r="T128" i="4" s="1"/>
  <c r="I128" i="6" s="1"/>
  <c r="L195" i="4"/>
  <c r="T195" i="4" s="1"/>
  <c r="I195" i="6" s="1"/>
  <c r="L60" i="4"/>
  <c r="T60" i="4" s="1"/>
  <c r="I60" i="6" s="1"/>
  <c r="L5" i="4"/>
  <c r="T5" i="4" s="1"/>
  <c r="L152" i="4"/>
  <c r="T152" i="4" s="1"/>
  <c r="I152" i="6" s="1"/>
  <c r="L30" i="4"/>
  <c r="T30" i="4" s="1"/>
  <c r="I30" i="6" s="1"/>
  <c r="L190" i="4"/>
  <c r="T190" i="4" s="1"/>
  <c r="I190" i="6" s="1"/>
  <c r="L29" i="4"/>
  <c r="T29" i="4" s="1"/>
  <c r="I29" i="6" s="1"/>
  <c r="L6" i="4"/>
  <c r="T6" i="4" s="1"/>
  <c r="L201" i="4"/>
  <c r="T201" i="4" s="1"/>
  <c r="I201" i="6" s="1"/>
  <c r="L42" i="4"/>
  <c r="T42" i="4" s="1"/>
  <c r="I42" i="6" s="1"/>
  <c r="T104" i="4"/>
  <c r="I104" i="6" s="1"/>
  <c r="L95" i="4"/>
  <c r="T95" i="4" s="1"/>
  <c r="I95" i="6" s="1"/>
  <c r="L135" i="4"/>
  <c r="T135" i="4" s="1"/>
  <c r="I135" i="6" s="1"/>
  <c r="L196" i="4"/>
  <c r="T196" i="4" s="1"/>
  <c r="I196" i="6" s="1"/>
  <c r="L87" i="4"/>
  <c r="T87" i="4" s="1"/>
  <c r="I87" i="6" s="1"/>
  <c r="T65" i="4"/>
  <c r="I65" i="6" s="1"/>
  <c r="T41" i="4"/>
  <c r="I41" i="6" s="1"/>
  <c r="L184" i="4"/>
  <c r="T184" i="4" s="1"/>
  <c r="I184" i="6" s="1"/>
  <c r="L11" i="4"/>
  <c r="T11" i="4" s="1"/>
  <c r="L137" i="4"/>
  <c r="T137" i="4" s="1"/>
  <c r="I137" i="6" s="1"/>
  <c r="T48" i="4"/>
  <c r="I48" i="6" s="1"/>
  <c r="L3" i="4"/>
  <c r="T3" i="4" s="1"/>
  <c r="L63" i="4"/>
  <c r="T63" i="4" s="1"/>
  <c r="L31" i="4"/>
  <c r="T31" i="4" s="1"/>
  <c r="I31" i="6" s="1"/>
  <c r="L103" i="4"/>
  <c r="T103" i="4" s="1"/>
  <c r="I103" i="6" s="1"/>
  <c r="L119" i="4"/>
  <c r="T119" i="4" s="1"/>
  <c r="I119" i="6" s="1"/>
  <c r="L85" i="4"/>
  <c r="T85" i="4" s="1"/>
  <c r="I85" i="6" s="1"/>
  <c r="L106" i="4"/>
  <c r="T106" i="4" s="1"/>
  <c r="L127" i="4"/>
  <c r="T127" i="4" s="1"/>
  <c r="I127" i="6" s="1"/>
  <c r="L90" i="4"/>
  <c r="T90" i="4" s="1"/>
  <c r="I90" i="6" s="1"/>
  <c r="L54" i="4"/>
  <c r="T54" i="4" s="1"/>
  <c r="I54" i="6" s="1"/>
  <c r="L165" i="4"/>
  <c r="T165" i="4" s="1"/>
  <c r="I165" i="6" s="1"/>
  <c r="O33" i="6"/>
  <c r="O13" i="6"/>
  <c r="O82" i="6"/>
  <c r="O41" i="6"/>
  <c r="O182" i="6"/>
  <c r="I182" i="6"/>
  <c r="O65" i="6"/>
  <c r="O17" i="6"/>
  <c r="I17" i="6"/>
  <c r="O48" i="6"/>
  <c r="O64" i="6"/>
  <c r="O101" i="6"/>
  <c r="I101" i="6"/>
  <c r="O96" i="6"/>
  <c r="O134" i="6"/>
  <c r="O51" i="6"/>
  <c r="O147" i="6"/>
  <c r="B42" i="5"/>
  <c r="P3" i="6"/>
  <c r="O68" i="6"/>
  <c r="L59" i="4"/>
  <c r="T59" i="4" s="1"/>
  <c r="L120" i="4"/>
  <c r="T120" i="4" s="1"/>
  <c r="L4" i="4"/>
  <c r="T4" i="4" s="1"/>
  <c r="L112" i="4"/>
  <c r="T112" i="4" s="1"/>
  <c r="L169" i="4"/>
  <c r="T169" i="4" s="1"/>
  <c r="L198" i="4"/>
  <c r="T198" i="4" s="1"/>
  <c r="L12" i="4"/>
  <c r="T12" i="4" s="1"/>
  <c r="O7" i="6"/>
  <c r="L84" i="4"/>
  <c r="T84" i="4" s="1"/>
  <c r="O23" i="6"/>
  <c r="I23" i="6"/>
  <c r="O118" i="6"/>
  <c r="L16" i="4"/>
  <c r="T16" i="4" s="1"/>
  <c r="L8" i="4"/>
  <c r="T8" i="4" s="1"/>
  <c r="L110" i="4"/>
  <c r="T110" i="4" s="1"/>
  <c r="O39" i="6"/>
  <c r="I39" i="6"/>
  <c r="O81" i="6"/>
  <c r="I81" i="6"/>
  <c r="L10" i="4"/>
  <c r="T10" i="4" s="1"/>
  <c r="O50" i="6"/>
  <c r="O151" i="6"/>
  <c r="L194" i="4"/>
  <c r="T194" i="4" s="1"/>
  <c r="L174" i="4"/>
  <c r="T174" i="4" s="1"/>
  <c r="L71" i="4"/>
  <c r="T71" i="4" s="1"/>
  <c r="L175" i="4"/>
  <c r="T175" i="4" s="1"/>
  <c r="O78" i="6"/>
  <c r="O139" i="6"/>
  <c r="O117" i="6"/>
  <c r="O56" i="6"/>
  <c r="O88" i="6"/>
  <c r="L14" i="4"/>
  <c r="T14" i="4" s="1"/>
  <c r="L158" i="4"/>
  <c r="T158" i="4" s="1"/>
  <c r="L22" i="4"/>
  <c r="T22" i="4" s="1"/>
  <c r="L136" i="4"/>
  <c r="T136" i="4" s="1"/>
  <c r="O25" i="6"/>
  <c r="O155" i="6"/>
  <c r="O36" i="6"/>
  <c r="L108" i="4"/>
  <c r="T108" i="4" s="1"/>
  <c r="O9" i="6"/>
  <c r="I9" i="6"/>
  <c r="O124" i="6"/>
  <c r="I124" i="6"/>
  <c r="L58" i="4"/>
  <c r="T58" i="4" s="1"/>
  <c r="L156" i="4"/>
  <c r="T156" i="4" s="1"/>
  <c r="L55" i="4"/>
  <c r="T55" i="4" s="1"/>
  <c r="L80" i="4"/>
  <c r="T80" i="4" s="1"/>
  <c r="L191" i="4"/>
  <c r="T191" i="4" s="1"/>
  <c r="L18" i="4"/>
  <c r="T18" i="4" s="1"/>
  <c r="O142" i="6"/>
  <c r="O44" i="6"/>
  <c r="O77" i="6"/>
  <c r="I138" i="6"/>
  <c r="O32" i="6"/>
  <c r="O28" i="6"/>
  <c r="L179" i="4"/>
  <c r="T179" i="4" s="1"/>
  <c r="O172" i="6"/>
  <c r="O19" i="6"/>
  <c r="L197" i="4"/>
  <c r="T197" i="4" s="1"/>
  <c r="L144" i="4"/>
  <c r="T144" i="4" s="1"/>
  <c r="L38" i="4"/>
  <c r="T38" i="4" s="1"/>
  <c r="L20" i="4"/>
  <c r="T20" i="4" s="1"/>
  <c r="L199" i="4"/>
  <c r="T199" i="4" s="1"/>
  <c r="O107" i="6"/>
  <c r="I107" i="6"/>
  <c r="L164" i="4"/>
  <c r="T164" i="4" s="1"/>
  <c r="O121" i="6"/>
  <c r="O200" i="6"/>
  <c r="O104" i="6"/>
  <c r="L102" i="4"/>
  <c r="T102" i="4" s="1"/>
  <c r="O129" i="6"/>
  <c r="I129" i="6"/>
  <c r="L140" i="4"/>
  <c r="T140" i="4" s="1"/>
  <c r="L161" i="4"/>
  <c r="T161" i="4" s="1"/>
  <c r="O167" i="6"/>
  <c r="L98" i="4"/>
  <c r="T98" i="4" s="1"/>
  <c r="O141" i="6"/>
  <c r="L34" i="4"/>
  <c r="T34" i="4" s="1"/>
  <c r="L159" i="4"/>
  <c r="T159" i="4" s="1"/>
  <c r="O72" i="6"/>
  <c r="O105" i="6"/>
  <c r="I105" i="6"/>
  <c r="L189" i="4"/>
  <c r="T189" i="4" s="1"/>
  <c r="T109" i="4" l="1"/>
  <c r="I109" i="6" s="1"/>
  <c r="I63" i="6"/>
  <c r="E77" i="5"/>
  <c r="I47" i="6"/>
  <c r="E76" i="5"/>
  <c r="I83" i="6"/>
  <c r="E75" i="5"/>
  <c r="O115" i="6"/>
  <c r="O73" i="6"/>
  <c r="T173" i="4"/>
  <c r="I173" i="6" s="1"/>
  <c r="O111" i="6"/>
  <c r="O185" i="6"/>
  <c r="O130" i="6"/>
  <c r="O67" i="6"/>
  <c r="O57" i="6"/>
  <c r="O24" i="6"/>
  <c r="O69" i="6"/>
  <c r="O76" i="6"/>
  <c r="T163" i="4"/>
  <c r="I163" i="6" s="1"/>
  <c r="O143" i="6"/>
  <c r="O66" i="6"/>
  <c r="O61" i="6"/>
  <c r="O153" i="6"/>
  <c r="O123" i="6"/>
  <c r="O133" i="6"/>
  <c r="O21" i="6"/>
  <c r="T171" i="4"/>
  <c r="I171" i="6" s="1"/>
  <c r="O183" i="6"/>
  <c r="O178" i="6"/>
  <c r="O202" i="6"/>
  <c r="O83" i="6"/>
  <c r="O149" i="6"/>
  <c r="O92" i="6"/>
  <c r="O157" i="6"/>
  <c r="O116" i="6"/>
  <c r="O162" i="6"/>
  <c r="O180" i="6"/>
  <c r="T125" i="4"/>
  <c r="I125" i="6" s="1"/>
  <c r="O49" i="6"/>
  <c r="T131" i="4"/>
  <c r="I131" i="6" s="1"/>
  <c r="O113" i="6"/>
  <c r="O52" i="6"/>
  <c r="O138" i="6"/>
  <c r="O132" i="6"/>
  <c r="O190" i="6"/>
  <c r="O154" i="6"/>
  <c r="O93" i="6"/>
  <c r="O176" i="6"/>
  <c r="O91" i="6"/>
  <c r="O70" i="6"/>
  <c r="O47" i="6"/>
  <c r="O15" i="6"/>
  <c r="O27" i="6"/>
  <c r="O26" i="6"/>
  <c r="O145" i="6"/>
  <c r="O85" i="6"/>
  <c r="O5" i="6"/>
  <c r="O152" i="6"/>
  <c r="O188" i="6"/>
  <c r="O79" i="6"/>
  <c r="O46" i="6"/>
  <c r="O148" i="6"/>
  <c r="O166" i="6"/>
  <c r="O160" i="6"/>
  <c r="O181" i="6"/>
  <c r="O45" i="6"/>
  <c r="O6" i="6"/>
  <c r="O193" i="6"/>
  <c r="O74" i="6"/>
  <c r="O60" i="6"/>
  <c r="O170" i="6"/>
  <c r="O99" i="6"/>
  <c r="O196" i="6"/>
  <c r="O94" i="6"/>
  <c r="O37" i="6"/>
  <c r="O126" i="6"/>
  <c r="O35" i="6"/>
  <c r="T89" i="4"/>
  <c r="I89" i="6" s="1"/>
  <c r="O135" i="6"/>
  <c r="O30" i="6"/>
  <c r="O186" i="6"/>
  <c r="O201" i="6"/>
  <c r="T150" i="4"/>
  <c r="I150" i="6" s="1"/>
  <c r="O86" i="6"/>
  <c r="O146" i="6"/>
  <c r="O106" i="6"/>
  <c r="O114" i="6"/>
  <c r="O62" i="6"/>
  <c r="O11" i="6"/>
  <c r="O29" i="6"/>
  <c r="T75" i="4"/>
  <c r="I75" i="6" s="1"/>
  <c r="O128" i="6"/>
  <c r="O54" i="6"/>
  <c r="O95" i="6"/>
  <c r="O40" i="6"/>
  <c r="O43" i="6"/>
  <c r="O90" i="6"/>
  <c r="O3" i="6"/>
  <c r="O177" i="6"/>
  <c r="T192" i="4"/>
  <c r="I192" i="6" s="1"/>
  <c r="O168" i="6"/>
  <c r="O100" i="6"/>
  <c r="O187" i="6"/>
  <c r="O137" i="6"/>
  <c r="O97" i="6"/>
  <c r="O184" i="6"/>
  <c r="O42" i="6"/>
  <c r="O122" i="6"/>
  <c r="O53" i="6"/>
  <c r="O87" i="6"/>
  <c r="O127" i="6"/>
  <c r="O195" i="6"/>
  <c r="O63" i="6"/>
  <c r="O103" i="6"/>
  <c r="O31" i="6"/>
  <c r="O165" i="6"/>
  <c r="O119" i="6"/>
  <c r="O189" i="6"/>
  <c r="I189" i="6"/>
  <c r="O199" i="6"/>
  <c r="I199" i="6"/>
  <c r="O98" i="6"/>
  <c r="I98" i="6"/>
  <c r="O20" i="6"/>
  <c r="O179" i="6"/>
  <c r="I179" i="6"/>
  <c r="O120" i="6"/>
  <c r="I120" i="6"/>
  <c r="I5" i="6"/>
  <c r="E64" i="5"/>
  <c r="O38" i="6"/>
  <c r="I38" i="6"/>
  <c r="O18" i="6"/>
  <c r="O12" i="6"/>
  <c r="I12" i="6"/>
  <c r="O191" i="6"/>
  <c r="I191" i="6"/>
  <c r="I25" i="6"/>
  <c r="O198" i="6"/>
  <c r="I198" i="6"/>
  <c r="O161" i="6"/>
  <c r="I161" i="6"/>
  <c r="O80" i="6"/>
  <c r="I80" i="6"/>
  <c r="O169" i="6"/>
  <c r="I169" i="6"/>
  <c r="O140" i="6"/>
  <c r="I140" i="6"/>
  <c r="O144" i="6"/>
  <c r="I144" i="6"/>
  <c r="O55" i="6"/>
  <c r="I55" i="6"/>
  <c r="O136" i="6"/>
  <c r="I3" i="6"/>
  <c r="I13" i="6"/>
  <c r="I6" i="6"/>
  <c r="O156" i="6"/>
  <c r="I156" i="6"/>
  <c r="O108" i="6"/>
  <c r="I108" i="6"/>
  <c r="O22" i="6"/>
  <c r="I22" i="6"/>
  <c r="O110" i="6"/>
  <c r="I110" i="6"/>
  <c r="O59" i="6"/>
  <c r="I59" i="6"/>
  <c r="O197" i="6"/>
  <c r="I197" i="6"/>
  <c r="O159" i="6"/>
  <c r="I159" i="6"/>
  <c r="I19" i="6"/>
  <c r="O58" i="6"/>
  <c r="I58" i="6"/>
  <c r="I36" i="6"/>
  <c r="O158" i="6"/>
  <c r="I158" i="6"/>
  <c r="O84" i="6"/>
  <c r="I84" i="6"/>
  <c r="O34" i="6"/>
  <c r="I34" i="6"/>
  <c r="O14" i="6"/>
  <c r="I24" i="6"/>
  <c r="O164" i="6"/>
  <c r="I164" i="6"/>
  <c r="O175" i="6"/>
  <c r="I175" i="6"/>
  <c r="O10" i="6"/>
  <c r="O8" i="6"/>
  <c r="O71" i="6"/>
  <c r="I71" i="6"/>
  <c r="O16" i="6"/>
  <c r="N5" i="1"/>
  <c r="I44" i="1"/>
  <c r="O174" i="6"/>
  <c r="I174" i="6"/>
  <c r="O112" i="6"/>
  <c r="I112" i="6"/>
  <c r="I11" i="6"/>
  <c r="O102" i="6"/>
  <c r="I102" i="6"/>
  <c r="I106" i="6"/>
  <c r="E61" i="5"/>
  <c r="O194" i="6"/>
  <c r="I194" i="6"/>
  <c r="I7" i="6"/>
  <c r="O4" i="6"/>
  <c r="E72" i="5" l="1"/>
  <c r="E59" i="5"/>
  <c r="E55" i="5"/>
  <c r="E71" i="5"/>
  <c r="E70" i="5"/>
  <c r="E65" i="5"/>
  <c r="E69" i="5"/>
  <c r="B33" i="5"/>
  <c r="J5" i="1" s="1"/>
  <c r="I136" i="6"/>
  <c r="E74" i="5"/>
  <c r="I4" i="6"/>
  <c r="E56" i="5"/>
  <c r="I10" i="6"/>
  <c r="E63" i="5"/>
  <c r="E68" i="5"/>
  <c r="I16" i="6"/>
  <c r="E73" i="5"/>
  <c r="B34" i="5"/>
  <c r="B51" i="5"/>
  <c r="I20" i="6"/>
  <c r="E62" i="5"/>
  <c r="B28" i="5"/>
  <c r="E58" i="5"/>
  <c r="B48" i="5"/>
  <c r="E57" i="5"/>
  <c r="B49" i="5"/>
  <c r="B25" i="5"/>
  <c r="C45" i="1" s="1"/>
  <c r="I18" i="6"/>
  <c r="E60" i="5"/>
  <c r="B26" i="5"/>
  <c r="I14" i="6"/>
  <c r="E67" i="5"/>
  <c r="B37" i="5"/>
  <c r="B50" i="5"/>
  <c r="I8" i="6"/>
  <c r="E66" i="5"/>
  <c r="B47" i="5"/>
  <c r="B27" i="5"/>
  <c r="I54" i="1" l="1" a="1"/>
  <c r="I54" i="1" s="1"/>
  <c r="I52" i="1" a="1"/>
  <c r="I52" i="1" s="1"/>
  <c r="I53" i="1" a="1"/>
  <c r="I53" i="1" s="1"/>
  <c r="I51" i="1" a="1"/>
  <c r="I51" i="1" s="1"/>
  <c r="G54" i="1" a="1"/>
  <c r="G54" i="1" s="1"/>
  <c r="I50" i="1" a="1"/>
  <c r="I50" i="1" s="1"/>
  <c r="G52" i="1" a="1"/>
  <c r="G52" i="1" s="1"/>
  <c r="G53" i="1" a="1"/>
  <c r="G53" i="1" s="1"/>
  <c r="G50" i="1" a="1"/>
  <c r="G50" i="1" s="1"/>
  <c r="G51" i="1" a="1"/>
  <c r="G51" i="1" s="1"/>
  <c r="G44" i="1"/>
  <c r="W5" i="6"/>
  <c r="X4" i="6"/>
  <c r="L5" i="1"/>
  <c r="E44" i="1"/>
  <c r="E54" i="1"/>
  <c r="AA8" i="6"/>
  <c r="X5" i="6"/>
  <c r="C52" i="1"/>
  <c r="AA5" i="6"/>
  <c r="W6" i="6"/>
  <c r="E52" i="1"/>
  <c r="Z6" i="6"/>
  <c r="W8" i="6"/>
  <c r="AA4" i="6"/>
  <c r="AA6" i="6"/>
  <c r="X8" i="6"/>
  <c r="C50" i="1"/>
  <c r="C50" i="5"/>
  <c r="Z7" i="6"/>
  <c r="C53" i="1"/>
  <c r="X7" i="6"/>
  <c r="AA7" i="6"/>
  <c r="E50" i="1"/>
  <c r="C47" i="5"/>
  <c r="C48" i="5"/>
  <c r="E53" i="1"/>
  <c r="Z5" i="6"/>
  <c r="C51" i="5"/>
  <c r="Z4" i="6"/>
  <c r="W4" i="6"/>
  <c r="X6" i="6"/>
  <c r="C51" i="1"/>
  <c r="C49" i="5"/>
  <c r="C54" i="1"/>
  <c r="W7" i="6"/>
  <c r="E51" i="1"/>
  <c r="Z8" i="6"/>
  <c r="Y6" i="6" l="1"/>
  <c r="Y5" i="6"/>
  <c r="Y4" i="6"/>
  <c r="Y8" i="6"/>
  <c r="D49" i="5"/>
  <c r="E49" i="5"/>
  <c r="Y7" i="6"/>
  <c r="E50" i="5"/>
  <c r="D50" i="5"/>
  <c r="D51" i="5"/>
  <c r="E51" i="5"/>
  <c r="D48" i="5"/>
  <c r="E48" i="5"/>
  <c r="E47" i="5"/>
  <c r="D4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<sst xmlns="http://schemas.openxmlformats.org/spreadsheetml/2006/main" count="7069" uniqueCount="1968">
  <si>
    <t>📊  MARKET RESEARCH &amp; CUSTOMER SEGMENTATION DASHBOARD  |  FY 2025–26  |  Apr 2025 – Mar 2026</t>
  </si>
  <si>
    <t>👥 Total Customers</t>
  </si>
  <si>
    <t>💰 Total Revenue (INR)</t>
  </si>
  <si>
    <t>🛒 Avg Order Value (INR)</t>
  </si>
  <si>
    <t>🔄 Repeat Customer %</t>
  </si>
  <si>
    <t>⚠️ At-Risk Customers</t>
  </si>
  <si>
    <t>⭐ Loyal Customers</t>
  </si>
  <si>
    <t>📈 Avg Satisfaction</t>
  </si>
  <si>
    <t xml:space="preserve">  📊  CHARTS &amp; VISUALIZATIONS  —  Step 2: Insert Pivot Charts Here</t>
  </si>
  <si>
    <t>📊 BAR CHART PLACEHOLDER
Customers by Segment
[ Insert Pivot Chart — Step 2 ]
Source: tblFinal
Rows: CustomerSegment
Values: Count of CustomerID</t>
  </si>
  <si>
    <t>📊 COLUMN CHART PLACEHOLDER
Revenue by Segment
[ Insert Pivot Chart — Step 2 ]
Source: tblFinal
Rows: CustomerSegment
Values: Sum of RFM_Monetary</t>
  </si>
  <si>
    <t xml:space="preserve">  🍩  DISTRIBUTION CHARTS  —  Step 2: Add Donut &amp; Line Charts</t>
  </si>
  <si>
    <t>🍩 DONUT CHART
Customer Distribution
[ Step 2 ]</t>
  </si>
  <si>
    <t>📈 LINE CHART
Monthly Revenue Trend
[ Step 2 ]</t>
  </si>
  <si>
    <t>📊 PIVOT TABLE
Region-wise Analysis
[ Step 2 ]</t>
  </si>
  <si>
    <t>⚙️ SLICERS
Segment
Region
Channel
[ Step 2 ]</t>
  </si>
  <si>
    <t xml:space="preserve">  📋  KPI REFERENCE TABLE  (Live — Updates from KPI Summary sheet)</t>
  </si>
  <si>
    <t>Metric</t>
  </si>
  <si>
    <t>Value</t>
  </si>
  <si>
    <t>Total Customers</t>
  </si>
  <si>
    <t>Total Transactions</t>
  </si>
  <si>
    <t>Total Revenue</t>
  </si>
  <si>
    <t>Avg AOV</t>
  </si>
  <si>
    <t>Repeat Customer %</t>
  </si>
  <si>
    <t>Loyal Customers</t>
  </si>
  <si>
    <t>At-Risk Customers</t>
  </si>
  <si>
    <t>Avg Satisfaction</t>
  </si>
  <si>
    <t>High Value Customers</t>
  </si>
  <si>
    <t>Online Revenue %</t>
  </si>
  <si>
    <t>Active Customers</t>
  </si>
  <si>
    <t>Low Engagement</t>
  </si>
  <si>
    <t xml:space="preserve">  📋  SEGMENT PERFORMANCE SUMMARY (Live)</t>
  </si>
  <si>
    <t>Segment</t>
  </si>
  <si>
    <t>Customers</t>
  </si>
  <si>
    <t>Revenue %</t>
  </si>
  <si>
    <t>Avg Spend</t>
  </si>
  <si>
    <t>Status</t>
  </si>
  <si>
    <t>Loyal</t>
  </si>
  <si>
    <t>⭐ Retain</t>
  </si>
  <si>
    <t>High Value</t>
  </si>
  <si>
    <t>💎 Upsell</t>
  </si>
  <si>
    <t>At Risk</t>
  </si>
  <si>
    <t>⚠️ Re-engage</t>
  </si>
  <si>
    <t>Bargain Seeker</t>
  </si>
  <si>
    <t>🏷️ Nurture</t>
  </si>
  <si>
    <t>General</t>
  </si>
  <si>
    <t>📌 Grow</t>
  </si>
  <si>
    <t>📋 tblCustomers — Master Customer Data</t>
  </si>
  <si>
    <t>💳 tblTransactions — Transaction Records</t>
  </si>
  <si>
    <t>📝 tblSurvey — Customer Survey Responses</t>
  </si>
  <si>
    <t>CustomerID</t>
  </si>
  <si>
    <t>Name</t>
  </si>
  <si>
    <t>Gender</t>
  </si>
  <si>
    <t>Age</t>
  </si>
  <si>
    <t>City/Region</t>
  </si>
  <si>
    <t>IncomeRange</t>
  </si>
  <si>
    <t>Occupation</t>
  </si>
  <si>
    <t>JoinDate</t>
  </si>
  <si>
    <t>PurchaseChannel</t>
  </si>
  <si>
    <t>CustomerType</t>
  </si>
  <si>
    <t>EngagementLevel</t>
  </si>
  <si>
    <t>DiscountSensitivity</t>
  </si>
  <si>
    <t>LastPurchaseDate</t>
  </si>
  <si>
    <t>TransactionID</t>
  </si>
  <si>
    <t>Date</t>
  </si>
  <si>
    <t>ProductCategory</t>
  </si>
  <si>
    <t>Amount (INR)</t>
  </si>
  <si>
    <t>SurveyID</t>
  </si>
  <si>
    <t>Satisfaction</t>
  </si>
  <si>
    <t>PreferredChannel</t>
  </si>
  <si>
    <t>RecommendationLikelihood</t>
  </si>
  <si>
    <t>C0001</t>
  </si>
  <si>
    <t>Arjun Sharma</t>
  </si>
  <si>
    <t>Male</t>
  </si>
  <si>
    <t>Noida</t>
  </si>
  <si>
    <t>Finance Analyst</t>
  </si>
  <si>
    <t>Online</t>
  </si>
  <si>
    <t>New</t>
  </si>
  <si>
    <t>Low</t>
  </si>
  <si>
    <t>High</t>
  </si>
  <si>
    <t>T00001</t>
  </si>
  <si>
    <t>Beauty</t>
  </si>
  <si>
    <t>S0001</t>
  </si>
  <si>
    <t>C0002</t>
  </si>
  <si>
    <t>Vikram Singh</t>
  </si>
  <si>
    <t>Bangalore</t>
  </si>
  <si>
    <t>HR Manager</t>
  </si>
  <si>
    <t>Medium</t>
  </si>
  <si>
    <t>T00002</t>
  </si>
  <si>
    <t>Grocery</t>
  </si>
  <si>
    <t>S0002</t>
  </si>
  <si>
    <t>C0003</t>
  </si>
  <si>
    <t>Rohan Mehta</t>
  </si>
  <si>
    <t>Indore</t>
  </si>
  <si>
    <t>Doctor</t>
  </si>
  <si>
    <t>Returning</t>
  </si>
  <si>
    <t>T00003</t>
  </si>
  <si>
    <t>S0003</t>
  </si>
  <si>
    <t>C0004</t>
  </si>
  <si>
    <t>Nikhil Gupta</t>
  </si>
  <si>
    <t>Jaipur</t>
  </si>
  <si>
    <t>Teacher</t>
  </si>
  <si>
    <t>Offline</t>
  </si>
  <si>
    <t>T00004</t>
  </si>
  <si>
    <t>S0004</t>
  </si>
  <si>
    <t>C0005</t>
  </si>
  <si>
    <t>Amit Verma</t>
  </si>
  <si>
    <t>Bhubaneswar</t>
  </si>
  <si>
    <t>Operations Manager</t>
  </si>
  <si>
    <t>T00005</t>
  </si>
  <si>
    <t>Electronics</t>
  </si>
  <si>
    <t>S0005</t>
  </si>
  <si>
    <t>C0006</t>
  </si>
  <si>
    <t>Suresh Kumar</t>
  </si>
  <si>
    <t>Kolkata</t>
  </si>
  <si>
    <t>Consultant</t>
  </si>
  <si>
    <t>T00006</t>
  </si>
  <si>
    <t>Home Decor</t>
  </si>
  <si>
    <t>S0006</t>
  </si>
  <si>
    <t>C0007</t>
  </si>
  <si>
    <t>Rajesh Patel</t>
  </si>
  <si>
    <t>T00007</t>
  </si>
  <si>
    <t>Clothing</t>
  </si>
  <si>
    <t>S0007</t>
  </si>
  <si>
    <t>C0008</t>
  </si>
  <si>
    <t>Aditya Joshi</t>
  </si>
  <si>
    <t>Hyderabad</t>
  </si>
  <si>
    <t>Business Owner</t>
  </si>
  <si>
    <t>T00008</t>
  </si>
  <si>
    <t>S0008</t>
  </si>
  <si>
    <t>C0009</t>
  </si>
  <si>
    <t>Karan Kapoor</t>
  </si>
  <si>
    <t>Ahmedabad</t>
  </si>
  <si>
    <t>Entrepreneur</t>
  </si>
  <si>
    <t>T00009</t>
  </si>
  <si>
    <t>Sports</t>
  </si>
  <si>
    <t>S0009</t>
  </si>
  <si>
    <t>C0010</t>
  </si>
  <si>
    <t>Deepak Nair</t>
  </si>
  <si>
    <t>T00010</t>
  </si>
  <si>
    <t>S0010</t>
  </si>
  <si>
    <t>C0011</t>
  </si>
  <si>
    <t>Manish Tiwari</t>
  </si>
  <si>
    <t>Bhopal</t>
  </si>
  <si>
    <t>T00011</t>
  </si>
  <si>
    <t>S0011</t>
  </si>
  <si>
    <t>C0012</t>
  </si>
  <si>
    <t>Gaurav Saxena</t>
  </si>
  <si>
    <t>Lucknow</t>
  </si>
  <si>
    <t>Retail Manager</t>
  </si>
  <si>
    <t>T00012</t>
  </si>
  <si>
    <t>S0012</t>
  </si>
  <si>
    <t>C0013</t>
  </si>
  <si>
    <t>Sanjay Yadav</t>
  </si>
  <si>
    <t>T00013</t>
  </si>
  <si>
    <t>S0013</t>
  </si>
  <si>
    <t>C0014</t>
  </si>
  <si>
    <t>Rahul Mishra</t>
  </si>
  <si>
    <t>Surat</t>
  </si>
  <si>
    <t>Student</t>
  </si>
  <si>
    <t>T00014</t>
  </si>
  <si>
    <t>S0014</t>
  </si>
  <si>
    <t>C0015</t>
  </si>
  <si>
    <t>Varun Chopra</t>
  </si>
  <si>
    <t>T00015</t>
  </si>
  <si>
    <t>S0015</t>
  </si>
  <si>
    <t>C0016</t>
  </si>
  <si>
    <t>Harish Reddy</t>
  </si>
  <si>
    <t>Chennai</t>
  </si>
  <si>
    <t>T00016</t>
  </si>
  <si>
    <t>S0016</t>
  </si>
  <si>
    <t>C0017</t>
  </si>
  <si>
    <t>Pradeep Iyer</t>
  </si>
  <si>
    <t>Chandigarh</t>
  </si>
  <si>
    <t>T00017</t>
  </si>
  <si>
    <t>S0017</t>
  </si>
  <si>
    <t>C0018</t>
  </si>
  <si>
    <t>Ankit Dubey</t>
  </si>
  <si>
    <t>Delhi</t>
  </si>
  <si>
    <t>T00018</t>
  </si>
  <si>
    <t>S0018</t>
  </si>
  <si>
    <t>C0019</t>
  </si>
  <si>
    <t>Vivek Pandey</t>
  </si>
  <si>
    <t>T00019</t>
  </si>
  <si>
    <t>S0019</t>
  </si>
  <si>
    <t>C0020</t>
  </si>
  <si>
    <t>Mohit Bhatia</t>
  </si>
  <si>
    <t>T00020</t>
  </si>
  <si>
    <t>S0020</t>
  </si>
  <si>
    <t>C0021</t>
  </si>
  <si>
    <t>Sachin Rao</t>
  </si>
  <si>
    <t>T00021</t>
  </si>
  <si>
    <t>S0021</t>
  </si>
  <si>
    <t>C0022</t>
  </si>
  <si>
    <t>Tarun Malhotra</t>
  </si>
  <si>
    <t>Pune</t>
  </si>
  <si>
    <t>Marketing Manager</t>
  </si>
  <si>
    <t>T00022</t>
  </si>
  <si>
    <t>S0022</t>
  </si>
  <si>
    <t>C0023</t>
  </si>
  <si>
    <t>Vijay Menon</t>
  </si>
  <si>
    <t>Mumbai</t>
  </si>
  <si>
    <t>T00023</t>
  </si>
  <si>
    <t>S0023</t>
  </si>
  <si>
    <t>C0024</t>
  </si>
  <si>
    <t>Naveen Pillai</t>
  </si>
  <si>
    <t>T00024</t>
  </si>
  <si>
    <t>S0024</t>
  </si>
  <si>
    <t>C0025</t>
  </si>
  <si>
    <t>Akash Srivastava</t>
  </si>
  <si>
    <t>T00025</t>
  </si>
  <si>
    <t>S0025</t>
  </si>
  <si>
    <t>C0026</t>
  </si>
  <si>
    <t>Dinesh Thakur</t>
  </si>
  <si>
    <t>T00026</t>
  </si>
  <si>
    <t>S0026</t>
  </si>
  <si>
    <t>C0027</t>
  </si>
  <si>
    <t>Rakesh Bansal</t>
  </si>
  <si>
    <t>T00027</t>
  </si>
  <si>
    <t>S0027</t>
  </si>
  <si>
    <t>C0028</t>
  </si>
  <si>
    <t>Girish Agarwal</t>
  </si>
  <si>
    <t>T00028</t>
  </si>
  <si>
    <t>S0028</t>
  </si>
  <si>
    <t>C0029</t>
  </si>
  <si>
    <t>Sumit Dixit</t>
  </si>
  <si>
    <t>Accountant</t>
  </si>
  <si>
    <t>T00029</t>
  </si>
  <si>
    <t>S0029</t>
  </si>
  <si>
    <t>C0030</t>
  </si>
  <si>
    <t>Pranav Shah</t>
  </si>
  <si>
    <t>T00030</t>
  </si>
  <si>
    <t>S0030</t>
  </si>
  <si>
    <t>C0031</t>
  </si>
  <si>
    <t>Himanshu Jain</t>
  </si>
  <si>
    <t>T00031</t>
  </si>
  <si>
    <t>S0031</t>
  </si>
  <si>
    <t>C0032</t>
  </si>
  <si>
    <t>Lokesh Negi</t>
  </si>
  <si>
    <t>T00032</t>
  </si>
  <si>
    <t>S0032</t>
  </si>
  <si>
    <t>C0033</t>
  </si>
  <si>
    <t>Rishabh Bhatt</t>
  </si>
  <si>
    <t>T00033</t>
  </si>
  <si>
    <t>S0033</t>
  </si>
  <si>
    <t>C0034</t>
  </si>
  <si>
    <t>Abhishek Goyal</t>
  </si>
  <si>
    <t>Nagpur</t>
  </si>
  <si>
    <t>Software Engineer</t>
  </si>
  <si>
    <t>T00034</t>
  </si>
  <si>
    <t>S0034</t>
  </si>
  <si>
    <t>C0035</t>
  </si>
  <si>
    <t>Kunal Bajaj</t>
  </si>
  <si>
    <t>T00035</t>
  </si>
  <si>
    <t>S0035</t>
  </si>
  <si>
    <t>C0036</t>
  </si>
  <si>
    <t>Ravi Choudhury</t>
  </si>
  <si>
    <t>T00036</t>
  </si>
  <si>
    <t>S0036</t>
  </si>
  <si>
    <t>C0037</t>
  </si>
  <si>
    <t>Nitin Wagh</t>
  </si>
  <si>
    <t>T00037</t>
  </si>
  <si>
    <t>S0037</t>
  </si>
  <si>
    <t>C0038</t>
  </si>
  <si>
    <t>Paras Mahajan</t>
  </si>
  <si>
    <t>T00038</t>
  </si>
  <si>
    <t>S0038</t>
  </si>
  <si>
    <t>C0039</t>
  </si>
  <si>
    <t>Shreyas Deshpande</t>
  </si>
  <si>
    <t>T00039</t>
  </si>
  <si>
    <t>S0039</t>
  </si>
  <si>
    <t>C0040</t>
  </si>
  <si>
    <t>Ashish Kulkarni</t>
  </si>
  <si>
    <t>T00040</t>
  </si>
  <si>
    <t>S0040</t>
  </si>
  <si>
    <t>C0041</t>
  </si>
  <si>
    <t>Manoj Garg</t>
  </si>
  <si>
    <t>Sales Executive</t>
  </si>
  <si>
    <t>T00041</t>
  </si>
  <si>
    <t>S0041</t>
  </si>
  <si>
    <t>C0042</t>
  </si>
  <si>
    <t>Yogesh Shukla</t>
  </si>
  <si>
    <t>T00042</t>
  </si>
  <si>
    <t>S0042</t>
  </si>
  <si>
    <t>C0043</t>
  </si>
  <si>
    <t>Tushar Patil</t>
  </si>
  <si>
    <t>T00043</t>
  </si>
  <si>
    <t>S0043</t>
  </si>
  <si>
    <t>C0044</t>
  </si>
  <si>
    <t>Chirag Parekh</t>
  </si>
  <si>
    <t>T00044</t>
  </si>
  <si>
    <t>S0044</t>
  </si>
  <si>
    <t>C0045</t>
  </si>
  <si>
    <t>Sahil Oberoi</t>
  </si>
  <si>
    <t>Gurgaon</t>
  </si>
  <si>
    <t>T00045</t>
  </si>
  <si>
    <t>S0045</t>
  </si>
  <si>
    <t>C0046</t>
  </si>
  <si>
    <t>Kartik Mitra</t>
  </si>
  <si>
    <t>T00046</t>
  </si>
  <si>
    <t>S0046</t>
  </si>
  <si>
    <t>C0047</t>
  </si>
  <si>
    <t>Alok Sinha</t>
  </si>
  <si>
    <t>T00047</t>
  </si>
  <si>
    <t>S0047</t>
  </si>
  <si>
    <t>C0048</t>
  </si>
  <si>
    <t>Piyush Rastogi</t>
  </si>
  <si>
    <t>Product Manager</t>
  </si>
  <si>
    <t>T00048</t>
  </si>
  <si>
    <t>S0048</t>
  </si>
  <si>
    <t>C0049</t>
  </si>
  <si>
    <t>Neeraj Tomar</t>
  </si>
  <si>
    <t>T00049</t>
  </si>
  <si>
    <t>S0049</t>
  </si>
  <si>
    <t>C0050</t>
  </si>
  <si>
    <t>Vishal Solanki</t>
  </si>
  <si>
    <t>T00050</t>
  </si>
  <si>
    <t>S0050</t>
  </si>
  <si>
    <t>C0051</t>
  </si>
  <si>
    <t>Priya Sharma</t>
  </si>
  <si>
    <t>Female</t>
  </si>
  <si>
    <t>T00051</t>
  </si>
  <si>
    <t>S0051</t>
  </si>
  <si>
    <t>C0052</t>
  </si>
  <si>
    <t>Neha Singh</t>
  </si>
  <si>
    <t>T00052</t>
  </si>
  <si>
    <t>S0052</t>
  </si>
  <si>
    <t>C0053</t>
  </si>
  <si>
    <t>Ananya Mehta</t>
  </si>
  <si>
    <t>T00053</t>
  </si>
  <si>
    <t>S0053</t>
  </si>
  <si>
    <t>C0054</t>
  </si>
  <si>
    <t>Divya Gupta</t>
  </si>
  <si>
    <t>T00054</t>
  </si>
  <si>
    <t>S0054</t>
  </si>
  <si>
    <t>C0055</t>
  </si>
  <si>
    <t>Pooja Verma</t>
  </si>
  <si>
    <t>T00055</t>
  </si>
  <si>
    <t>S0055</t>
  </si>
  <si>
    <t>C0056</t>
  </si>
  <si>
    <t>Sunita Kumar</t>
  </si>
  <si>
    <t>T00056</t>
  </si>
  <si>
    <t>S0056</t>
  </si>
  <si>
    <t>C0057</t>
  </si>
  <si>
    <t>Rekha Patel</t>
  </si>
  <si>
    <t>T00057</t>
  </si>
  <si>
    <t>S0057</t>
  </si>
  <si>
    <t>C0058</t>
  </si>
  <si>
    <t>Kavita Joshi</t>
  </si>
  <si>
    <t>T00058</t>
  </si>
  <si>
    <t>S0058</t>
  </si>
  <si>
    <t>C0059</t>
  </si>
  <si>
    <t>Shikha Kapoor</t>
  </si>
  <si>
    <t>T00059</t>
  </si>
  <si>
    <t>S0059</t>
  </si>
  <si>
    <t>C0060</t>
  </si>
  <si>
    <t>Meera Nair</t>
  </si>
  <si>
    <t>T00060</t>
  </si>
  <si>
    <t>S0060</t>
  </si>
  <si>
    <t>C0061</t>
  </si>
  <si>
    <t>Anjali Tiwari</t>
  </si>
  <si>
    <t>Kochi</t>
  </si>
  <si>
    <t>T00061</t>
  </si>
  <si>
    <t>S0061</t>
  </si>
  <si>
    <t>C0062</t>
  </si>
  <si>
    <t>Swati Saxena</t>
  </si>
  <si>
    <t>T00062</t>
  </si>
  <si>
    <t>S0062</t>
  </si>
  <si>
    <t>C0063</t>
  </si>
  <si>
    <t>Ritu Yadav</t>
  </si>
  <si>
    <t>T00063</t>
  </si>
  <si>
    <t>S0063</t>
  </si>
  <si>
    <t>C0064</t>
  </si>
  <si>
    <t>Sneha Mishra</t>
  </si>
  <si>
    <t>T00064</t>
  </si>
  <si>
    <t>S0064</t>
  </si>
  <si>
    <t>C0065</t>
  </si>
  <si>
    <t>Preeti Chopra</t>
  </si>
  <si>
    <t>T00065</t>
  </si>
  <si>
    <t>S0065</t>
  </si>
  <si>
    <t>C0066</t>
  </si>
  <si>
    <t>Nandini Reddy</t>
  </si>
  <si>
    <t>T00066</t>
  </si>
  <si>
    <t>S0066</t>
  </si>
  <si>
    <t>C0067</t>
  </si>
  <si>
    <t>Uma Iyer</t>
  </si>
  <si>
    <t>T00067</t>
  </si>
  <si>
    <t>S0067</t>
  </si>
  <si>
    <t>C0068</t>
  </si>
  <si>
    <t>Deepika Dubey</t>
  </si>
  <si>
    <t>T00068</t>
  </si>
  <si>
    <t>S0068</t>
  </si>
  <si>
    <t>C0069</t>
  </si>
  <si>
    <t>Pallavi Pandey</t>
  </si>
  <si>
    <t>T00069</t>
  </si>
  <si>
    <t>S0069</t>
  </si>
  <si>
    <t>C0070</t>
  </si>
  <si>
    <t>Sonia Bhatia</t>
  </si>
  <si>
    <t>T00070</t>
  </si>
  <si>
    <t>S0070</t>
  </si>
  <si>
    <t>C0071</t>
  </si>
  <si>
    <t>Geeta Rao</t>
  </si>
  <si>
    <t>T00071</t>
  </si>
  <si>
    <t>S0071</t>
  </si>
  <si>
    <t>C0072</t>
  </si>
  <si>
    <t>Shruti Malhotra</t>
  </si>
  <si>
    <t>T00072</t>
  </si>
  <si>
    <t>S0072</t>
  </si>
  <si>
    <t>C0073</t>
  </si>
  <si>
    <t>Lakshmi Menon</t>
  </si>
  <si>
    <t>T00073</t>
  </si>
  <si>
    <t>S0073</t>
  </si>
  <si>
    <t>C0074</t>
  </si>
  <si>
    <t>Radha Pillai</t>
  </si>
  <si>
    <t>T00074</t>
  </si>
  <si>
    <t>S0074</t>
  </si>
  <si>
    <t>C0075</t>
  </si>
  <si>
    <t>Madhuri Srivastava</t>
  </si>
  <si>
    <t>T00075</t>
  </si>
  <si>
    <t>S0075</t>
  </si>
  <si>
    <t>C0076</t>
  </si>
  <si>
    <t>Bindu Thakur</t>
  </si>
  <si>
    <t>T00076</t>
  </si>
  <si>
    <t>S0076</t>
  </si>
  <si>
    <t>C0077</t>
  </si>
  <si>
    <t>Kamala Bansal</t>
  </si>
  <si>
    <t>T00077</t>
  </si>
  <si>
    <t>S0077</t>
  </si>
  <si>
    <t>C0078</t>
  </si>
  <si>
    <t>Seema Agarwal</t>
  </si>
  <si>
    <t>T00078</t>
  </si>
  <si>
    <t>S0078</t>
  </si>
  <si>
    <t>C0079</t>
  </si>
  <si>
    <t>Asha Dixit</t>
  </si>
  <si>
    <t>T00079</t>
  </si>
  <si>
    <t>S0079</t>
  </si>
  <si>
    <t>C0080</t>
  </si>
  <si>
    <t>Nisha Shah</t>
  </si>
  <si>
    <t>T00080</t>
  </si>
  <si>
    <t>S0080</t>
  </si>
  <si>
    <t>C0081</t>
  </si>
  <si>
    <t>Lata Jain</t>
  </si>
  <si>
    <t>Faridabad</t>
  </si>
  <si>
    <t>T00081</t>
  </si>
  <si>
    <t>S0081</t>
  </si>
  <si>
    <t>C0082</t>
  </si>
  <si>
    <t>Tanya Negi</t>
  </si>
  <si>
    <t>T00082</t>
  </si>
  <si>
    <t>S0082</t>
  </si>
  <si>
    <t>C0083</t>
  </si>
  <si>
    <t>Roshni Bhatt</t>
  </si>
  <si>
    <t>T00083</t>
  </si>
  <si>
    <t>S0083</t>
  </si>
  <si>
    <t>C0084</t>
  </si>
  <si>
    <t>Simran Goyal</t>
  </si>
  <si>
    <t>T00084</t>
  </si>
  <si>
    <t>S0084</t>
  </si>
  <si>
    <t>C0085</t>
  </si>
  <si>
    <t>Kavya Bajaj</t>
  </si>
  <si>
    <t>T00085</t>
  </si>
  <si>
    <t>S0085</t>
  </si>
  <si>
    <t>C0086</t>
  </si>
  <si>
    <t>Shalini Choudhury</t>
  </si>
  <si>
    <t>T00086</t>
  </si>
  <si>
    <t>S0086</t>
  </si>
  <si>
    <t>C0087</t>
  </si>
  <si>
    <t>Rashmi Wagh</t>
  </si>
  <si>
    <t>T00087</t>
  </si>
  <si>
    <t>S0087</t>
  </si>
  <si>
    <t>C0088</t>
  </si>
  <si>
    <t>Manju Mahajan</t>
  </si>
  <si>
    <t>T00088</t>
  </si>
  <si>
    <t>S0088</t>
  </si>
  <si>
    <t>C0089</t>
  </si>
  <si>
    <t>Gauri Deshpande</t>
  </si>
  <si>
    <t>T00089</t>
  </si>
  <si>
    <t>S0089</t>
  </si>
  <si>
    <t>C0090</t>
  </si>
  <si>
    <t>Shraddha Kulkarni</t>
  </si>
  <si>
    <t>T00090</t>
  </si>
  <si>
    <t>S0090</t>
  </si>
  <si>
    <t>C0091</t>
  </si>
  <si>
    <t>Sapna Garg</t>
  </si>
  <si>
    <t>T00091</t>
  </si>
  <si>
    <t>S0091</t>
  </si>
  <si>
    <t>C0092</t>
  </si>
  <si>
    <t>Vaishali Shukla</t>
  </si>
  <si>
    <t>T00092</t>
  </si>
  <si>
    <t>S0092</t>
  </si>
  <si>
    <t>C0093</t>
  </si>
  <si>
    <t>Tejal Patil</t>
  </si>
  <si>
    <t>T00093</t>
  </si>
  <si>
    <t>S0093</t>
  </si>
  <si>
    <t>C0094</t>
  </si>
  <si>
    <t>Jyoti Parekh</t>
  </si>
  <si>
    <t>T00094</t>
  </si>
  <si>
    <t>S0094</t>
  </si>
  <si>
    <t>C0095</t>
  </si>
  <si>
    <t>Ridhi Oberoi</t>
  </si>
  <si>
    <t>T00095</t>
  </si>
  <si>
    <t>S0095</t>
  </si>
  <si>
    <t>C0096</t>
  </si>
  <si>
    <t>Varsha Mitra</t>
  </si>
  <si>
    <t>T00096</t>
  </si>
  <si>
    <t>S0096</t>
  </si>
  <si>
    <t>C0097</t>
  </si>
  <si>
    <t>Rupal Sinha</t>
  </si>
  <si>
    <t>T00097</t>
  </si>
  <si>
    <t>S0097</t>
  </si>
  <si>
    <t>C0098</t>
  </si>
  <si>
    <t>Prerna Rastogi</t>
  </si>
  <si>
    <t>T00098</t>
  </si>
  <si>
    <t>S0098</t>
  </si>
  <si>
    <t>C0099</t>
  </si>
  <si>
    <t>Aditi Tomar</t>
  </si>
  <si>
    <t>T00099</t>
  </si>
  <si>
    <t>S0099</t>
  </si>
  <si>
    <t>C0100</t>
  </si>
  <si>
    <t>Poonam Solanki</t>
  </si>
  <si>
    <t>T00100</t>
  </si>
  <si>
    <t>S0100</t>
  </si>
  <si>
    <t>C0101</t>
  </si>
  <si>
    <t>Rahul Verma</t>
  </si>
  <si>
    <t>T00101</t>
  </si>
  <si>
    <t>S0101</t>
  </si>
  <si>
    <t>C0102</t>
  </si>
  <si>
    <t>Ravi Kumar</t>
  </si>
  <si>
    <t>T00102</t>
  </si>
  <si>
    <t>S0102</t>
  </si>
  <si>
    <t>C0103</t>
  </si>
  <si>
    <t>Geeta Verma</t>
  </si>
  <si>
    <t>T00103</t>
  </si>
  <si>
    <t>S0103</t>
  </si>
  <si>
    <t>C0104</t>
  </si>
  <si>
    <t>Sneha Jain</t>
  </si>
  <si>
    <t>Coimbatore</t>
  </si>
  <si>
    <t>T00104</t>
  </si>
  <si>
    <t>S0104</t>
  </si>
  <si>
    <t>C0105</t>
  </si>
  <si>
    <t>Sneha Nair</t>
  </si>
  <si>
    <t>T00105</t>
  </si>
  <si>
    <t>S0105</t>
  </si>
  <si>
    <t>C0106</t>
  </si>
  <si>
    <t>Kunal Gupta</t>
  </si>
  <si>
    <t>T00106</t>
  </si>
  <si>
    <t>S0106</t>
  </si>
  <si>
    <t>C0107</t>
  </si>
  <si>
    <t>Aarti Reddy</t>
  </si>
  <si>
    <t>Patna</t>
  </si>
  <si>
    <t>Professor</t>
  </si>
  <si>
    <t>T00107</t>
  </si>
  <si>
    <t>S0107</t>
  </si>
  <si>
    <t>C0108</t>
  </si>
  <si>
    <t>Divya Singh</t>
  </si>
  <si>
    <t>T00108</t>
  </si>
  <si>
    <t>S0108</t>
  </si>
  <si>
    <t>C0109</t>
  </si>
  <si>
    <t>Kunal Iyer</t>
  </si>
  <si>
    <t>Lawyer</t>
  </si>
  <si>
    <t>T00109</t>
  </si>
  <si>
    <t>S0109</t>
  </si>
  <si>
    <t>C0110</t>
  </si>
  <si>
    <t>Anil Nair</t>
  </si>
  <si>
    <t>T00110</t>
  </si>
  <si>
    <t>S0110</t>
  </si>
  <si>
    <t>C0111</t>
  </si>
  <si>
    <t>Deepak Sharma</t>
  </si>
  <si>
    <t>T00111</t>
  </si>
  <si>
    <t>S0111</t>
  </si>
  <si>
    <t>C0112</t>
  </si>
  <si>
    <t>T00112</t>
  </si>
  <si>
    <t>S0112</t>
  </si>
  <si>
    <t>C0113</t>
  </si>
  <si>
    <t>Deepak Patel</t>
  </si>
  <si>
    <t>PUNE</t>
  </si>
  <si>
    <t>T00113</t>
  </si>
  <si>
    <t>S0113</t>
  </si>
  <si>
    <t>C0114</t>
  </si>
  <si>
    <t>Amit Reddy</t>
  </si>
  <si>
    <t>T00114</t>
  </si>
  <si>
    <t>S0114</t>
  </si>
  <si>
    <t>C0115</t>
  </si>
  <si>
    <t>Vijay Joshi</t>
  </si>
  <si>
    <t>T00115</t>
  </si>
  <si>
    <t>S0115</t>
  </si>
  <si>
    <t>C0116</t>
  </si>
  <si>
    <t>Anil Mehta</t>
  </si>
  <si>
    <t>T00116</t>
  </si>
  <si>
    <t>S0116</t>
  </si>
  <si>
    <t>C0117</t>
  </si>
  <si>
    <t>T00117</t>
  </si>
  <si>
    <t>S0117</t>
  </si>
  <si>
    <t>C0118</t>
  </si>
  <si>
    <t>Nisha Mishra</t>
  </si>
  <si>
    <t>Nurse</t>
  </si>
  <si>
    <t>T00118</t>
  </si>
  <si>
    <t>S0118</t>
  </si>
  <si>
    <t>C0119</t>
  </si>
  <si>
    <t>Priya Pillai</t>
  </si>
  <si>
    <t>T00119</t>
  </si>
  <si>
    <t>S0119</t>
  </si>
  <si>
    <t>C0120</t>
  </si>
  <si>
    <t>Divya Jain</t>
  </si>
  <si>
    <t>T00120</t>
  </si>
  <si>
    <t>S0120</t>
  </si>
  <si>
    <t>C0121</t>
  </si>
  <si>
    <t>Rohit Gupta</t>
  </si>
  <si>
    <t>T00121</t>
  </si>
  <si>
    <t>S0121</t>
  </si>
  <si>
    <t>C0122</t>
  </si>
  <si>
    <t>Nisha Singh</t>
  </si>
  <si>
    <t>T00122</t>
  </si>
  <si>
    <t>S0122</t>
  </si>
  <si>
    <t>C0123</t>
  </si>
  <si>
    <t>Tarun Iyer</t>
  </si>
  <si>
    <t>T00123</t>
  </si>
  <si>
    <t>S0123</t>
  </si>
  <si>
    <t>C0124</t>
  </si>
  <si>
    <t>T00124</t>
  </si>
  <si>
    <t>S0124</t>
  </si>
  <si>
    <t>C0125</t>
  </si>
  <si>
    <t>Rohit Mehta</t>
  </si>
  <si>
    <t>T00125</t>
  </si>
  <si>
    <t>S0125</t>
  </si>
  <si>
    <t>C0126</t>
  </si>
  <si>
    <t>Naveen Gupta</t>
  </si>
  <si>
    <t>T00126</t>
  </si>
  <si>
    <t>S0126</t>
  </si>
  <si>
    <t>C0127</t>
  </si>
  <si>
    <t>Tarun Mishra</t>
  </si>
  <si>
    <t>Data Analyst</t>
  </si>
  <si>
    <t>T00127</t>
  </si>
  <si>
    <t>S0127</t>
  </si>
  <si>
    <t>C0128</t>
  </si>
  <si>
    <t>Amit Joshi</t>
  </si>
  <si>
    <t>T00128</t>
  </si>
  <si>
    <t>S0128</t>
  </si>
  <si>
    <t>C0129</t>
  </si>
  <si>
    <t>Ajay Gupta</t>
  </si>
  <si>
    <t>T00129</t>
  </si>
  <si>
    <t>S0129</t>
  </si>
  <si>
    <t>C0130</t>
  </si>
  <si>
    <t>meena kumar</t>
  </si>
  <si>
    <t>T00130</t>
  </si>
  <si>
    <t>S0130</t>
  </si>
  <si>
    <t>C0131</t>
  </si>
  <si>
    <t>Priya Reddy</t>
  </si>
  <si>
    <t>T00131</t>
  </si>
  <si>
    <t>S0131</t>
  </si>
  <si>
    <t>C0132</t>
  </si>
  <si>
    <t>Naveen Iyer</t>
  </si>
  <si>
    <t>T00132</t>
  </si>
  <si>
    <t>S0132</t>
  </si>
  <si>
    <t>C0133</t>
  </si>
  <si>
    <t>Ritu Reddy</t>
  </si>
  <si>
    <t>T00133</t>
  </si>
  <si>
    <t>S0133</t>
  </si>
  <si>
    <t>C0134</t>
  </si>
  <si>
    <t>Vijay Verma</t>
  </si>
  <si>
    <t>Vadodara</t>
  </si>
  <si>
    <t>T00134</t>
  </si>
  <si>
    <t>S0134</t>
  </si>
  <si>
    <t>C0135</t>
  </si>
  <si>
    <t>Swati Nair</t>
  </si>
  <si>
    <t>T00135</t>
  </si>
  <si>
    <t>S0135</t>
  </si>
  <si>
    <t>C0136</t>
  </si>
  <si>
    <t>divya pillai</t>
  </si>
  <si>
    <t>T00136</t>
  </si>
  <si>
    <t>S0136</t>
  </si>
  <si>
    <t>C0137</t>
  </si>
  <si>
    <t>Manoj Singh</t>
  </si>
  <si>
    <t>T00137</t>
  </si>
  <si>
    <t>S0137</t>
  </si>
  <si>
    <t>C0138</t>
  </si>
  <si>
    <t>Nisha Rao</t>
  </si>
  <si>
    <t>T00138</t>
  </si>
  <si>
    <t>S0138</t>
  </si>
  <si>
    <t>C0139</t>
  </si>
  <si>
    <t>Rekha Reddy</t>
  </si>
  <si>
    <t>T00139</t>
  </si>
  <si>
    <t>S0139</t>
  </si>
  <si>
    <t>C0140</t>
  </si>
  <si>
    <t>Sunita Joshi</t>
  </si>
  <si>
    <t>T00140</t>
  </si>
  <si>
    <t>S0140</t>
  </si>
  <si>
    <t>C0141</t>
  </si>
  <si>
    <t>Kunal Nair</t>
  </si>
  <si>
    <t>T00141</t>
  </si>
  <si>
    <t>S0141</t>
  </si>
  <si>
    <t>C0142</t>
  </si>
  <si>
    <t>Geeta Sharma</t>
  </si>
  <si>
    <t>T00142</t>
  </si>
  <si>
    <t>S0142</t>
  </si>
  <si>
    <t>C0143</t>
  </si>
  <si>
    <t>Deepak Mehta</t>
  </si>
  <si>
    <t>T00143</t>
  </si>
  <si>
    <t>S0143</t>
  </si>
  <si>
    <t>C0144</t>
  </si>
  <si>
    <t>Pooja Patel</t>
  </si>
  <si>
    <t>T00144</t>
  </si>
  <si>
    <t>S0144</t>
  </si>
  <si>
    <t>C0145</t>
  </si>
  <si>
    <t>Amit Nair</t>
  </si>
  <si>
    <t>T00145</t>
  </si>
  <si>
    <t>S0145</t>
  </si>
  <si>
    <t>C0146</t>
  </si>
  <si>
    <t>Rekha Kumar</t>
  </si>
  <si>
    <t>T00146</t>
  </si>
  <si>
    <t>S0146</t>
  </si>
  <si>
    <t>C0147</t>
  </si>
  <si>
    <t>Meena Rao</t>
  </si>
  <si>
    <t>T00147</t>
  </si>
  <si>
    <t>S0147</t>
  </si>
  <si>
    <t>C0148</t>
  </si>
  <si>
    <t>T00148</t>
  </si>
  <si>
    <t>S0148</t>
  </si>
  <si>
    <t>C0149</t>
  </si>
  <si>
    <t>Nisha Gupta</t>
  </si>
  <si>
    <t>T00149</t>
  </si>
  <si>
    <t>S0149</t>
  </si>
  <si>
    <t>C0150</t>
  </si>
  <si>
    <t>Suresh Mehta</t>
  </si>
  <si>
    <t>T00150</t>
  </si>
  <si>
    <t>S0150</t>
  </si>
  <si>
    <t>C0151</t>
  </si>
  <si>
    <t>Swati Reddy</t>
  </si>
  <si>
    <t>T00151</t>
  </si>
  <si>
    <t>S0151</t>
  </si>
  <si>
    <t>C0152</t>
  </si>
  <si>
    <t>Pooja Mehta</t>
  </si>
  <si>
    <t>T00152</t>
  </si>
  <si>
    <t>S0152</t>
  </si>
  <si>
    <t>C0153</t>
  </si>
  <si>
    <t>Sneha Pillai</t>
  </si>
  <si>
    <t>T00153</t>
  </si>
  <si>
    <t>S0153</t>
  </si>
  <si>
    <t>C0154</t>
  </si>
  <si>
    <t>Ravi Singh</t>
  </si>
  <si>
    <t>T00154</t>
  </si>
  <si>
    <t>S0154</t>
  </si>
  <si>
    <t>C0155</t>
  </si>
  <si>
    <t>Naveen Mehta</t>
  </si>
  <si>
    <t>T00155</t>
  </si>
  <si>
    <t>S0155</t>
  </si>
  <si>
    <t>C0156</t>
  </si>
  <si>
    <t>Vijay Sharma</t>
  </si>
  <si>
    <t>T00156</t>
  </si>
  <si>
    <t>S0156</t>
  </si>
  <si>
    <t>C0157</t>
  </si>
  <si>
    <t>Rekha Mehta</t>
  </si>
  <si>
    <t>T00157</t>
  </si>
  <si>
    <t>S0157</t>
  </si>
  <si>
    <t>C0158</t>
  </si>
  <si>
    <t>Divya Verma</t>
  </si>
  <si>
    <t>T00158</t>
  </si>
  <si>
    <t>S0158</t>
  </si>
  <si>
    <t>C0159</t>
  </si>
  <si>
    <t>Rohit Kumar</t>
  </si>
  <si>
    <t>T00159</t>
  </si>
  <si>
    <t>S0159</t>
  </si>
  <si>
    <t>C0160</t>
  </si>
  <si>
    <t>Rahul Singh</t>
  </si>
  <si>
    <t>T00160</t>
  </si>
  <si>
    <t>S0160</t>
  </si>
  <si>
    <t>C0161</t>
  </si>
  <si>
    <t>Swati Verma</t>
  </si>
  <si>
    <t>T00161</t>
  </si>
  <si>
    <t>S0161</t>
  </si>
  <si>
    <t>C0162</t>
  </si>
  <si>
    <t>T00162</t>
  </si>
  <si>
    <t>S0162</t>
  </si>
  <si>
    <t>C0163</t>
  </si>
  <si>
    <t>Amit Jain</t>
  </si>
  <si>
    <t>T00163</t>
  </si>
  <si>
    <t>S0163</t>
  </si>
  <si>
    <t>C0164</t>
  </si>
  <si>
    <t>Sunita Reddy</t>
  </si>
  <si>
    <t>BHOPAL</t>
  </si>
  <si>
    <t>T00164</t>
  </si>
  <si>
    <t>S0164</t>
  </si>
  <si>
    <t>C0165</t>
  </si>
  <si>
    <t>Geeta Singh</t>
  </si>
  <si>
    <t>T00165</t>
  </si>
  <si>
    <t>S0165</t>
  </si>
  <si>
    <t>C0166</t>
  </si>
  <si>
    <t>Kavya Jain</t>
  </si>
  <si>
    <t>T00166</t>
  </si>
  <si>
    <t>S0166</t>
  </si>
  <si>
    <t>C0167</t>
  </si>
  <si>
    <t>T00167</t>
  </si>
  <si>
    <t>S0167</t>
  </si>
  <si>
    <t>C0168</t>
  </si>
  <si>
    <t>Pranav Nair</t>
  </si>
  <si>
    <t>T00168</t>
  </si>
  <si>
    <t>S0168</t>
  </si>
  <si>
    <t>C0169</t>
  </si>
  <si>
    <t>T00169</t>
  </si>
  <si>
    <t>S0169</t>
  </si>
  <si>
    <t>C0170</t>
  </si>
  <si>
    <t>Swati Sharma</t>
  </si>
  <si>
    <t>T00170</t>
  </si>
  <si>
    <t>S0170</t>
  </si>
  <si>
    <t>C0171</t>
  </si>
  <si>
    <t>Sneha Mehta</t>
  </si>
  <si>
    <t>T00171</t>
  </si>
  <si>
    <t>S0171</t>
  </si>
  <si>
    <t>C0172</t>
  </si>
  <si>
    <t>sunita reddy</t>
  </si>
  <si>
    <t>T00172</t>
  </si>
  <si>
    <t>S0172</t>
  </si>
  <si>
    <t>C0173</t>
  </si>
  <si>
    <t>rekha sharma</t>
  </si>
  <si>
    <t>T00173</t>
  </si>
  <si>
    <t>S0173</t>
  </si>
  <si>
    <t>C0174</t>
  </si>
  <si>
    <t>Meena Jain</t>
  </si>
  <si>
    <t>T00174</t>
  </si>
  <si>
    <t>S0174</t>
  </si>
  <si>
    <t>C0175</t>
  </si>
  <si>
    <t>Rekha Rao</t>
  </si>
  <si>
    <t>T00175</t>
  </si>
  <si>
    <t>S0175</t>
  </si>
  <si>
    <t>C0176</t>
  </si>
  <si>
    <t>Ajay Jain</t>
  </si>
  <si>
    <t>T00176</t>
  </si>
  <si>
    <t>S0176</t>
  </si>
  <si>
    <t>C0177</t>
  </si>
  <si>
    <t>Lakshmi Pillai</t>
  </si>
  <si>
    <t>T00177</t>
  </si>
  <si>
    <t>S0177</t>
  </si>
  <si>
    <t>C0178</t>
  </si>
  <si>
    <t>T00178</t>
  </si>
  <si>
    <t>S0178</t>
  </si>
  <si>
    <t>C0179</t>
  </si>
  <si>
    <t>Suresh Patel</t>
  </si>
  <si>
    <t>T00179</t>
  </si>
  <si>
    <t>S0179</t>
  </si>
  <si>
    <t>C0180</t>
  </si>
  <si>
    <t>Lakshmi Verma</t>
  </si>
  <si>
    <t>T00180</t>
  </si>
  <si>
    <t>S0180</t>
  </si>
  <si>
    <t>C0181</t>
  </si>
  <si>
    <t>Manoj Gupta</t>
  </si>
  <si>
    <t>T00181</t>
  </si>
  <si>
    <t>S0181</t>
  </si>
  <si>
    <t>C0182</t>
  </si>
  <si>
    <t>Rekha Nair</t>
  </si>
  <si>
    <t>T00182</t>
  </si>
  <si>
    <t>S0182</t>
  </si>
  <si>
    <t>C0183</t>
  </si>
  <si>
    <t>Kavya Mishra</t>
  </si>
  <si>
    <t>T00183</t>
  </si>
  <si>
    <t>S0183</t>
  </si>
  <si>
    <t>C0184</t>
  </si>
  <si>
    <t>Meena Joshi</t>
  </si>
  <si>
    <t>T00184</t>
  </si>
  <si>
    <t>S0184</t>
  </si>
  <si>
    <t>C0185</t>
  </si>
  <si>
    <t>Priya Joshi</t>
  </si>
  <si>
    <t>T00185</t>
  </si>
  <si>
    <t>S0185</t>
  </si>
  <si>
    <t>C0186</t>
  </si>
  <si>
    <t>T00186</t>
  </si>
  <si>
    <t>S0186</t>
  </si>
  <si>
    <t>C0187</t>
  </si>
  <si>
    <t>Naveen Rao</t>
  </si>
  <si>
    <t>T00187</t>
  </si>
  <si>
    <t>S0187</t>
  </si>
  <si>
    <t>C0188</t>
  </si>
  <si>
    <t>T00188</t>
  </si>
  <si>
    <t>S0188</t>
  </si>
  <si>
    <t>C0189</t>
  </si>
  <si>
    <t>Rahul Pillai</t>
  </si>
  <si>
    <t>T00189</t>
  </si>
  <si>
    <t>S0189</t>
  </si>
  <si>
    <t>C0190</t>
  </si>
  <si>
    <t>Aarti Mishra</t>
  </si>
  <si>
    <t>T00190</t>
  </si>
  <si>
    <t>S0190</t>
  </si>
  <si>
    <t>C0191</t>
  </si>
  <si>
    <t>T00191</t>
  </si>
  <si>
    <t>S0191</t>
  </si>
  <si>
    <t>C0192</t>
  </si>
  <si>
    <t>Ajay Pillai</t>
  </si>
  <si>
    <t>T00192</t>
  </si>
  <si>
    <t>S0192</t>
  </si>
  <si>
    <t>C0193</t>
  </si>
  <si>
    <t>Lakshmi Singh</t>
  </si>
  <si>
    <t>T00193</t>
  </si>
  <si>
    <t>S0193</t>
  </si>
  <si>
    <t>C0194</t>
  </si>
  <si>
    <t>T00194</t>
  </si>
  <si>
    <t>S0194</t>
  </si>
  <si>
    <t>C0195</t>
  </si>
  <si>
    <t>Lakshmi Joshi</t>
  </si>
  <si>
    <t>T00195</t>
  </si>
  <si>
    <t>S0195</t>
  </si>
  <si>
    <t>C0196</t>
  </si>
  <si>
    <t>Pranav Singh</t>
  </si>
  <si>
    <t>T00196</t>
  </si>
  <si>
    <t>S0196</t>
  </si>
  <si>
    <t>C0197</t>
  </si>
  <si>
    <t>Suresh Gupta</t>
  </si>
  <si>
    <t>T00197</t>
  </si>
  <si>
    <t>S0197</t>
  </si>
  <si>
    <t>C0198</t>
  </si>
  <si>
    <t>Ajay Mehta</t>
  </si>
  <si>
    <t>T00198</t>
  </si>
  <si>
    <t>S0198</t>
  </si>
  <si>
    <t>C0199</t>
  </si>
  <si>
    <t>Rahul Patel</t>
  </si>
  <si>
    <t>T00199</t>
  </si>
  <si>
    <t>S0199</t>
  </si>
  <si>
    <t>C0200</t>
  </si>
  <si>
    <t>Manoj Pillai</t>
  </si>
  <si>
    <t>T00200</t>
  </si>
  <si>
    <t>S0200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</si>
  <si>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</si>
  <si>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</si>
  <si>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</si>
  <si>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</si>
  <si>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</si>
  <si>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</si>
  <si>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</si>
  <si>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</si>
  <si>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</si>
  <si>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</si>
  <si>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</si>
  <si>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</si>
  <si>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</si>
  <si>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</si>
  <si>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</si>
  <si>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</si>
  <si>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</si>
  <si>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</si>
  <si>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</si>
  <si>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</si>
  <si>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</si>
  <si>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</si>
  <si>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</si>
  <si>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</si>
  <si>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</si>
  <si>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</si>
  <si>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</si>
  <si>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</si>
  <si>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</si>
  <si>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</si>
  <si>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</si>
  <si>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</si>
  <si>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</si>
  <si>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</si>
  <si>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</si>
  <si>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</si>
  <si>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</si>
  <si>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</si>
  <si>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</si>
  <si>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</si>
  <si>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</si>
  <si>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</si>
  <si>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</si>
  <si>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</si>
  <si>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</si>
  <si>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</si>
  <si>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</si>
  <si>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</si>
  <si>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</si>
  <si>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</si>
  <si>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</si>
  <si>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</si>
  <si>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</si>
  <si>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</si>
  <si>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</si>
  <si>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</si>
  <si>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</si>
  <si>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</si>
  <si>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</si>
  <si>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</si>
  <si>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</si>
  <si>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</si>
  <si>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</si>
  <si>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</si>
  <si>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</si>
  <si>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</si>
  <si>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</si>
  <si>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</si>
  <si>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</si>
  <si>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</si>
  <si>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</si>
  <si>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</si>
  <si>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</si>
  <si>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</si>
  <si>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</si>
  <si>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</si>
  <si>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</si>
  <si>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</si>
  <si>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</si>
  <si>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</si>
  <si>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</si>
  <si>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</si>
  <si>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</si>
  <si>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</si>
  <si>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</si>
  <si>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</si>
  <si>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</si>
  <si>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</si>
  <si>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</si>
  <si>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</si>
  <si>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</si>
  <si>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</si>
  <si>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</si>
  <si>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</si>
  <si>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</si>
  <si>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</si>
  <si>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</si>
  <si>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</si>
  <si>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</si>
  <si>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</si>
  <si>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</si>
  <si>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</si>
  <si>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</si>
  <si>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</si>
  <si>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</si>
  <si>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</si>
  <si>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</si>
  <si>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</si>
  <si>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</si>
  <si>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</si>
  <si>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</si>
  <si>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</si>
  <si>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</si>
  <si>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</si>
  <si>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</si>
  <si>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</si>
  <si>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</si>
  <si>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</si>
  <si>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</si>
  <si>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</si>
  <si>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</si>
  <si>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</si>
  <si>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</si>
  <si>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</si>
  <si>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</si>
  <si>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</si>
  <si>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</si>
  <si>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</si>
  <si>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</si>
  <si>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</si>
  <si>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</si>
  <si>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</si>
  <si>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</si>
  <si>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</si>
  <si>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</si>
  <si>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</si>
  <si>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</si>
  <si>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</si>
  <si>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</si>
  <si>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</si>
  <si>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</si>
  <si>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</si>
  <si>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</si>
  <si>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</si>
  <si>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</si>
  <si>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</si>
  <si>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</si>
  <si>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</si>
  <si>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</si>
  <si>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</si>
  <si>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</si>
  <si>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</si>
  <si>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</si>
  <si>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</si>
  <si>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</si>
  <si>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</si>
  <si>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</si>
  <si>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</si>
  <si>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</si>
  <si>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</si>
  <si>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</si>
  <si>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</si>
  <si>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</si>
  <si>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</si>
  <si>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</si>
  <si>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</si>
  <si>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</si>
  <si>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</si>
  <si>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</si>
  <si>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</si>
  <si>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</si>
  <si>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</si>
  <si>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</si>
  <si>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</si>
  <si>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</si>
  <si>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</si>
  <si>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</si>
  <si>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</si>
  <si>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</si>
  <si>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</si>
  <si>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</si>
  <si>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</si>
  <si>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</si>
  <si>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</si>
  <si>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</si>
  <si>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</si>
  <si>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</si>
  <si>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</si>
  <si>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</si>
  <si>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</si>
  <si>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</si>
  <si>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</si>
  <si>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</si>
  <si>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</si>
  <si>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</si>
  <si>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</si>
  <si>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</si>
  <si>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</si>
  <si>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</si>
  <si>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</si>
  <si>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</si>
  <si>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</si>
  <si>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</si>
  <si>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</si>
  <si>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</si>
  <si>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</si>
  <si>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</si>
  <si>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</si>
  <si>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</si>
  <si>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</si>
  <si>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</si>
  <si>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</si>
  <si>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</si>
  <si>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</si>
  <si>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</si>
  <si>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</si>
  <si>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</si>
  <si>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</si>
  <si>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</si>
  <si>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</si>
  <si>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</si>
  <si>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</si>
  <si>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</si>
  <si>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</si>
  <si>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</si>
  <si>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</si>
  <si>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</si>
  <si>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</si>
  <si>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</si>
  <si>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</si>
  <si>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</si>
  <si>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</si>
  <si>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</si>
  <si>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</si>
  <si>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</si>
  <si>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</si>
  <si>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</si>
  <si>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</si>
  <si>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</si>
  <si>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</si>
  <si>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</si>
  <si>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</si>
  <si>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</si>
  <si>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</si>
  <si>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</si>
  <si>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</si>
  <si>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</si>
  <si>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</si>
  <si>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</si>
  <si>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</si>
  <si>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</si>
  <si>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</si>
  <si>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</si>
  <si>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</si>
  <si>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</si>
  <si>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</si>
  <si>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</si>
  <si>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</si>
  <si>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</si>
  <si>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</si>
  <si>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</si>
  <si>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</si>
  <si>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</si>
  <si>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</si>
  <si>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</si>
  <si>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</si>
  <si>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</si>
  <si>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</si>
  <si>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</si>
  <si>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</si>
  <si>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</si>
  <si>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</si>
  <si>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</si>
  <si>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</si>
  <si>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</si>
  <si>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</si>
  <si>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</si>
  <si>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</si>
  <si>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</si>
  <si>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</si>
  <si>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</si>
  <si>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</si>
  <si>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</si>
  <si>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</si>
  <si>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</si>
  <si>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</si>
  <si>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</si>
  <si>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</si>
  <si>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</si>
  <si>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</si>
  <si>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</si>
  <si>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</si>
  <si>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</si>
  <si>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</si>
  <si>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T00496</t>
  </si>
  <si>
    <t>T00497</t>
  </si>
  <si>
    <t>T00498</t>
  </si>
  <si>
    <t>T00499</t>
  </si>
  <si>
    <t>T00500</t>
  </si>
  <si>
    <t>T00501</t>
  </si>
  <si>
    <t>T00502</t>
  </si>
  <si>
    <t>T00503</t>
  </si>
  <si>
    <t>Fashion</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</si>
  <si>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</si>
  <si>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</si>
  <si>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</si>
  <si>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</si>
  <si>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</si>
  <si>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</si>
  <si>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</si>
  <si>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</si>
  <si>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</si>
  <si>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</si>
  <si>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</si>
  <si>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</si>
  <si>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</si>
  <si>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</si>
  <si>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</si>
  <si>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</si>
  <si>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</si>
  <si>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</si>
  <si>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</si>
  <si>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</si>
  <si>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</si>
  <si>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</si>
  <si>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</si>
  <si>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</si>
  <si>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</si>
  <si>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</si>
  <si>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</si>
  <si>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</si>
  <si>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</si>
  <si>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</si>
  <si>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</si>
  <si>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</si>
  <si>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</si>
  <si>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</si>
  <si>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</si>
  <si>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</si>
  <si>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</si>
  <si>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</si>
  <si>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</si>
  <si>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</si>
  <si>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</si>
  <si>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</si>
  <si>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</si>
  <si>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</si>
  <si>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</si>
  <si>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</si>
  <si>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</si>
  <si>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</si>
  <si>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</si>
  <si>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</si>
  <si>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</si>
  <si>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</si>
  <si>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</si>
  <si>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</si>
  <si>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</si>
  <si>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</si>
  <si>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</si>
  <si>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</si>
  <si>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</si>
  <si>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</si>
  <si>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</si>
  <si>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</si>
  <si>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</si>
  <si>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</si>
  <si>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</si>
  <si>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</si>
  <si>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</si>
  <si>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</si>
  <si>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</si>
  <si>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</si>
  <si>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</si>
  <si>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</si>
  <si>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</si>
  <si>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</si>
  <si>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</si>
  <si>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</si>
  <si>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</si>
  <si>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</si>
  <si>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</si>
  <si>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</si>
  <si>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</si>
  <si>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</si>
  <si>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</si>
  <si>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</si>
  <si>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</si>
  <si>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</si>
  <si>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</si>
  <si>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</si>
  <si>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</si>
  <si>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</si>
  <si>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</si>
  <si>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</si>
  <si>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</si>
  <si>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</si>
  <si>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</si>
  <si>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</si>
  <si>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</si>
  <si>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</si>
  <si>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</si>
  <si>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</si>
  <si>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</si>
  <si>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</si>
  <si>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</si>
  <si>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</si>
  <si>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</si>
  <si>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</si>
  <si>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</si>
  <si>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</si>
  <si>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</si>
  <si>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</si>
  <si>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</si>
  <si>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</si>
  <si>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</si>
  <si>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</si>
  <si>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</si>
  <si>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</si>
  <si>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</si>
  <si>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</si>
  <si>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</si>
  <si>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</si>
  <si>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</si>
  <si>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</si>
  <si>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</si>
  <si>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</si>
  <si>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</si>
  <si>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</si>
  <si>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</si>
  <si>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</si>
  <si>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</si>
  <si>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</si>
  <si>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</si>
  <si>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</si>
  <si>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</si>
  <si>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</si>
  <si>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</si>
  <si>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</si>
  <si>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</si>
  <si>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</si>
  <si>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</si>
  <si>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</si>
  <si>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</si>
  <si>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</si>
  <si>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</si>
  <si>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</si>
  <si>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</si>
  <si>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</si>
  <si>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</si>
  <si>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</si>
  <si>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</si>
  <si>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</si>
  <si>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</si>
  <si>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</si>
  <si>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</si>
  <si>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</si>
  <si>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</si>
  <si>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</si>
  <si>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</si>
  <si>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</si>
  <si>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</si>
  <si>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</si>
  <si>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</si>
  <si>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</si>
  <si>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</si>
  <si>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</si>
  <si>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</si>
  <si>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</si>
  <si>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</si>
  <si>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</si>
  <si>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</si>
  <si>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</si>
  <si>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</si>
  <si>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</si>
  <si>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</si>
  <si>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</si>
  <si>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</si>
  <si>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</si>
  <si>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</si>
  <si>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</si>
  <si>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</si>
  <si>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</si>
  <si>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</si>
  <si>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</si>
  <si>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</si>
  <si>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</si>
  <si>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</si>
  <si>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</si>
  <si>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</si>
  <si>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</si>
  <si>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</si>
  <si>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</si>
  <si>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</si>
  <si>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</si>
  <si>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</si>
  <si>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</si>
  <si>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</si>
  <si>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</si>
  <si>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</si>
  <si>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</si>
  <si>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</si>
  <si>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</si>
  <si>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</si>
  <si>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</si>
  <si>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</si>
  <si>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</si>
  <si>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</si>
  <si>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</si>
  <si>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</si>
  <si>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</si>
  <si>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</si>
  <si>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</si>
  <si>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</si>
  <si>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</si>
  <si>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</si>
  <si>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</si>
  <si>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</si>
  <si>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</si>
  <si>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</si>
  <si>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</si>
  <si>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</si>
  <si>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</si>
  <si>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</si>
  <si>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</si>
  <si>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</si>
  <si>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</si>
  <si>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</si>
  <si>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</si>
  <si>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</si>
  <si>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</si>
  <si>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</si>
  <si>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</si>
  <si>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</si>
  <si>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</si>
  <si>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</si>
  <si>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</si>
  <si>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</si>
  <si>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</si>
  <si>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</si>
  <si>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</si>
  <si>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</si>
  <si>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</si>
  <si>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</si>
  <si>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</si>
  <si>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</si>
  <si>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</si>
  <si>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</si>
  <si>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</si>
  <si>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</si>
  <si>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</si>
  <si>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</si>
  <si>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</si>
  <si>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</si>
  <si>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</si>
  <si>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</si>
  <si>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</si>
  <si>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</si>
  <si>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</si>
  <si>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</si>
  <si>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</si>
  <si>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</si>
  <si>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</si>
  <si>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</si>
  <si>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</si>
  <si>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</si>
  <si>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</si>
  <si>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</si>
  <si>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</si>
  <si>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</si>
  <si>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</si>
  <si>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</si>
  <si>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</si>
  <si>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</si>
  <si>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</si>
  <si>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</si>
  <si>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</si>
  <si>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</si>
  <si>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</si>
  <si>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</si>
  <si>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</si>
  <si>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</si>
  <si>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</si>
  <si>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</si>
  <si>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</si>
  <si>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</si>
  <si>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</si>
  <si>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</si>
  <si>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</si>
  <si>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</si>
  <si>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</si>
  <si>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</si>
  <si>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</si>
  <si>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</si>
  <si>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</si>
  <si>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</si>
  <si>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</si>
  <si>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</si>
  <si>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</si>
  <si>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</si>
  <si>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</si>
  <si>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</si>
  <si>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</si>
  <si>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</si>
  <si>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</si>
  <si>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</si>
  <si>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</si>
  <si>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</si>
  <si>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</si>
  <si>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</si>
  <si>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</si>
  <si>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</si>
  <si>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</si>
  <si>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</si>
  <si>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</si>
  <si>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</si>
  <si>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</si>
  <si>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</si>
  <si>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</si>
  <si>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</si>
  <si>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</si>
  <si>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</si>
  <si>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</si>
  <si>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</si>
  <si>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</si>
  <si>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</si>
  <si>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</si>
  <si>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</si>
  <si>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</si>
  <si>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</si>
  <si>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</si>
  <si>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</si>
  <si>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</si>
  <si>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</si>
  <si>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</si>
  <si>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</si>
  <si>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</si>
  <si>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</si>
  <si>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</si>
  <si>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</si>
  <si>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</si>
  <si>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</si>
  <si>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</si>
  <si>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</si>
  <si>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</si>
  <si>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</si>
  <si>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</si>
  <si>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</si>
  <si>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</si>
  <si>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</si>
  <si>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</si>
  <si>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</si>
  <si>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</si>
  <si>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</si>
  <si>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</si>
  <si>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</si>
  <si>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</si>
  <si>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</si>
  <si>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</si>
  <si>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</si>
  <si>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</si>
  <si>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</si>
  <si>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</si>
  <si>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</si>
  <si>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</si>
  <si>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</si>
  <si>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</si>
  <si>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</si>
  <si>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</si>
  <si>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</si>
  <si>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</si>
  <si>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</si>
  <si>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</si>
  <si>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</si>
  <si>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</si>
  <si>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</si>
  <si>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</si>
  <si>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</si>
  <si>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</si>
  <si>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</si>
  <si>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</si>
  <si>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</si>
  <si>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</si>
  <si>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</si>
  <si>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</si>
  <si>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</si>
  <si>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</si>
  <si>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</si>
  <si>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</si>
  <si>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</si>
  <si>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</si>
  <si>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</si>
  <si>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</si>
  <si>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</si>
  <si>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</si>
  <si>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</si>
  <si>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</si>
  <si>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</si>
  <si>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</si>
  <si>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</si>
  <si>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</si>
  <si>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</si>
  <si>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</si>
  <si>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</si>
  <si>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</si>
  <si>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</si>
  <si>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</si>
  <si>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</si>
  <si>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</si>
  <si>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</si>
  <si>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</si>
  <si>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</si>
  <si>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</si>
  <si>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</si>
  <si>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</si>
  <si>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</si>
  <si>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</si>
  <si>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</si>
  <si>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</si>
  <si>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</si>
  <si>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</si>
  <si>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</si>
  <si>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</si>
  <si>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</si>
  <si>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</si>
  <si>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</si>
  <si>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</si>
  <si>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</si>
  <si>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</si>
  <si>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</si>
  <si>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</si>
  <si>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</si>
  <si>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</si>
  <si>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</si>
  <si>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</si>
  <si>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</si>
  <si>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</si>
  <si>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</si>
  <si>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</si>
  <si>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</si>
  <si>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</si>
  <si>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</si>
  <si>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</si>
  <si>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</si>
  <si>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</si>
  <si>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</si>
  <si>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</si>
  <si>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</si>
  <si>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</si>
  <si>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</si>
  <si>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</si>
  <si>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</si>
  <si>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</si>
  <si>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</si>
  <si>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</si>
  <si>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</si>
  <si>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</si>
  <si>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</si>
  <si>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</si>
  <si>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</si>
  <si>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</si>
  <si>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</si>
  <si>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</si>
  <si>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</si>
  <si>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</si>
  <si>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</si>
  <si>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</si>
  <si>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</si>
  <si>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</si>
  <si>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</si>
  <si>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</si>
  <si>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</si>
  <si>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</si>
  <si>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</si>
  <si>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</si>
  <si>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</si>
  <si>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</si>
  <si>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</si>
  <si>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</si>
  <si>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</si>
  <si>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</si>
  <si>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</si>
  <si>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</si>
  <si>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</si>
  <si>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</si>
  <si>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</si>
  <si>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</si>
  <si>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</si>
  <si>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</si>
  <si>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</si>
  <si>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</si>
  <si>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</si>
  <si>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</si>
  <si>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</si>
  <si>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</si>
  <si>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</si>
  <si>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</si>
  <si>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</si>
  <si>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</si>
  <si>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</si>
  <si>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</si>
  <si>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</si>
  <si>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</si>
  <si>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</si>
  <si>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</si>
  <si>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</si>
  <si>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</si>
  <si>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</si>
  <si>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</si>
  <si>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</si>
  <si>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</si>
  <si>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</si>
  <si>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</si>
  <si>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</si>
  <si>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</si>
  <si>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</si>
  <si>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</si>
  <si>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</si>
  <si>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</si>
  <si>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</si>
  <si>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</si>
  <si>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</si>
  <si>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</si>
  <si>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</si>
  <si>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</si>
  <si>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</si>
  <si>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</si>
  <si>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</si>
  <si>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</si>
  <si>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</si>
  <si>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</si>
  <si>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</si>
  <si>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</si>
  <si>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</si>
  <si>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</si>
  <si>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</si>
  <si>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</si>
  <si>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</si>
  <si>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</si>
  <si>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</si>
  <si>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</si>
  <si>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</si>
  <si>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</si>
  <si>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</si>
  <si>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</si>
  <si>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 tblClean — Cleaned Customer Data with Derived Columns (Formula-Driven from tblCustomers)</t>
  </si>
  <si>
    <t>Name (Cleaned)</t>
  </si>
  <si>
    <t>City/Region (Cleaned)</t>
  </si>
  <si>
    <t>Occupation (Cleaned)</t>
  </si>
  <si>
    <t>AgeGroup</t>
  </si>
  <si>
    <t>IncomeBracket</t>
  </si>
  <si>
    <t>DayOfJoin</t>
  </si>
  <si>
    <t>IsWeekend_Join</t>
  </si>
  <si>
    <t>MonthsAsCustomer</t>
  </si>
  <si>
    <t>DataFlag</t>
  </si>
  <si>
    <t>🔍 tblRFM — RFM Analysis + Survey Merge + Segment Assignment (Formula-Driven)</t>
  </si>
  <si>
    <t>RFM_Recency</t>
  </si>
  <si>
    <t>RFM_Frequency</t>
  </si>
  <si>
    <t>RFM_Monetary</t>
  </si>
  <si>
    <t>R_Score</t>
  </si>
  <si>
    <t>F_Score</t>
  </si>
  <si>
    <t>M_Score</t>
  </si>
  <si>
    <t>RFM_Score</t>
  </si>
  <si>
    <t>SatisfactionIndex</t>
  </si>
  <si>
    <t>EngagementFlag</t>
  </si>
  <si>
    <t>ValueFlag</t>
  </si>
  <si>
    <t>CustomerSegment</t>
  </si>
  <si>
    <t>ProductPreference</t>
  </si>
  <si>
    <t>📊 MARKET RESEARCH &amp; CUSTOMER SEGMENTATION — KPI SUMMARY | FY 2025–26</t>
  </si>
  <si>
    <t>📊 Overview</t>
  </si>
  <si>
    <t>Date Range</t>
  </si>
  <si>
    <t>Financial Year</t>
  </si>
  <si>
    <t>FY 2025–26</t>
  </si>
  <si>
    <t>Product Categories</t>
  </si>
  <si>
    <t>Cities / Regions</t>
  </si>
  <si>
    <t>💰 Revenue KPIs</t>
  </si>
  <si>
    <t>Total Revenue (INR)</t>
  </si>
  <si>
    <t>Average Order Value (AOV)</t>
  </si>
  <si>
    <t>Online Revenue (INR)</t>
  </si>
  <si>
    <t>Offline Revenue (INR)</t>
  </si>
  <si>
    <t>Offline Revenue %</t>
  </si>
  <si>
    <t>Highest Single Transaction (INR)</t>
  </si>
  <si>
    <t>Median Order Value (INR)</t>
  </si>
  <si>
    <t>👥 Customer KPIs</t>
  </si>
  <si>
    <t>Active Customers (Last Purchase ≤90 days)</t>
  </si>
  <si>
    <t>Returning / Repeat Customers</t>
  </si>
  <si>
    <t>High Value %</t>
  </si>
  <si>
    <t>Loyal %</t>
  </si>
  <si>
    <t>Avg Purchase Frequency (transactions/customer)</t>
  </si>
  <si>
    <t>Customer Retention Indicator (Active+Returning/2)</t>
  </si>
  <si>
    <t>⚠️ Risk Summary</t>
  </si>
  <si>
    <t>At-Risk %</t>
  </si>
  <si>
    <t>Low Engagement Count</t>
  </si>
  <si>
    <t>Low Engagement %</t>
  </si>
  <si>
    <t>Bargain Seekers</t>
  </si>
  <si>
    <t>🔍 Satisfaction KPIs</t>
  </si>
  <si>
    <t>Avg Satisfaction Score (1-5)</t>
  </si>
  <si>
    <t>Avg Recommendation Likelihood (1-10)</t>
  </si>
  <si>
    <t>Avg Satisfaction Index</t>
  </si>
  <si>
    <t>High Satisfaction (≥4) Count</t>
  </si>
  <si>
    <t>📋 Segment-wise Summary</t>
  </si>
  <si>
    <t>Customer Count</t>
  </si>
  <si>
    <t>Avg Spend/Customer</t>
  </si>
  <si>
    <t>🗺️ Region-wise Revenue Summary</t>
  </si>
  <si>
    <t>At-Risk Count</t>
  </si>
  <si>
    <t>📊 tblFinal — Flat Pivot-Ready Dataset (Fully Formula-Driven | Zero Restructuring Required for Pivots)</t>
  </si>
  <si>
    <t>📋 Summary Analysis Tables (Formula-Driven)</t>
  </si>
  <si>
    <t>TotalTransactions</t>
  </si>
  <si>
    <t>Table A — Segment-wise Summary</t>
  </si>
  <si>
    <t>Count</t>
  </si>
  <si>
    <t>Avg Monetary</t>
  </si>
  <si>
    <t>HV Count</t>
  </si>
  <si>
    <t>📌 tblSegments — Segment Criteria &amp; Definitions</t>
  </si>
  <si>
    <t>📅 tblCalendar — FY 2025-26 Date Reference</t>
  </si>
  <si>
    <t>📅 Report As-Of Date</t>
  </si>
  <si>
    <t>SegmentName</t>
  </si>
  <si>
    <t>CriteriaDescription</t>
  </si>
  <si>
    <t>Color Code</t>
  </si>
  <si>
    <t>Year</t>
  </si>
  <si>
    <t>Month</t>
  </si>
  <si>
    <t>MonthName</t>
  </si>
  <si>
    <t>Weekday</t>
  </si>
  <si>
    <t>IsWeekend</t>
  </si>
  <si>
    <t>FY_Quarter</t>
  </si>
  <si>
    <t>Report Date:</t>
  </si>
  <si>
    <t>RFM_Score = '555' OR SatisfactionIndex ≥ 4.5</t>
  </si>
  <si>
    <t>#4472C4</t>
  </si>
  <si>
    <t>April</t>
  </si>
  <si>
    <t>Tuesday</t>
  </si>
  <si>
    <t>Q1</t>
  </si>
  <si>
    <t>RFM_Monetary ≥ ₹50,000 AND not already Loyal</t>
  </si>
  <si>
    <t>#70AD47</t>
  </si>
  <si>
    <t>Wednesday</t>
  </si>
  <si>
    <t>RFM_Recency &gt; 90 days AND RFM_Frequency &lt; 3</t>
  </si>
  <si>
    <t>#FF6B6B</t>
  </si>
  <si>
    <t>Thursday</t>
  </si>
  <si>
    <t>Monetary &lt; ₹5,000 AND Frequency ≥ 5</t>
  </si>
  <si>
    <t>#FFC000</t>
  </si>
  <si>
    <t>Friday</t>
  </si>
  <si>
    <t>All other customers not in above segments</t>
  </si>
  <si>
    <t>#A9A9A9</t>
  </si>
  <si>
    <t>Saturday</t>
  </si>
  <si>
    <t>Sunday</t>
  </si>
  <si>
    <t>Monday</t>
  </si>
  <si>
    <t>May</t>
  </si>
  <si>
    <t>June</t>
  </si>
  <si>
    <t>July</t>
  </si>
  <si>
    <t>Q2</t>
  </si>
  <si>
    <t>August</t>
  </si>
  <si>
    <t>September</t>
  </si>
  <si>
    <t>October</t>
  </si>
  <si>
    <t>Q3</t>
  </si>
  <si>
    <t>November</t>
  </si>
  <si>
    <t>December</t>
  </si>
  <si>
    <t>January</t>
  </si>
  <si>
    <t>Q4</t>
  </si>
  <si>
    <t>February</t>
  </si>
  <si>
    <t>March</t>
  </si>
  <si>
    <t>📐 FORMULA REFERENCE GUIDE — Market Research &amp; Customer Segmentation Tool</t>
  </si>
  <si>
    <t>Formula / KPI</t>
  </si>
  <si>
    <t>Business Purpose</t>
  </si>
  <si>
    <t>Excel Formula Used</t>
  </si>
  <si>
    <t>Expected Output / Range</t>
  </si>
  <si>
    <t>Count all unique customers</t>
  </si>
  <si>
    <t>Integer ≥ 1</t>
  </si>
  <si>
    <t>Sum all transaction amounts</t>
  </si>
  <si>
    <t>INR value</t>
  </si>
  <si>
    <t>Average Order Value</t>
  </si>
  <si>
    <t>Mean transaction value</t>
  </si>
  <si>
    <t>RFM Recency</t>
  </si>
  <si>
    <t>Days since last purchase</t>
  </si>
  <si>
    <t>TODAY() - MAXIFS(tblTransactions[Date], tblTransactions[CustomerID], [@CustomerID])</t>
  </si>
  <si>
    <t>Integer (days)</t>
  </si>
  <si>
    <t>RFM Frequency</t>
  </si>
  <si>
    <t>Number of transactions</t>
  </si>
  <si>
    <t>COUNTIFS(tblTransactions[CustomerID], [@CustomerID])</t>
  </si>
  <si>
    <t>RFM Monetary</t>
  </si>
  <si>
    <t>Total spend per customer</t>
  </si>
  <si>
    <t>SUMIFS(tblTransactions[Amount (INR)], tblTransactions[CustomerID], [@CustomerID])</t>
  </si>
  <si>
    <t>RFM Score</t>
  </si>
  <si>
    <t>Concatenated R+F+M scores</t>
  </si>
  <si>
    <t>TEXT(R_Score,"0") &amp; TEXT(F_Score,"0") &amp; TEXT(M_Score,"0")  →  e.g. "555"</t>
  </si>
  <si>
    <t>3-digit string e.g. "555"</t>
  </si>
  <si>
    <t>Segment Assignment</t>
  </si>
  <si>
    <t>IFS-based segment label</t>
  </si>
  <si>
    <t>IFS(RFM_Score="555","Loyal", AND(Recency&gt;90,Freq&lt;3),"At Risk", Monetary&gt;=50000,"High Value", TRUE,"General")</t>
  </si>
  <si>
    <t>Text label</t>
  </si>
  <si>
    <t>Satisfaction Index</t>
  </si>
  <si>
    <t>Blended satisfaction score</t>
  </si>
  <si>
    <t>AVERAGE( Satisfaction, RecommendationLikelihood / 2 )</t>
  </si>
  <si>
    <t>1.0–5.0</t>
  </si>
  <si>
    <t>Returning customers ratio</t>
  </si>
  <si>
    <t>COUNTIFS(CustomerType,"Returning") / COUNTA(CustomerID)</t>
  </si>
  <si>
    <t>0%–100%</t>
  </si>
  <si>
    <t>At-risk customers ratio</t>
  </si>
  <si>
    <t>COUNTIFS(CustomerSegment,"At Risk") / COUNTA(CustomerID)</t>
  </si>
  <si>
    <t>Customer age classification</t>
  </si>
  <si>
    <t>IF(Age&lt;25,"&lt;25", IF(Age&lt;40,"25-39", IF(Age&lt;55,"40-54","55+")))</t>
  </si>
  <si>
    <t>Text group</t>
  </si>
  <si>
    <t>Income tier classification</t>
  </si>
  <si>
    <t>IF(IncomeRange&lt;25000,"Low", IF(IncomeRange&lt;75000,"Mid","High"))</t>
  </si>
  <si>
    <t>Low/Mid/High</t>
  </si>
  <si>
    <t>Tenure in months</t>
  </si>
  <si>
    <t>DATEDIF(JoinDate, TODAY(), "M")</t>
  </si>
  <si>
    <t>Integer months</t>
  </si>
  <si>
    <t>XLOOKUP usage</t>
  </si>
  <si>
    <t>Merge survey to RFM table</t>
  </si>
  <si>
    <t>XLOOKUP(CustomerID, tblSurvey[CustomerID], tblSurvey[Satisfaction])</t>
  </si>
  <si>
    <t>Match value</t>
  </si>
  <si>
    <t>TRIM + PROPER</t>
  </si>
  <si>
    <t>Clean text fields</t>
  </si>
  <si>
    <t>PROPER(TRIM(RawTextField))</t>
  </si>
  <si>
    <t>Clean text</t>
  </si>
  <si>
    <t>IFERROR wrapper</t>
  </si>
  <si>
    <t>Suppress formula errors</t>
  </si>
  <si>
    <t>IFERROR( formula_expression, fallback_value )</t>
  </si>
  <si>
    <t>Safe output</t>
  </si>
  <si>
    <t>Segment Revenue</t>
  </si>
  <si>
    <t>Revenue per segment</t>
  </si>
  <si>
    <t>SUMIFS(tblTransactions[Amount (INR)], tblTransactions[CustomerID], tblFinal[CustomerID], tblFinal[CustomerSegment], "Loyal")</t>
  </si>
  <si>
    <t>—</t>
  </si>
  <si>
    <t>Row Labels</t>
  </si>
  <si>
    <t>Grand Total</t>
  </si>
  <si>
    <t>Count of CustomerID</t>
  </si>
  <si>
    <t>Sum of RFM_Monetary</t>
  </si>
  <si>
    <t>&lt;25</t>
  </si>
  <si>
    <t>25-39</t>
  </si>
  <si>
    <t>40-54</t>
  </si>
  <si>
    <t>55+</t>
  </si>
  <si>
    <t>Monthly Revenue Trend</t>
  </si>
  <si>
    <t>📊 Pivot 1 — Customers by Segment  |  Source: tblFinal  |  Rows: CustomerSegment  |  Values: Count of CustomerID</t>
  </si>
  <si>
    <t>💰 Pivot 2 — Revenue by Segment  |  Source: tblFinal  |  Rows: CustomerSegment  |  Values: Sum of RFM_Monetary (INR)</t>
  </si>
  <si>
    <t>🍩 Pivot 3 — Customer Distribution by Age Group  |  Source: tblFinal  |  Rows: AgeGroup  |  Values: Count of CustomerID</t>
  </si>
  <si>
    <t>TxnMonth</t>
  </si>
  <si>
    <t>Sum of Amount (INR)</t>
  </si>
  <si>
    <t>📈 Pivot 4 — Monthly Revenue Trend  |  Source: tblTransactions  |  Rows: TxnMonth  |  Values: Sum of Amount (INR)</t>
  </si>
  <si>
    <t>2026-03</t>
  </si>
  <si>
    <t>2026-01</t>
  </si>
  <si>
    <t>2025-10</t>
  </si>
  <si>
    <t>2026-02</t>
  </si>
  <si>
    <t>2025-12</t>
  </si>
  <si>
    <t>2025-08</t>
  </si>
  <si>
    <t>2025-06</t>
  </si>
  <si>
    <t>2025-04</t>
  </si>
  <si>
    <t>2025-11</t>
  </si>
  <si>
    <t>2025-07</t>
  </si>
  <si>
    <t>2025-05</t>
  </si>
  <si>
    <t>2025-09</t>
  </si>
  <si>
    <t>📈 Pivot 5 — Analysis by Region  |  Source: tblTransactions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</si>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</sst>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0"/>
    <numFmt numFmtId="167" formatCode="dd\-mmm\-yyyy"/>
  </numFmts>
  <fonts count="21" x14ac:knownFonts="1">
    <font>
      <sz val="11"/>
      <color theme="1"/>
      <name val="Calibri"/>
      <family val="2"/>
      <charset val="1"/>
    </font>
    <font>
      <b/>
      <sz val="15"/>
      <color rgb="FFFFFFFF"/>
      <name val="Arial"/>
      <family val="2"/>
    </font>
    <font>
      <b/>
      <sz val="8"/>
      <color rgb="FFFFFFFF"/>
      <name val="Arial"/>
      <family val="2"/>
    </font>
    <font>
      <b/>
      <sz val="20"/>
      <color rgb="FFFFFFFF"/>
      <name val="Arial"/>
      <family val="2"/>
    </font>
    <font>
      <b/>
      <sz val="10"/>
      <color rgb="FFFFFFFF"/>
      <name val="Arial"/>
      <family val="2"/>
    </font>
    <font>
      <b/>
      <sz val="11"/>
      <color rgb="FF2E75B6"/>
      <name val="Arial"/>
      <family val="2"/>
    </font>
    <font>
      <b/>
      <sz val="11"/>
      <color rgb="FF1F3864"/>
      <name val="Arial"/>
      <family val="2"/>
    </font>
    <font>
      <b/>
      <sz val="9"/>
      <color rgb="FFFFFFFF"/>
      <name val="Arial"/>
      <family val="2"/>
    </font>
    <font>
      <sz val="10"/>
      <color rgb="FF404040"/>
      <name val="Arial"/>
      <family val="2"/>
    </font>
    <font>
      <b/>
      <sz val="10"/>
      <color rgb="FF1F3864"/>
      <name val="Arial"/>
      <family val="2"/>
    </font>
    <font>
      <b/>
      <sz val="10"/>
      <color rgb="FF404040"/>
      <name val="Arial"/>
      <family val="2"/>
    </font>
    <font>
      <sz val="8"/>
      <color rgb="FF666666"/>
      <name val="Arial"/>
      <family val="2"/>
    </font>
    <font>
      <i/>
      <sz val="9"/>
      <color rgb="FF1F3864"/>
      <name val="Arial"/>
      <family val="2"/>
    </font>
    <font>
      <b/>
      <sz val="12"/>
      <color rgb="FFFFFFFF"/>
      <name val="Arial"/>
      <family val="2"/>
    </font>
    <font>
      <b/>
      <sz val="13"/>
      <color rgb="FFFFFFFF"/>
      <name val="Arial"/>
      <family val="2"/>
    </font>
    <font>
      <b/>
      <sz val="11"/>
      <color rgb="FFFFFFFF"/>
      <name val="Arial"/>
      <family val="2"/>
    </font>
    <font>
      <b/>
      <sz val="11"/>
      <name val="Cambria"/>
      <family val="1"/>
    </font>
    <font>
      <b/>
      <i/>
      <sz val="8"/>
      <color rgb="FF7F6000"/>
      <name val="Arial"/>
      <family val="2"/>
    </font>
    <font>
      <sz val="11"/>
      <color rgb="FF999999"/>
      <name val="Calibri"/>
      <family val="2"/>
      <charset val="1"/>
    </font>
    <font>
      <b/>
      <sz val="11"/>
      <color theme="1"/>
      <name val="Calibri"/>
      <family val="2"/>
      <charset val="1"/>
    </font>
    <font>
      <b/>
      <sz val="10"/>
      <color rgb="FFFFFFFF"/>
      <name val="Calibri"/>
      <family val="2"/>
      <charset val="1"/>
    </font>
  </fonts>
  <fills count="33">
    <fill>
      <patternFill patternType="none"/>
    </fill>
    <fill>
      <patternFill patternType="gray125"/>
    </fill>
    <fill>
      <patternFill patternType="solid">
        <fgColor rgb="FF1F3864"/>
        <bgColor rgb="FF2C3E50"/>
      </patternFill>
    </fill>
    <fill>
      <patternFill patternType="solid">
        <fgColor rgb="FF1F4E79"/>
        <bgColor rgb="FF1A4971"/>
      </patternFill>
    </fill>
    <fill>
      <patternFill patternType="solid">
        <fgColor rgb="FF375623"/>
        <bgColor rgb="FF1B5E20"/>
      </patternFill>
    </fill>
    <fill>
      <patternFill patternType="solid">
        <fgColor rgb="FF7B2D00"/>
        <bgColor rgb="FF7E5109"/>
      </patternFill>
    </fill>
    <fill>
      <patternFill patternType="solid">
        <fgColor rgb="FF4B2D8A"/>
        <bgColor rgb="FF4A235A"/>
      </patternFill>
    </fill>
    <fill>
      <patternFill patternType="solid">
        <fgColor rgb="FF1A4971"/>
        <bgColor rgb="FF1F4E79"/>
      </patternFill>
    </fill>
    <fill>
      <patternFill patternType="solid">
        <fgColor rgb="FF2E75B6"/>
        <bgColor rgb="FF4472C4"/>
      </patternFill>
    </fill>
    <fill>
      <patternFill patternType="solid">
        <fgColor rgb="FF2F5597"/>
        <bgColor rgb="FF1F4E79"/>
      </patternFill>
    </fill>
    <fill>
      <patternFill patternType="solid">
        <fgColor rgb="FF548235"/>
        <bgColor rgb="FF666666"/>
      </patternFill>
    </fill>
    <fill>
      <patternFill patternType="solid">
        <fgColor rgb="FFC55A11"/>
        <bgColor rgb="FF7E5109"/>
      </patternFill>
    </fill>
    <fill>
      <patternFill patternType="solid">
        <fgColor rgb="FF7030A0"/>
        <bgColor rgb="FF4B2D8A"/>
      </patternFill>
    </fill>
    <fill>
      <patternFill patternType="solid">
        <fgColor rgb="FFEBF5FB"/>
        <bgColor rgb="FFEAFAF1"/>
      </patternFill>
    </fill>
    <fill>
      <patternFill patternType="solid">
        <fgColor rgb="FFFEF9E7"/>
        <bgColor rgb="FFFFFFFF"/>
      </patternFill>
    </fill>
    <fill>
      <patternFill patternType="solid">
        <fgColor rgb="FFEAFAF1"/>
        <bgColor rgb="FFE8F5E9"/>
      </patternFill>
    </fill>
    <fill>
      <patternFill patternType="solid">
        <fgColor rgb="FFF4ECF7"/>
        <bgColor rgb="FFF2F2F2"/>
      </patternFill>
    </fill>
    <fill>
      <patternFill patternType="solid">
        <fgColor rgb="FFFDEBD0"/>
        <bgColor rgb="FFFEF9E7"/>
      </patternFill>
    </fill>
    <fill>
      <patternFill patternType="solid">
        <fgColor rgb="FF4472C4"/>
        <bgColor rgb="FF2E75B6"/>
      </patternFill>
    </fill>
    <fill>
      <patternFill patternType="solid">
        <fgColor rgb="FFF2F2F2"/>
        <bgColor rgb="FFF4ECF7"/>
      </patternFill>
    </fill>
    <fill>
      <patternFill patternType="solid">
        <fgColor rgb="FFFFFFFF"/>
        <bgColor rgb="FFFEF9E7"/>
      </patternFill>
    </fill>
    <fill>
      <patternFill patternType="solid">
        <fgColor rgb="FFBDD7EE"/>
        <bgColor rgb="FFCCCCCC"/>
      </patternFill>
    </fill>
    <fill>
      <patternFill patternType="solid">
        <fgColor rgb="FF70AD47"/>
        <bgColor rgb="FF548235"/>
      </patternFill>
    </fill>
    <fill>
      <patternFill patternType="solid">
        <fgColor rgb="FFFF6B6B"/>
        <bgColor rgb="FFC55A11"/>
      </patternFill>
    </fill>
    <fill>
      <patternFill patternType="solid">
        <fgColor rgb="FFFFC000"/>
        <bgColor rgb="FFFF9900"/>
      </patternFill>
    </fill>
    <fill>
      <patternFill patternType="solid">
        <fgColor rgb="FF808080"/>
        <bgColor rgb="FF666666"/>
      </patternFill>
    </fill>
    <fill>
      <patternFill patternType="solid">
        <fgColor rgb="FFD6E4F7"/>
        <bgColor rgb="FFE8F5E9"/>
      </patternFill>
    </fill>
    <fill>
      <patternFill patternType="solid">
        <fgColor rgb="FF2E4057"/>
        <bgColor indexed="64"/>
      </patternFill>
    </fill>
    <fill>
      <patternFill patternType="solid">
        <fgColor rgb="FF1B6CA8"/>
        <bgColor indexed="64"/>
      </patternFill>
    </fill>
    <fill>
      <patternFill patternType="solid">
        <fgColor rgb="FF2E7D32"/>
        <bgColor indexed="64"/>
      </patternFill>
    </fill>
    <fill>
      <patternFill patternType="solid">
        <fgColor rgb="FFB05B15"/>
        <bgColor indexed="64"/>
      </patternFill>
    </fill>
    <fill>
      <patternFill patternType="solid">
        <fgColor rgb="FFFFFFFF"/>
        <bgColor indexed="64"/>
      </patternFill>
    </fill>
    <fill>
      <patternFill patternType="solid">
        <fgColor rgb="FFF2F2F2"/>
        <bgColor indexed="64"/>
      </patternFill>
    </fill>
  </fills>
  <borders count="8">
    <border>
      <left/>
      <right/>
      <top/>
      <bottom/>
      <diagonal/>
    </border>
    <border>
      <left style="medium">
        <color rgb="FF2E75B6"/>
      </left>
      <right style="medium">
        <color rgb="FF2E75B6"/>
      </right>
      <top style="medium">
        <color rgb="FF2E75B6"/>
      </top>
      <bottom style="medium">
        <color rgb="FF2E75B6"/>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
      <left style="thin">
        <color rgb="FFCCCCCC"/>
      </left>
      <right style="thin">
        <color rgb="FFCCCCCC"/>
      </right>
      <top style="thin">
        <color rgb="FFCCCCCC"/>
      </top>
      <bottom/>
      <diagonal/>
    </border>
    <border>
      <left/>
      <right/>
      <top/>
      <bottom style="thin">
        <color rgb="FFCCCCCC"/>
      </bottom>
      <diagonal/>
    </border>
  </borders>
  <cellStyleXfs count="1">
    <xf numFmtId="0" fontId="0" fillId="0" borderId="0"/>
  </cellStyleXfs>
  <cellXfs count="95">
    <xf numFmtId="0" fontId="0" fillId="0" borderId="0" xfId="0"/>
    <xf numFmtId="0" fontId="0" fillId="0" borderId="0" xfId="0" applyAlignment="1"/>
    <xf numFmtId="0" fontId="7" fillId="18" borderId="2" xfId="0" applyFont="1" applyFill="1" applyBorder="1" applyAlignment="1">
      <alignment horizontal="center" vertical="center" wrapText="1"/>
    </xf>
    <xf numFmtId="0" fontId="8" fillId="19" borderId="2" xfId="0" applyFont="1" applyFill="1" applyBorder="1" applyAlignment="1"/>
    <xf numFmtId="0" fontId="9" fillId="20" borderId="2" xfId="0" applyFont="1" applyFill="1" applyBorder="1" applyAlignment="1">
      <alignment horizontal="right" vertical="center"/>
    </xf>
    <xf numFmtId="3" fontId="9" fillId="20" borderId="2" xfId="0" applyNumberFormat="1" applyFont="1" applyFill="1" applyBorder="1" applyAlignment="1">
      <alignment horizontal="right" vertical="center"/>
    </xf>
    <xf numFmtId="164" fontId="9" fillId="20" borderId="2" xfId="0" applyNumberFormat="1" applyFont="1" applyFill="1" applyBorder="1" applyAlignment="1">
      <alignment horizontal="right" vertical="center"/>
    </xf>
    <xf numFmtId="2" fontId="9" fillId="20" borderId="2" xfId="0" applyNumberFormat="1" applyFont="1" applyFill="1" applyBorder="1" applyAlignment="1">
      <alignment horizontal="right" vertical="center"/>
    </xf>
    <xf numFmtId="0" fontId="7" fillId="8" borderId="2" xfId="0" applyFont="1" applyFill="1" applyBorder="1" applyAlignment="1">
      <alignment horizontal="center" vertical="center" wrapText="1"/>
    </xf>
    <xf numFmtId="0" fontId="7" fillId="22" borderId="2" xfId="0" applyFont="1" applyFill="1" applyBorder="1" applyAlignment="1">
      <alignment horizontal="center" vertical="center" wrapText="1"/>
    </xf>
    <xf numFmtId="0" fontId="7" fillId="23" borderId="2" xfId="0" applyFont="1" applyFill="1" applyBorder="1" applyAlignment="1">
      <alignment horizontal="center" vertical="center" wrapText="1"/>
    </xf>
    <xf numFmtId="0" fontId="7" fillId="24" borderId="2" xfId="0" applyFont="1" applyFill="1" applyBorder="1" applyAlignment="1">
      <alignment horizontal="center" vertical="center" wrapText="1"/>
    </xf>
    <xf numFmtId="0" fontId="7" fillId="25"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8" fillId="0" borderId="2" xfId="0" applyFont="1" applyBorder="1" applyAlignment="1">
      <alignment horizontal="left" vertical="center" wrapText="1"/>
    </xf>
    <xf numFmtId="165" fontId="8" fillId="0" borderId="2" xfId="0" applyNumberFormat="1" applyFont="1" applyBorder="1" applyAlignment="1">
      <alignment horizontal="left" vertical="center" wrapText="1"/>
    </xf>
    <xf numFmtId="0" fontId="8" fillId="20" borderId="2" xfId="0" applyFont="1" applyFill="1" applyBorder="1" applyAlignment="1">
      <alignment horizontal="left" vertical="center" wrapText="1"/>
    </xf>
    <xf numFmtId="165" fontId="8" fillId="20" borderId="2" xfId="0" applyNumberFormat="1" applyFont="1" applyFill="1" applyBorder="1" applyAlignment="1">
      <alignment horizontal="left" vertical="center" wrapText="1"/>
    </xf>
    <xf numFmtId="0" fontId="8" fillId="20" borderId="2" xfId="0" applyFont="1" applyFill="1" applyBorder="1" applyAlignment="1">
      <alignment horizontal="left" vertical="center" wrapText="1"/>
    </xf>
    <xf numFmtId="0" fontId="8" fillId="21" borderId="2" xfId="0" applyFont="1" applyFill="1" applyBorder="1" applyAlignment="1">
      <alignment horizontal="left" vertical="center" wrapText="1"/>
    </xf>
    <xf numFmtId="165" fontId="8" fillId="21" borderId="2" xfId="0" applyNumberFormat="1" applyFont="1" applyFill="1" applyBorder="1" applyAlignment="1">
      <alignment horizontal="left" vertical="center" wrapText="1"/>
    </xf>
    <xf numFmtId="0" fontId="8" fillId="21" borderId="2" xfId="0" applyFont="1" applyFill="1" applyBorder="1" applyAlignment="1">
      <alignment horizontal="left" vertical="center" wrapText="1"/>
    </xf>
    <xf numFmtId="3" fontId="8" fillId="20" borderId="2" xfId="0" applyNumberFormat="1" applyFont="1" applyFill="1" applyBorder="1" applyAlignment="1">
      <alignment horizontal="left" vertical="center" wrapText="1"/>
    </xf>
    <xf numFmtId="3" fontId="8" fillId="21" borderId="2" xfId="0" applyNumberFormat="1" applyFont="1" applyFill="1" applyBorder="1" applyAlignment="1">
      <alignment horizontal="left" vertical="center" wrapText="1"/>
    </xf>
    <xf numFmtId="166" fontId="9" fillId="20" borderId="2" xfId="0" applyNumberFormat="1" applyFont="1" applyFill="1" applyBorder="1" applyAlignment="1">
      <alignment horizontal="right" vertical="center"/>
    </xf>
    <xf numFmtId="0" fontId="4" fillId="18" borderId="2" xfId="0" applyFont="1" applyFill="1" applyBorder="1" applyAlignment="1">
      <alignment horizontal="center" vertical="center" wrapText="1"/>
    </xf>
    <xf numFmtId="0" fontId="8" fillId="20" borderId="2" xfId="0" applyFont="1" applyFill="1" applyBorder="1" applyAlignment="1"/>
    <xf numFmtId="3" fontId="8" fillId="20" borderId="2" xfId="0" applyNumberFormat="1" applyFont="1" applyFill="1" applyBorder="1" applyAlignment="1"/>
    <xf numFmtId="164" fontId="8" fillId="20" borderId="2" xfId="0" applyNumberFormat="1" applyFont="1" applyFill="1" applyBorder="1" applyAlignment="1"/>
    <xf numFmtId="3" fontId="8" fillId="19" borderId="2" xfId="0" applyNumberFormat="1" applyFont="1" applyFill="1" applyBorder="1" applyAlignment="1"/>
    <xf numFmtId="164" fontId="8" fillId="19" borderId="2" xfId="0" applyNumberFormat="1" applyFont="1" applyFill="1" applyBorder="1" applyAlignment="1"/>
    <xf numFmtId="0" fontId="16" fillId="0" borderId="0" xfId="0" applyFont="1" applyAlignment="1"/>
    <xf numFmtId="167" fontId="0" fillId="0" borderId="0" xfId="0" applyNumberFormat="1" applyAlignment="1"/>
    <xf numFmtId="0" fontId="8" fillId="19" borderId="2" xfId="0" applyFont="1" applyFill="1" applyBorder="1" applyAlignment="1">
      <alignment horizontal="left" vertical="center" wrapText="1"/>
    </xf>
    <xf numFmtId="165" fontId="8"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wrapText="1"/>
    </xf>
    <xf numFmtId="0" fontId="8" fillId="20" borderId="4" xfId="0" applyFont="1" applyFill="1" applyBorder="1" applyAlignment="1"/>
    <xf numFmtId="0" fontId="8" fillId="19" borderId="4" xfId="0" applyFont="1" applyFill="1" applyBorder="1" applyAlignment="1"/>
    <xf numFmtId="0" fontId="18"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9" fillId="0" borderId="0" xfId="0" applyFont="1" applyAlignment="1"/>
    <xf numFmtId="0" fontId="20" fillId="27" borderId="0" xfId="0" applyFont="1" applyFill="1" applyAlignment="1"/>
    <xf numFmtId="0" fontId="20" fillId="28" borderId="0" xfId="0" applyFont="1" applyFill="1" applyAlignment="1">
      <alignment horizontal="left"/>
    </xf>
    <xf numFmtId="0" fontId="20" fillId="29" borderId="0" xfId="0" applyFont="1" applyFill="1" applyAlignment="1">
      <alignment horizontal="left"/>
    </xf>
    <xf numFmtId="0" fontId="20" fillId="30" borderId="0" xfId="0" applyFont="1" applyFill="1" applyAlignment="1"/>
    <xf numFmtId="3" fontId="8" fillId="20" borderId="5" xfId="0" applyNumberFormat="1" applyFont="1" applyFill="1" applyBorder="1" applyAlignment="1"/>
    <xf numFmtId="3" fontId="8" fillId="19" borderId="5" xfId="0" applyNumberFormat="1" applyFont="1" applyFill="1" applyBorder="1" applyAlignment="1"/>
    <xf numFmtId="3" fontId="8" fillId="19" borderId="6" xfId="0" applyNumberFormat="1" applyFont="1" applyFill="1" applyBorder="1" applyAlignment="1"/>
    <xf numFmtId="3" fontId="8" fillId="31" borderId="2" xfId="0" applyNumberFormat="1" applyFont="1" applyFill="1" applyBorder="1"/>
    <xf numFmtId="3" fontId="8" fillId="32" borderId="2" xfId="0" applyNumberFormat="1" applyFont="1" applyFill="1" applyBorder="1" applyAlignment="1"/>
    <xf numFmtId="3" fontId="8" fillId="31" borderId="2" xfId="0" applyNumberFormat="1" applyFont="1" applyFill="1" applyBorder="1" applyAlignment="1"/>
    <xf numFmtId="0" fontId="11" fillId="0" borderId="0" xfId="0" applyFont="1" applyBorder="1" applyAlignment="1">
      <alignment horizontal="center" vertical="center" wrapText="1"/>
    </xf>
    <xf numFmtId="0" fontId="12" fillId="26" borderId="0" xfId="0" applyFont="1" applyFill="1" applyBorder="1" applyAlignment="1">
      <alignment horizontal="left" vertical="center" wrapText="1"/>
    </xf>
    <xf numFmtId="0" fontId="10" fillId="0" borderId="3" xfId="0" applyFont="1" applyBorder="1" applyAlignment="1">
      <alignment horizontal="center" vertical="center" wrapText="1"/>
    </xf>
    <xf numFmtId="0" fontId="10" fillId="0" borderId="3" xfId="0" applyFont="1" applyBorder="1" applyAlignment="1">
      <alignment horizontal="right" vertical="center"/>
    </xf>
    <xf numFmtId="0" fontId="10" fillId="21" borderId="3" xfId="0" applyFont="1" applyFill="1" applyBorder="1" applyAlignment="1">
      <alignment horizontal="center" vertical="center" wrapText="1"/>
    </xf>
    <xf numFmtId="0" fontId="4" fillId="2" borderId="0" xfId="0" applyFont="1" applyFill="1" applyBorder="1" applyAlignment="1">
      <alignment horizontal="left" vertical="center" wrapText="1"/>
    </xf>
    <xf numFmtId="0" fontId="4" fillId="8" borderId="0"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0" fillId="6" borderId="0" xfId="0" applyFill="1" applyBorder="1" applyAlignment="1"/>
    <xf numFmtId="0" fontId="0" fillId="7" borderId="0" xfId="0" applyFill="1" applyBorder="1" applyAlignment="1"/>
    <xf numFmtId="0" fontId="3" fillId="8" borderId="0" xfId="0" applyFont="1" applyFill="1" applyBorder="1" applyAlignment="1">
      <alignment horizontal="center" vertical="center" wrapText="1"/>
    </xf>
    <xf numFmtId="3" fontId="3" fillId="8" borderId="0" xfId="0" applyNumberFormat="1" applyFont="1" applyFill="1" applyBorder="1" applyAlignment="1">
      <alignment horizontal="center" vertical="center" wrapText="1"/>
    </xf>
    <xf numFmtId="3" fontId="3" fillId="9" borderId="0" xfId="0" applyNumberFormat="1" applyFont="1" applyFill="1" applyBorder="1" applyAlignment="1">
      <alignment horizontal="center" vertical="center" wrapText="1"/>
    </xf>
    <xf numFmtId="164" fontId="3" fillId="10" borderId="0" xfId="0" applyNumberFormat="1" applyFont="1" applyFill="1" applyBorder="1" applyAlignment="1">
      <alignment horizontal="center" vertical="center" wrapText="1"/>
    </xf>
    <xf numFmtId="0" fontId="20" fillId="30" borderId="0" xfId="0" applyFont="1" applyFill="1" applyAlignment="1">
      <alignment horizontal="center"/>
    </xf>
    <xf numFmtId="0" fontId="1"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4" borderId="0"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2" fillId="7" borderId="0" xfId="0" applyFont="1" applyFill="1" applyBorder="1" applyAlignment="1">
      <alignment horizontal="center" vertical="center" wrapText="1"/>
    </xf>
    <xf numFmtId="2" fontId="3" fillId="8" borderId="0" xfId="0" applyNumberFormat="1" applyFont="1" applyFill="1" applyBorder="1" applyAlignment="1">
      <alignment horizontal="center" vertical="center" wrapText="1"/>
    </xf>
    <xf numFmtId="0" fontId="0" fillId="2" borderId="0" xfId="0" applyFill="1" applyBorder="1" applyAlignment="1"/>
    <xf numFmtId="0" fontId="0" fillId="3" borderId="0" xfId="0" applyFill="1" applyBorder="1" applyAlignment="1"/>
    <xf numFmtId="0" fontId="0" fillId="4" borderId="0" xfId="0" applyFill="1" applyBorder="1" applyAlignment="1"/>
    <xf numFmtId="0" fontId="0" fillId="5" borderId="0" xfId="0" applyFill="1" applyBorder="1" applyAlignment="1"/>
    <xf numFmtId="0" fontId="13" fillId="2" borderId="0"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4" fillId="8" borderId="3" xfId="0" applyFont="1" applyFill="1" applyBorder="1" applyAlignment="1"/>
    <xf numFmtId="0" fontId="15" fillId="2" borderId="0" xfId="0" applyFont="1" applyFill="1" applyBorder="1" applyAlignment="1">
      <alignment horizontal="left" vertical="center" wrapText="1"/>
    </xf>
    <xf numFmtId="0" fontId="4" fillId="18" borderId="0" xfId="0" applyFont="1" applyFill="1" applyBorder="1" applyAlignment="1">
      <alignment horizontal="center" vertical="center" wrapText="1"/>
    </xf>
    <xf numFmtId="0" fontId="15" fillId="8" borderId="0" xfId="0" applyFont="1" applyFill="1" applyBorder="1" applyAlignment="1">
      <alignment horizontal="left" vertical="center" wrapText="1"/>
    </xf>
    <xf numFmtId="0" fontId="14" fillId="2" borderId="0" xfId="0" applyFont="1" applyFill="1" applyBorder="1" applyAlignment="1">
      <alignment vertical="center" wrapText="1"/>
    </xf>
    <xf numFmtId="0" fontId="14" fillId="2" borderId="7" xfId="0" applyFont="1" applyFill="1" applyBorder="1" applyAlignment="1">
      <alignment horizontal="center" vertical="center" wrapText="1"/>
    </xf>
    <xf numFmtId="2" fontId="3" fillId="12" borderId="0" xfId="0" applyNumberFormat="1" applyFont="1" applyFill="1" applyBorder="1" applyAlignment="1">
      <alignment horizontal="center" vertical="center" wrapText="1"/>
    </xf>
    <xf numFmtId="2" fontId="3" fillId="11" borderId="0" xfId="0" applyNumberFormat="1" applyFont="1" applyFill="1" applyBorder="1" applyAlignment="1">
      <alignment horizontal="center" vertical="center" wrapText="1"/>
    </xf>
  </cellXfs>
  <cellStyles count="1">
    <cellStyle name="Normal" xfId="0" builtinId="0"/>
  </cellStyles>
  <dxfs count="9">
    <dxf>
      <font>
        <b/>
        <color rgb="FF1B5E20"/>
      </font>
      <fill>
        <patternFill>
          <bgColor rgb="FFE8F5E9"/>
        </patternFill>
      </fill>
    </dxf>
    <dxf>
      <font>
        <b/>
        <color rgb="FF333333"/>
      </font>
      <fill>
        <patternFill>
          <bgColor rgb="FFFFC000"/>
        </patternFill>
      </fill>
    </dxf>
    <dxf>
      <font>
        <b/>
        <color rgb="FFFFFFFF"/>
      </font>
      <fill>
        <patternFill>
          <bgColor rgb="FFFF6B6B"/>
        </patternFill>
      </fill>
    </dxf>
    <dxf>
      <font>
        <b/>
        <color rgb="FFFFFFFF"/>
      </font>
      <fill>
        <patternFill>
          <bgColor rgb="FF70AD47"/>
        </patternFill>
      </fill>
    </dxf>
    <dxf>
      <font>
        <b/>
        <color rgb="FFFFFFFF"/>
      </font>
      <fill>
        <patternFill>
          <bgColor rgb="FF4472C4"/>
        </patternFill>
      </fill>
    </dxf>
    <dxf>
      <font>
        <color rgb="FFCC0000"/>
      </font>
      <fill>
        <patternFill>
          <bgColor rgb="FFFFB3B3"/>
        </patternFill>
      </fil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375623"/>
      <rgbColor rgb="FF1B5E20"/>
      <rgbColor rgb="FF1A4971"/>
      <rgbColor rgb="FF548235"/>
      <rgbColor rgb="FF800080"/>
      <rgbColor rgb="FF006064"/>
      <rgbColor rgb="FFCCCCCC"/>
      <rgbColor rgb="FF808080"/>
      <rgbColor rgb="FF9999FF"/>
      <rgbColor rgb="FF7030A0"/>
      <rgbColor rgb="FFFEF9E7"/>
      <rgbColor rgb="FFEAFAF1"/>
      <rgbColor rgb="FF4A235A"/>
      <rgbColor rgb="FFFF6B6B"/>
      <rgbColor rgb="FF2E75B6"/>
      <rgbColor rgb="FFBDD7EE"/>
      <rgbColor rgb="FF000080"/>
      <rgbColor rgb="FFFF00FF"/>
      <rgbColor rgb="FFFFFF00"/>
      <rgbColor rgb="FF00FFFF"/>
      <rgbColor rgb="FF800080"/>
      <rgbColor rgb="FF800000"/>
      <rgbColor rgb="FF1F4E79"/>
      <rgbColor rgb="FF0000FF"/>
      <rgbColor rgb="FF00CCFF"/>
      <rgbColor rgb="FFE8F5E9"/>
      <rgbColor rgb="FFEBF5FB"/>
      <rgbColor rgb="FFFDEBD0"/>
      <rgbColor rgb="FFD6E4F7"/>
      <rgbColor rgb="FFF4ECF7"/>
      <rgbColor rgb="FFF2F2F2"/>
      <rgbColor rgb="FFFFB3B3"/>
      <rgbColor rgb="FF4472C4"/>
      <rgbColor rgb="FF33CCCC"/>
      <rgbColor rgb="FF99CC00"/>
      <rgbColor rgb="FFFFC000"/>
      <rgbColor rgb="FFFF9900"/>
      <rgbColor rgb="FFC55A11"/>
      <rgbColor rgb="FF666666"/>
      <rgbColor rgb="FF70AD47"/>
      <rgbColor rgb="FF1F3864"/>
      <rgbColor rgb="FF2F5597"/>
      <rgbColor rgb="FF2C3E50"/>
      <rgbColor rgb="FF404040"/>
      <rgbColor rgb="FF7B2D00"/>
      <rgbColor rgb="FF7E5109"/>
      <rgbColor rgb="FF4B2D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[Market_Research_Customer_Segmentation_Tool_Enhanced 5.xlsx]Pivot Analysis!Customers by Segment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Analysis'!$B$205</c:f>
              <c:strCache>
                <c:ptCount val="1"/>
                <c:pt idx="0">
                  <c:v>Total</c:v>
                </c:pt>
              </c:strCache>
            </c:strRef>
          </c:tx>
          <c:spPr>
            <a:solidFill>
              <a:schemeClr val="accent1"/>
            </a:solidFill>
            <a:ln>
              <a:noFill/>
            </a:ln>
            <a:effectLst/>
          </c:spPr>
          <c:invertIfNegative val="0"/>
          <c:cat>
            <c:strRef>
              <c:f>'Pivot Analysis'!$A$206:$A$211</c:f>
              <c:strCache>
                <c:ptCount val="5"/>
                <c:pt idx="0">
                  <c:v>At Risk</c:v>
                </c:pt>
                <c:pt idx="1">
                  <c:v>Bargain Seeker</c:v>
                </c:pt>
                <c:pt idx="2">
                  <c:v>General</c:v>
                </c:pt>
                <c:pt idx="3">
                  <c:v>High Value</c:v>
                </c:pt>
                <c:pt idx="4">
                  <c:v>Loyal</c:v>
                </c:pt>
              </c:strCache>
            </c:strRef>
          </c:cat>
          <c:val>
            <c:numRef>
              <c:f>'Pivot Analysis'!$B$206:$B$211</c:f>
              <c:numCache>
                <c:formatCode>General</c:formatCode>
                <c:ptCount val="5"/>
                <c:pt idx="0">
                  <c:v>38</c:v>
                </c:pt>
                <c:pt idx="1">
                  <c:v>8</c:v>
                </c:pt>
                <c:pt idx="2">
                  <c:v>63</c:v>
                </c:pt>
                <c:pt idx="3">
                  <c:v>74</c:v>
                </c:pt>
                <c:pt idx="4">
                  <c:v>17</c:v>
                </c:pt>
              </c:numCache>
            </c:numRef>
          </c:val>
          <c:extLst>
            <c:ext xmlns:c16="http://schemas.microsoft.com/office/drawing/2014/chart" uri="{C3380CC4-5D6E-409C-BE32-E72D297353CC}">
              <c16:uniqueId val="{00000000-3A55-4747-B42E-3FC30078C29B}"/>
            </c:ext>
          </c:extLst>
        </c:ser>
        <c:dLbls>
          <c:showLegendKey val="0"/>
          <c:showVal val="0"/>
          <c:showCatName val="0"/>
          <c:showSerName val="0"/>
          <c:showPercent val="0"/>
          <c:showBubbleSize val="0"/>
        </c:dLbls>
        <c:gapWidth val="182"/>
        <c:axId val="1188864623"/>
        <c:axId val="1174959199"/>
      </c:barChart>
      <c:catAx>
        <c:axId val="118886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59199"/>
        <c:crosses val="autoZero"/>
        <c:auto val="1"/>
        <c:lblAlgn val="ctr"/>
        <c:lblOffset val="100"/>
        <c:noMultiLvlLbl val="0"/>
      </c:catAx>
      <c:valAx>
        <c:axId val="1174959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86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[Market_Research_Customer_Segmentation_Tool_Enhanced 5.xlsx]Pivot Analysis!Revenue by Segment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Segment (INR)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Analysis'!$B$215</c:f>
              <c:strCache>
                <c:ptCount val="1"/>
                <c:pt idx="0">
                  <c:v>Total</c:v>
                </c:pt>
              </c:strCache>
            </c:strRef>
          </c:tx>
          <c:spPr>
            <a:solidFill>
              <a:schemeClr val="accent1"/>
            </a:solidFill>
            <a:ln>
              <a:noFill/>
            </a:ln>
            <a:effectLst/>
          </c:spPr>
          <c:invertIfNegative val="0"/>
          <c:cat>
            <c:strRef>
              <c:f>'Pivot Analysis'!$A$216:$A$221</c:f>
              <c:strCache>
                <c:ptCount val="5"/>
                <c:pt idx="0">
                  <c:v>At Risk</c:v>
                </c:pt>
                <c:pt idx="1">
                  <c:v>Bargain Seeker</c:v>
                </c:pt>
                <c:pt idx="2">
                  <c:v>General</c:v>
                </c:pt>
                <c:pt idx="3">
                  <c:v>High Value</c:v>
                </c:pt>
                <c:pt idx="4">
                  <c:v>Loyal</c:v>
                </c:pt>
              </c:strCache>
            </c:strRef>
          </c:cat>
          <c:val>
            <c:numRef>
              <c:f>'Pivot Analysis'!$B$216:$B$221</c:f>
              <c:numCache>
                <c:formatCode>General</c:formatCode>
                <c:ptCount val="5"/>
                <c:pt idx="0">
                  <c:v>537567</c:v>
                </c:pt>
                <c:pt idx="1">
                  <c:v>184330</c:v>
                </c:pt>
                <c:pt idx="2">
                  <c:v>1183500</c:v>
                </c:pt>
                <c:pt idx="3">
                  <c:v>6607484</c:v>
                </c:pt>
                <c:pt idx="4">
                  <c:v>1525892</c:v>
                </c:pt>
              </c:numCache>
            </c:numRef>
          </c:val>
          <c:extLst>
            <c:ext xmlns:c16="http://schemas.microsoft.com/office/drawing/2014/chart" uri="{C3380CC4-5D6E-409C-BE32-E72D297353CC}">
              <c16:uniqueId val="{00000000-C132-45ED-BAEC-9393D78ACFDD}"/>
            </c:ext>
          </c:extLst>
        </c:ser>
        <c:dLbls>
          <c:showLegendKey val="0"/>
          <c:showVal val="0"/>
          <c:showCatName val="0"/>
          <c:showSerName val="0"/>
          <c:showPercent val="0"/>
          <c:showBubbleSize val="0"/>
        </c:dLbls>
        <c:gapWidth val="219"/>
        <c:overlap val="-27"/>
        <c:axId val="1214668799"/>
        <c:axId val="1174952959"/>
      </c:barChart>
      <c:catAx>
        <c:axId val="121466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52959"/>
        <c:crosses val="autoZero"/>
        <c:auto val="1"/>
        <c:lblAlgn val="ctr"/>
        <c:lblOffset val="100"/>
        <c:noMultiLvlLbl val="0"/>
      </c:catAx>
      <c:valAx>
        <c:axId val="117495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6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[Market_Research_Customer_Segmentation_Tool_Enhanced 5.xlsx]Pivot Analysis!Customer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'Pivot Analysis'!$B$225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D6-4A23-9E68-632C23C11B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D6-4A23-9E68-632C23C11B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D6-4A23-9E68-632C23C11B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D6-4A23-9E68-632C23C11B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Analysis'!$A$226:$A$230</c:f>
              <c:strCache>
                <c:ptCount val="4"/>
                <c:pt idx="0">
                  <c:v>&lt;25</c:v>
                </c:pt>
                <c:pt idx="1">
                  <c:v>25-39</c:v>
                </c:pt>
                <c:pt idx="2">
                  <c:v>40-54</c:v>
                </c:pt>
                <c:pt idx="3">
                  <c:v>55+</c:v>
                </c:pt>
              </c:strCache>
            </c:strRef>
          </c:cat>
          <c:val>
            <c:numRef>
              <c:f>'Pivot Analysis'!$B$226:$B$230</c:f>
              <c:numCache>
                <c:formatCode>General</c:formatCode>
                <c:ptCount val="4"/>
                <c:pt idx="0">
                  <c:v>16</c:v>
                </c:pt>
                <c:pt idx="1">
                  <c:v>67</c:v>
                </c:pt>
                <c:pt idx="2">
                  <c:v>68</c:v>
                </c:pt>
                <c:pt idx="3">
                  <c:v>49</c:v>
                </c:pt>
              </c:numCache>
            </c:numRef>
          </c:val>
          <c:extLst>
            <c:ext xmlns:c16="http://schemas.microsoft.com/office/drawing/2014/chart" uri="{C3380CC4-5D6E-409C-BE32-E72D297353CC}">
              <c16:uniqueId val="{00000008-26D6-4A23-9E68-632C23C11BE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[Market_Research_Customer_Segmentation_Tool_Enhanced 5.xlsx]Pivot 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Analysis'!$B$238</c:f>
              <c:strCache>
                <c:ptCount val="1"/>
                <c:pt idx="0">
                  <c:v>Total</c:v>
                </c:pt>
              </c:strCache>
            </c:strRef>
          </c:tx>
          <c:spPr>
            <a:ln w="28575" cap="rnd">
              <a:solidFill>
                <a:schemeClr val="accent1"/>
              </a:solidFill>
              <a:round/>
            </a:ln>
            <a:effectLst/>
          </c:spPr>
          <c:marker>
            <c:symbol val="none"/>
          </c:marker>
          <c:cat>
            <c:strRef>
              <c:f>'Pivot Analysis'!$A$239:$A$251</c:f>
              <c:strCache>
                <c:ptCount val="12"/>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strCache>
            </c:strRef>
          </c:cat>
          <c:val>
            <c:numRef>
              <c:f>'Pivot Analysis'!$B$239:$B$251</c:f>
              <c:numCache>
                <c:formatCode>General</c:formatCode>
                <c:ptCount val="12"/>
                <c:pt idx="0">
                  <c:v>789074</c:v>
                </c:pt>
                <c:pt idx="1">
                  <c:v>712840</c:v>
                </c:pt>
                <c:pt idx="2">
                  <c:v>860066</c:v>
                </c:pt>
                <c:pt idx="3">
                  <c:v>691483</c:v>
                </c:pt>
                <c:pt idx="4">
                  <c:v>888188</c:v>
                </c:pt>
                <c:pt idx="5">
                  <c:v>950923</c:v>
                </c:pt>
                <c:pt idx="6">
                  <c:v>928409</c:v>
                </c:pt>
                <c:pt idx="7">
                  <c:v>786785</c:v>
                </c:pt>
                <c:pt idx="8">
                  <c:v>711043</c:v>
                </c:pt>
                <c:pt idx="9">
                  <c:v>1061743</c:v>
                </c:pt>
                <c:pt idx="10">
                  <c:v>866572</c:v>
                </c:pt>
                <c:pt idx="11">
                  <c:v>791647</c:v>
                </c:pt>
              </c:numCache>
            </c:numRef>
          </c:val>
          <c:smooth val="0"/>
          <c:extLst>
            <c:ext xmlns:c16="http://schemas.microsoft.com/office/drawing/2014/chart" uri="{C3380CC4-5D6E-409C-BE32-E72D297353CC}">
              <c16:uniqueId val="{00000000-9BE6-44A3-BD3E-221953B141B2}"/>
            </c:ext>
          </c:extLst>
        </c:ser>
        <c:dLbls>
          <c:showLegendKey val="0"/>
          <c:showVal val="0"/>
          <c:showCatName val="0"/>
          <c:showSerName val="0"/>
          <c:showPercent val="0"/>
          <c:showBubbleSize val="0"/>
        </c:dLbls>
        <c:smooth val="0"/>
        <c:axId val="1208854527"/>
        <c:axId val="1156142863"/>
      </c:lineChart>
      <c:catAx>
        <c:axId val="120885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42863"/>
        <c:crosses val="autoZero"/>
        <c:auto val="1"/>
        <c:lblAlgn val="ctr"/>
        <c:lblOffset val="100"/>
        <c:noMultiLvlLbl val="0"/>
      </c:catAx>
      <c:valAx>
        <c:axId val="115614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5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[Market_Research_Customer_Segmentation_Tool_Enhanced 5.xlsx]Pivot Analysis!Customers by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Analysis'!$B$205</c:f>
              <c:strCache>
                <c:ptCount val="1"/>
                <c:pt idx="0">
                  <c:v>Total</c:v>
                </c:pt>
              </c:strCache>
            </c:strRef>
          </c:tx>
          <c:spPr>
            <a:solidFill>
              <a:schemeClr val="accent1"/>
            </a:solidFill>
            <a:ln>
              <a:noFill/>
            </a:ln>
            <a:effectLst/>
          </c:spPr>
          <c:invertIfNegative val="0"/>
          <c:cat>
            <c:strRef>
              <c:f>'Pivot Analysis'!$A$206:$A$211</c:f>
              <c:strCache>
                <c:ptCount val="5"/>
                <c:pt idx="0">
                  <c:v>At Risk</c:v>
                </c:pt>
                <c:pt idx="1">
                  <c:v>Bargain Seeker</c:v>
                </c:pt>
                <c:pt idx="2">
                  <c:v>General</c:v>
                </c:pt>
                <c:pt idx="3">
                  <c:v>High Value</c:v>
                </c:pt>
                <c:pt idx="4">
                  <c:v>Loyal</c:v>
                </c:pt>
              </c:strCache>
            </c:strRef>
          </c:cat>
          <c:val>
            <c:numRef>
              <c:f>'Pivot Analysis'!$B$206:$B$211</c:f>
              <c:numCache>
                <c:formatCode>General</c:formatCode>
                <c:ptCount val="5"/>
                <c:pt idx="0">
                  <c:v>38</c:v>
                </c:pt>
                <c:pt idx="1">
                  <c:v>8</c:v>
                </c:pt>
                <c:pt idx="2">
                  <c:v>63</c:v>
                </c:pt>
                <c:pt idx="3">
                  <c:v>74</c:v>
                </c:pt>
                <c:pt idx="4">
                  <c:v>17</c:v>
                </c:pt>
              </c:numCache>
            </c:numRef>
          </c:val>
          <c:extLst>
            <c:ext xmlns:c16="http://schemas.microsoft.com/office/drawing/2014/chart" uri="{C3380CC4-5D6E-409C-BE32-E72D297353CC}">
              <c16:uniqueId val="{00000000-109F-43F5-BC1E-3BAB0B0A1AA0}"/>
            </c:ext>
          </c:extLst>
        </c:ser>
        <c:dLbls>
          <c:showLegendKey val="0"/>
          <c:showVal val="0"/>
          <c:showCatName val="0"/>
          <c:showSerName val="0"/>
          <c:showPercent val="0"/>
          <c:showBubbleSize val="0"/>
        </c:dLbls>
        <c:gapWidth val="182"/>
        <c:axId val="1188864623"/>
        <c:axId val="1174959199"/>
      </c:barChart>
      <c:catAx>
        <c:axId val="118886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59199"/>
        <c:crosses val="autoZero"/>
        <c:auto val="1"/>
        <c:lblAlgn val="ctr"/>
        <c:lblOffset val="100"/>
        <c:noMultiLvlLbl val="0"/>
      </c:catAx>
      <c:valAx>
        <c:axId val="1174959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86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[Market_Research_Customer_Segmentation_Tool_Enhanced 5.xlsx]Pivot Analysis!Revenue by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Segment (INR)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Analysis'!$B$215</c:f>
              <c:strCache>
                <c:ptCount val="1"/>
                <c:pt idx="0">
                  <c:v>Total</c:v>
                </c:pt>
              </c:strCache>
            </c:strRef>
          </c:tx>
          <c:spPr>
            <a:solidFill>
              <a:schemeClr val="accent1"/>
            </a:solidFill>
            <a:ln>
              <a:noFill/>
            </a:ln>
            <a:effectLst/>
          </c:spPr>
          <c:invertIfNegative val="0"/>
          <c:cat>
            <c:strRef>
              <c:f>'Pivot Analysis'!$A$216:$A$221</c:f>
              <c:strCache>
                <c:ptCount val="5"/>
                <c:pt idx="0">
                  <c:v>At Risk</c:v>
                </c:pt>
                <c:pt idx="1">
                  <c:v>Bargain Seeker</c:v>
                </c:pt>
                <c:pt idx="2">
                  <c:v>General</c:v>
                </c:pt>
                <c:pt idx="3">
                  <c:v>High Value</c:v>
                </c:pt>
                <c:pt idx="4">
                  <c:v>Loyal</c:v>
                </c:pt>
              </c:strCache>
            </c:strRef>
          </c:cat>
          <c:val>
            <c:numRef>
              <c:f>'Pivot Analysis'!$B$216:$B$221</c:f>
              <c:numCache>
                <c:formatCode>General</c:formatCode>
                <c:ptCount val="5"/>
                <c:pt idx="0">
                  <c:v>537567</c:v>
                </c:pt>
                <c:pt idx="1">
                  <c:v>184330</c:v>
                </c:pt>
                <c:pt idx="2">
                  <c:v>1183500</c:v>
                </c:pt>
                <c:pt idx="3">
                  <c:v>6607484</c:v>
                </c:pt>
                <c:pt idx="4">
                  <c:v>1525892</c:v>
                </c:pt>
              </c:numCache>
            </c:numRef>
          </c:val>
          <c:extLst>
            <c:ext xmlns:c16="http://schemas.microsoft.com/office/drawing/2014/chart" uri="{C3380CC4-5D6E-409C-BE32-E72D297353CC}">
              <c16:uniqueId val="{00000000-C127-48C3-9DEC-DBD1839307F6}"/>
            </c:ext>
          </c:extLst>
        </c:ser>
        <c:dLbls>
          <c:showLegendKey val="0"/>
          <c:showVal val="0"/>
          <c:showCatName val="0"/>
          <c:showSerName val="0"/>
          <c:showPercent val="0"/>
          <c:showBubbleSize val="0"/>
        </c:dLbls>
        <c:gapWidth val="219"/>
        <c:overlap val="-27"/>
        <c:axId val="1214668799"/>
        <c:axId val="1174952959"/>
      </c:barChart>
      <c:catAx>
        <c:axId val="121466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52959"/>
        <c:crosses val="autoZero"/>
        <c:auto val="1"/>
        <c:lblAlgn val="ctr"/>
        <c:lblOffset val="100"/>
        <c:noMultiLvlLbl val="0"/>
      </c:catAx>
      <c:valAx>
        <c:axId val="117495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(INR)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6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[Market_Research_Customer_Segmentation_Tool_Enhanced 5.xlsx]Pivot Analysis!Customer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Analysis'!$B$225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D9-4BF6-9B34-0629113F34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D9-4BF6-9B34-0629113F34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D9-4BF6-9B34-0629113F34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D9-4BF6-9B34-0629113F34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Analysis'!$A$226:$A$230</c:f>
              <c:strCache>
                <c:ptCount val="4"/>
                <c:pt idx="0">
                  <c:v>&lt;25</c:v>
                </c:pt>
                <c:pt idx="1">
                  <c:v>25-39</c:v>
                </c:pt>
                <c:pt idx="2">
                  <c:v>40-54</c:v>
                </c:pt>
                <c:pt idx="3">
                  <c:v>55+</c:v>
                </c:pt>
              </c:strCache>
            </c:strRef>
          </c:cat>
          <c:val>
            <c:numRef>
              <c:f>'Pivot Analysis'!$B$226:$B$230</c:f>
              <c:numCache>
                <c:formatCode>General</c:formatCode>
                <c:ptCount val="4"/>
                <c:pt idx="0">
                  <c:v>16</c:v>
                </c:pt>
                <c:pt idx="1">
                  <c:v>67</c:v>
                </c:pt>
                <c:pt idx="2">
                  <c:v>68</c:v>
                </c:pt>
                <c:pt idx="3">
                  <c:v>49</c:v>
                </c:pt>
              </c:numCache>
            </c:numRef>
          </c:val>
          <c:extLst>
            <c:ext xmlns:c16="http://schemas.microsoft.com/office/drawing/2014/chart" uri="{C3380CC4-5D6E-409C-BE32-E72D297353CC}">
              <c16:uniqueId val="{00000000-F0F4-4748-AC05-3F024743CA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[Market_Research_Customer_Segmentation_Tool_Enhanced 5.xlsx]Pivot 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Analysis'!$B$238</c:f>
              <c:strCache>
                <c:ptCount val="1"/>
                <c:pt idx="0">
                  <c:v>Total</c:v>
                </c:pt>
              </c:strCache>
            </c:strRef>
          </c:tx>
          <c:spPr>
            <a:ln w="28575" cap="rnd">
              <a:solidFill>
                <a:schemeClr val="accent1"/>
              </a:solidFill>
              <a:round/>
            </a:ln>
            <a:effectLst/>
          </c:spPr>
          <c:marker>
            <c:symbol val="none"/>
          </c:marker>
          <c:cat>
            <c:strRef>
              <c:f>'Pivot Analysis'!$A$239:$A$251</c:f>
              <c:strCache>
                <c:ptCount val="12"/>
                <c:pt idx="0">
                  <c:v>2025-04</c:v>
                </c:pt>
                <c:pt idx="1">
                  <c:v>2025-05</c:v>
                </c:pt>
                <c:pt idx="2">
                  <c:v>2025-06</c:v>
                </c:pt>
                <c:pt idx="3">
                  <c:v>2025-07</c:v>
                </c:pt>
                <c:pt idx="4">
                  <c:v>2025-08</c:v>
                </c:pt>
                <c:pt idx="5">
                  <c:v>2025-09</c:v>
                </c:pt>
                <c:pt idx="6">
                  <c:v>2025-10</c:v>
                </c:pt>
                <c:pt idx="7">
                  <c:v>2025-11</c:v>
                </c:pt>
                <c:pt idx="8">
                  <c:v>2025-12</c:v>
                </c:pt>
                <c:pt idx="9">
                  <c:v>2026-01</c:v>
                </c:pt>
                <c:pt idx="10">
                  <c:v>2026-02</c:v>
                </c:pt>
                <c:pt idx="11">
                  <c:v>2026-03</c:v>
                </c:pt>
              </c:strCache>
            </c:strRef>
          </c:cat>
          <c:val>
            <c:numRef>
              <c:f>'Pivot Analysis'!$B$239:$B$251</c:f>
              <c:numCache>
                <c:formatCode>General</c:formatCode>
                <c:ptCount val="12"/>
                <c:pt idx="0">
                  <c:v>789074</c:v>
                </c:pt>
                <c:pt idx="1">
                  <c:v>712840</c:v>
                </c:pt>
                <c:pt idx="2">
                  <c:v>860066</c:v>
                </c:pt>
                <c:pt idx="3">
                  <c:v>691483</c:v>
                </c:pt>
                <c:pt idx="4">
                  <c:v>888188</c:v>
                </c:pt>
                <c:pt idx="5">
                  <c:v>950923</c:v>
                </c:pt>
                <c:pt idx="6">
                  <c:v>928409</c:v>
                </c:pt>
                <c:pt idx="7">
                  <c:v>786785</c:v>
                </c:pt>
                <c:pt idx="8">
                  <c:v>711043</c:v>
                </c:pt>
                <c:pt idx="9">
                  <c:v>1061743</c:v>
                </c:pt>
                <c:pt idx="10">
                  <c:v>866572</c:v>
                </c:pt>
                <c:pt idx="11">
                  <c:v>791647</c:v>
                </c:pt>
              </c:numCache>
            </c:numRef>
          </c:val>
          <c:smooth val="0"/>
          <c:extLst>
            <c:ext xmlns:c16="http://schemas.microsoft.com/office/drawing/2014/chart" uri="{C3380CC4-5D6E-409C-BE32-E72D297353CC}">
              <c16:uniqueId val="{00000000-9224-424F-ACC9-4FF2E4EC0982}"/>
            </c:ext>
          </c:extLst>
        </c:ser>
        <c:dLbls>
          <c:showLegendKey val="0"/>
          <c:showVal val="0"/>
          <c:showCatName val="0"/>
          <c:showSerName val="0"/>
          <c:showPercent val="0"/>
          <c:showBubbleSize val="0"/>
        </c:dLbls>
        <c:smooth val="0"/>
        <c:axId val="1208854527"/>
        <c:axId val="1156142863"/>
      </c:lineChart>
      <c:catAx>
        <c:axId val="120885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42863"/>
        <c:crosses val="autoZero"/>
        <c:auto val="1"/>
        <c:lblAlgn val="ctr"/>
        <c:lblOffset val="100"/>
        <c:noMultiLvlLbl val="0"/>
      </c:catAx>
      <c:valAx>
        <c:axId val="115614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5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87965</xdr:colOff>
      <xdr:row>7</xdr:row>
      <xdr:rowOff>66304</xdr:rowOff>
    </xdr:from>
    <xdr:to>
      <xdr:col>7</xdr:col>
      <xdr:colOff>947058</xdr:colOff>
      <xdr:row>24</xdr:row>
      <xdr:rowOff>43543</xdr:rowOff>
    </xdr:to>
    <xdr:graphicFrame macro="">
      <xdr:nvGraphicFramePr>
        <xdr:cNvPr id="2" name="Chart 1">
          <a:extLst>
            <a:ext uri="{FF2B5EF4-FFF2-40B4-BE49-F238E27FC236}">
              <a16:creationId xmlns:a16="http://schemas.microsoft.com/office/drawing/2014/main" id="{CDFA2B4A-F5D2-456D-BC66-C447C6710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938398</xdr:colOff>
      <xdr:row>7</xdr:row>
      <xdr:rowOff>60586</xdr:rowOff>
    </xdr:from>
    <xdr:to>
      <xdr:col>15</xdr:col>
      <xdr:colOff>21772</xdr:colOff>
      <xdr:row>24</xdr:row>
      <xdr:rowOff>65314</xdr:rowOff>
    </xdr:to>
    <xdr:graphicFrame macro="">
      <xdr:nvGraphicFramePr>
        <xdr:cNvPr id="3" name="Chart 2">
          <a:extLst>
            <a:ext uri="{FF2B5EF4-FFF2-40B4-BE49-F238E27FC236}">
              <a16:creationId xmlns:a16="http://schemas.microsoft.com/office/drawing/2014/main" id="{2848C6F5-9199-4024-BEEB-C5D9E5CE4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231540</xdr:rowOff>
    </xdr:from>
    <xdr:to>
      <xdr:col>6</xdr:col>
      <xdr:colOff>846800</xdr:colOff>
      <xdr:row>39</xdr:row>
      <xdr:rowOff>27709</xdr:rowOff>
    </xdr:to>
    <xdr:graphicFrame macro="">
      <xdr:nvGraphicFramePr>
        <xdr:cNvPr id="4" name="Chart 3">
          <a:extLst>
            <a:ext uri="{FF2B5EF4-FFF2-40B4-BE49-F238E27FC236}">
              <a16:creationId xmlns:a16="http://schemas.microsoft.com/office/drawing/2014/main" id="{6C55B22B-DFC3-43E1-B48E-AE6102C17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846561</xdr:colOff>
      <xdr:row>24</xdr:row>
      <xdr:rowOff>37207</xdr:rowOff>
    </xdr:from>
    <xdr:to>
      <xdr:col>15</xdr:col>
      <xdr:colOff>55419</xdr:colOff>
      <xdr:row>39</xdr:row>
      <xdr:rowOff>33646</xdr:rowOff>
    </xdr:to>
    <xdr:graphicFrame macro="">
      <xdr:nvGraphicFramePr>
        <xdr:cNvPr id="5" name="Chart 4">
          <a:extLst>
            <a:ext uri="{FF2B5EF4-FFF2-40B4-BE49-F238E27FC236}">
              <a16:creationId xmlns:a16="http://schemas.microsoft.com/office/drawing/2014/main" id="{19B7829C-4598-4FB9-B241-269E39424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115784</xdr:colOff>
      <xdr:row>26</xdr:row>
      <xdr:rowOff>129638</xdr:rowOff>
    </xdr:from>
    <xdr:to>
      <xdr:col>17</xdr:col>
      <xdr:colOff>846117</xdr:colOff>
      <xdr:row>37</xdr:row>
      <xdr:rowOff>78054</xdr:rowOff>
    </xdr:to>
    <mc:AlternateContent xmlns:mc="http://schemas.openxmlformats.org/markup-compatibility/2006" xmlns:a14="http://schemas.microsoft.com/office/drawing/2010/main">
      <mc:Choice Requires="a14">
        <xdr:graphicFrame macro="">
          <xdr:nvGraphicFramePr>
            <xdr:cNvPr id="6" name="City/Region">
              <a:extLst>
                <a:ext uri="{FF2B5EF4-FFF2-40B4-BE49-F238E27FC236}">
                  <a16:creationId xmlns:a16="http://schemas.microsoft.com/office/drawing/2014/main" id="{B78D73E7-B27A-0545-BD38-B497F4F523A7}"/>
                </a:ext>
              </a:extLst>
            </xdr:cNvPr>
            <xdr:cNvGraphicFramePr/>
          </xdr:nvGraphicFramePr>
          <xdr:xfrm>
            <a:off x="0" y="0"/>
            <a:ext cx="0" cy="0"/>
          </xdr:xfrm>
          <a:graphic>
            <a:graphicData uri="http://schemas.microsoft.com/office/drawing/2010/slicer">
              <sle:slicer xmlns:sle="http://schemas.microsoft.com/office/drawing/2010/slicer" name="City/Region"/>
            </a:graphicData>
          </a:graphic>
        </xdr:graphicFrame>
      </mc:Choice>
      <mc:Fallback xmlns="">
        <xdr:sp macro="" textlink="">
          <xdr:nvSpPr>
            <xdr:cNvPr id="0" name=""/>
            <xdr:cNvSpPr>
              <a:spLocks noTextEdit="1"/>
            </xdr:cNvSpPr>
          </xdr:nvSpPr>
          <xdr:spPr>
            <a:xfrm>
              <a:off x="14524511" y="6267202"/>
              <a:ext cx="1824842" cy="2539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120832</xdr:colOff>
      <xdr:row>15</xdr:row>
      <xdr:rowOff>50569</xdr:rowOff>
    </xdr:from>
    <xdr:to>
      <xdr:col>17</xdr:col>
      <xdr:colOff>850175</xdr:colOff>
      <xdr:row>26</xdr:row>
      <xdr:rowOff>68257</xdr:rowOff>
    </xdr:to>
    <mc:AlternateContent xmlns:mc="http://schemas.openxmlformats.org/markup-compatibility/2006" xmlns:a14="http://schemas.microsoft.com/office/drawing/2010/main">
      <mc:Choice Requires="a14">
        <xdr:graphicFrame macro="">
          <xdr:nvGraphicFramePr>
            <xdr:cNvPr id="7" name="CustomerSegment">
              <a:extLst>
                <a:ext uri="{FF2B5EF4-FFF2-40B4-BE49-F238E27FC236}">
                  <a16:creationId xmlns:a16="http://schemas.microsoft.com/office/drawing/2014/main" id="{0112E022-B35A-976F-268A-064204A4356C}"/>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mlns="">
        <xdr:sp macro="" textlink="">
          <xdr:nvSpPr>
            <xdr:cNvPr id="0" name=""/>
            <xdr:cNvSpPr>
              <a:spLocks noTextEdit="1"/>
            </xdr:cNvSpPr>
          </xdr:nvSpPr>
          <xdr:spPr>
            <a:xfrm>
              <a:off x="14529559" y="3666605"/>
              <a:ext cx="1823852" cy="2539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7</xdr:row>
      <xdr:rowOff>89263</xdr:rowOff>
    </xdr:from>
    <xdr:to>
      <xdr:col>17</xdr:col>
      <xdr:colOff>851263</xdr:colOff>
      <xdr:row>14</xdr:row>
      <xdr:rowOff>124691</xdr:rowOff>
    </xdr:to>
    <mc:AlternateContent xmlns:mc="http://schemas.openxmlformats.org/markup-compatibility/2006" xmlns:a14="http://schemas.microsoft.com/office/drawing/2010/main">
      <mc:Choice Requires="a14">
        <xdr:graphicFrame macro="">
          <xdr:nvGraphicFramePr>
            <xdr:cNvPr id="8" name="PurchaseChannel">
              <a:extLst>
                <a:ext uri="{FF2B5EF4-FFF2-40B4-BE49-F238E27FC236}">
                  <a16:creationId xmlns:a16="http://schemas.microsoft.com/office/drawing/2014/main" id="{0D75DD81-2620-38BB-4F27-7405E351E8F1}"/>
                </a:ext>
              </a:extLst>
            </xdr:cNvPr>
            <xdr:cNvGraphicFramePr/>
          </xdr:nvGraphicFramePr>
          <xdr:xfrm>
            <a:off x="0" y="0"/>
            <a:ext cx="0" cy="0"/>
          </xdr:xfrm>
          <a:graphic>
            <a:graphicData uri="http://schemas.microsoft.com/office/drawing/2010/slicer">
              <sle:slicer xmlns:sle="http://schemas.microsoft.com/office/drawing/2010/slicer" name="PurchaseChannel"/>
            </a:graphicData>
          </a:graphic>
        </xdr:graphicFrame>
      </mc:Choice>
      <mc:Fallback xmlns="">
        <xdr:sp macro="" textlink="">
          <xdr:nvSpPr>
            <xdr:cNvPr id="0" name=""/>
            <xdr:cNvSpPr>
              <a:spLocks noTextEdit="1"/>
            </xdr:cNvSpPr>
          </xdr:nvSpPr>
          <xdr:spPr>
            <a:xfrm>
              <a:off x="14530647" y="1890354"/>
              <a:ext cx="1823852" cy="1614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15933</xdr:colOff>
      <xdr:row>39</xdr:row>
      <xdr:rowOff>63037</xdr:rowOff>
    </xdr:from>
    <xdr:to>
      <xdr:col>17</xdr:col>
      <xdr:colOff>858982</xdr:colOff>
      <xdr:row>47</xdr:row>
      <xdr:rowOff>55417</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9E1FA063-1DB4-526A-F195-1999A031302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684920" y="9019011"/>
              <a:ext cx="7701049" cy="16450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382954</xdr:colOff>
      <xdr:row>205</xdr:row>
      <xdr:rowOff>100819</xdr:rowOff>
    </xdr:from>
    <xdr:to>
      <xdr:col>9</xdr:col>
      <xdr:colOff>409135</xdr:colOff>
      <xdr:row>223</xdr:row>
      <xdr:rowOff>110979</xdr:rowOff>
    </xdr:to>
    <xdr:graphicFrame macro="">
      <xdr:nvGraphicFramePr>
        <xdr:cNvPr id="2" name="Chart 1">
          <a:extLst>
            <a:ext uri="{FF2B5EF4-FFF2-40B4-BE49-F238E27FC236}">
              <a16:creationId xmlns:a16="http://schemas.microsoft.com/office/drawing/2014/main" id="{B00D25F4-ECB6-935C-7239-332FDE33D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977</xdr:colOff>
      <xdr:row>219</xdr:row>
      <xdr:rowOff>80499</xdr:rowOff>
    </xdr:from>
    <xdr:to>
      <xdr:col>9</xdr:col>
      <xdr:colOff>279595</xdr:colOff>
      <xdr:row>237</xdr:row>
      <xdr:rowOff>90659</xdr:rowOff>
    </xdr:to>
    <xdr:graphicFrame macro="">
      <xdr:nvGraphicFramePr>
        <xdr:cNvPr id="3" name="Chart 2">
          <a:extLst>
            <a:ext uri="{FF2B5EF4-FFF2-40B4-BE49-F238E27FC236}">
              <a16:creationId xmlns:a16="http://schemas.microsoft.com/office/drawing/2014/main" id="{05FE13F1-E6D9-2927-7157-94F8CA5D7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1417319</xdr:colOff>
      <xdr:row>233</xdr:row>
      <xdr:rowOff>60179</xdr:rowOff>
    </xdr:from>
    <xdr:to>
      <xdr:col>9</xdr:col>
      <xdr:colOff>211014</xdr:colOff>
      <xdr:row>251</xdr:row>
      <xdr:rowOff>70339</xdr:rowOff>
    </xdr:to>
    <xdr:graphicFrame macro="">
      <xdr:nvGraphicFramePr>
        <xdr:cNvPr id="4" name="Chart 3">
          <a:extLst>
            <a:ext uri="{FF2B5EF4-FFF2-40B4-BE49-F238E27FC236}">
              <a16:creationId xmlns:a16="http://schemas.microsoft.com/office/drawing/2014/main" id="{DD77C9EA-FDCA-040E-3844-E62DD99D3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263768</xdr:colOff>
      <xdr:row>251</xdr:row>
      <xdr:rowOff>152400</xdr:rowOff>
    </xdr:from>
    <xdr:to>
      <xdr:col>9</xdr:col>
      <xdr:colOff>29307</xdr:colOff>
      <xdr:row>266</xdr:row>
      <xdr:rowOff>82061</xdr:rowOff>
    </xdr:to>
    <xdr:graphicFrame macro="">
      <xdr:nvGraphicFramePr>
        <xdr:cNvPr id="5" name="Chart 4">
          <a:extLst>
            <a:ext uri="{FF2B5EF4-FFF2-40B4-BE49-F238E27FC236}">
              <a16:creationId xmlns:a16="http://schemas.microsoft.com/office/drawing/2014/main" id="{413EF6FB-7A39-4C47-8E17-6ABA10C91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shey" refreshedDate="46125.700797337966" createdVersion="8" refreshedVersion="8" minRefreshableVersion="3" recordCount="200" xr:uid="{F73D4F9C-973E-4AF8-A186-C5A5A87393B4}">
  <cacheSource type="worksheet">
    <worksheetSource ref="A2:T202" sheet="Pivot Analysis"/>
  </cacheSource>
  <cacheFields count="20">
    <cacheField name="CustomerID" numFmtId="0">
      <sharedItems/>
    </cacheField>
    <cacheField name="Name" numFmtId="0">
      <sharedItems/>
    </cacheField>
    <cacheField name="Gender" numFmtId="0">
      <sharedItems/>
    </cacheField>
    <cacheField name="AgeGroup" numFmtId="0">
      <sharedItems count="4">
        <s v="55+"/>
        <s v="40-54"/>
        <s v="25-39"/>
        <s v="&lt;25"/>
      </sharedItems>
    </cacheField>
    <cacheField name="City/Region" numFmtId="0">
      <sharedItems count="23">
        <s v="Noida"/>
        <s v="Bangalore"/>
        <s v="Indore"/>
        <s v="Jaipur"/>
        <s v="Bhubaneswar"/>
        <s v="Kolkata"/>
        <s v="Hyderabad"/>
        <s v="Ahmedabad"/>
        <s v="Bhopal"/>
        <s v="Lucknow"/>
        <s v="Surat"/>
        <s v="Chennai"/>
        <s v="Chandigarh"/>
        <s v="Delhi"/>
        <s v="Pune"/>
        <s v="Mumbai"/>
        <s v="Nagpur"/>
        <s v="Gurgaon"/>
        <s v="Kochi"/>
        <s v="Faridabad"/>
        <s v="Coimbatore"/>
        <s v="Patna"/>
        <s v="Vadodara"/>
      </sharedItems>
    </cacheField>
    <cacheField name="IncomeBracket" numFmtId="0">
      <sharedItems/>
    </cacheField>
    <cacheField name="CustomerType" numFmtId="0">
      <sharedItems/>
    </cacheField>
    <cacheField name="EngagementLevel" numFmtId="0">
      <sharedItems/>
    </cacheField>
    <cacheField name="CustomerSegment" numFmtId="0">
      <sharedItems count="5">
        <s v="General"/>
        <s v="At Risk"/>
        <s v="High Value"/>
        <s v="Loyal"/>
        <s v="Bargain Seeker"/>
      </sharedItems>
    </cacheField>
    <cacheField name="ProductPreference" numFmtId="0">
      <sharedItems/>
    </cacheField>
    <cacheField name="PurchaseChannel" numFmtId="0">
      <sharedItems count="2">
        <s v="Online"/>
        <s v="Offline"/>
      </sharedItems>
    </cacheField>
    <cacheField name="RFM_Recency" numFmtId="3">
      <sharedItems containsSemiMixedTypes="0" containsString="0" containsNumber="1" containsInteger="1" minValue="13" maxValue="374"/>
    </cacheField>
    <cacheField name="RFM_Frequency" numFmtId="3">
      <sharedItems containsSemiMixedTypes="0" containsString="0" containsNumber="1" containsInteger="1" minValue="1" maxValue="15"/>
    </cacheField>
    <cacheField name="RFM_Monetary" numFmtId="3">
      <sharedItems containsSemiMixedTypes="0" containsString="0" containsNumber="1" containsInteger="1" minValue="570" maxValue="154391"/>
    </cacheField>
    <cacheField name="RFM_Score" numFmtId="0">
      <sharedItems/>
    </cacheField>
    <cacheField name="SatisfactionIndex" numFmtId="0">
      <sharedItems containsSemiMixedTypes="0" containsString="0" containsNumber="1" minValue="0.75" maxValue="5"/>
    </cacheField>
    <cacheField name="Satisfaction" numFmtId="0">
      <sharedItems containsSemiMixedTypes="0" containsString="0" containsNumber="1" containsInteger="1" minValue="1" maxValue="5"/>
    </cacheField>
    <cacheField name="RecommendationLikelihood" numFmtId="0">
      <sharedItems containsSemiMixedTypes="0" containsString="0" containsNumber="1" containsInteger="1" minValue="1" maxValue="10"/>
    </cacheField>
    <cacheField name="TotalTransactions" numFmtId="0">
      <sharedItems containsSemiMixedTypes="0" containsString="0" containsNumber="1" containsInteger="1" minValue="1" maxValue="15"/>
    </cacheField>
    <cacheField name="DiscountSensitivity" numFmtId="0">
      <sharedItems/>
    </cacheField>
  </cacheFields>
  <extLst>
    <ext xmlns:x14="http://schemas.microsoft.com/office/spreadsheetml/2009/9/main" uri="{725AE2AE-9491-48be-B2B4-4EB974FC3084}">
      <x14:pivotCacheDefinition pivotCacheId="20345406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ishey" refreshedDate="46125.708346874999" createdVersion="8" refreshedVersion="8" minRefreshableVersion="3" recordCount="1044" xr:uid="{CF448CEE-5BDB-4456-9B21-13B5C468B722}">
  <cacheSource type="worksheet">
    <worksheetSource ref="O2:U1046" sheet="Raw Data"/>
  </cacheSource>
  <cacheFields count="7">
    <cacheField name="TransactionID" numFmtId="0">
      <sharedItems/>
    </cacheField>
    <cacheField name="CustomerID" numFmtId="0">
      <sharedItems/>
    </cacheField>
    <cacheField name="Date" numFmtId="165">
      <sharedItems containsSemiMixedTypes="0" containsNonDate="0" containsDate="1" containsString="0" minDate="2025-04-01T00:00:00" maxDate="2026-04-01T00:00:00" count="339">
        <d v="2026-03-04T00:00:00"/>
        <d v="2026-01-21T00:00:00"/>
        <d v="2025-10-12T00:00:00"/>
        <d v="2025-10-23T00:00:00"/>
        <d v="2026-02-21T00:00:00"/>
        <d v="2025-10-03T00:00:00"/>
        <d v="2025-12-12T00:00:00"/>
        <d v="2025-08-15T00:00:00"/>
        <d v="2025-06-07T00:00:00"/>
        <d v="2025-12-05T00:00:00"/>
        <d v="2025-04-15T00:00:00"/>
        <d v="2025-06-21T00:00:00"/>
        <d v="2025-04-08T00:00:00"/>
        <d v="2025-11-23T00:00:00"/>
        <d v="2025-06-18T00:00:00"/>
        <d v="2025-08-18T00:00:00"/>
        <d v="2025-12-04T00:00:00"/>
        <d v="2025-06-14T00:00:00"/>
        <d v="2025-12-22T00:00:00"/>
        <d v="2025-10-30T00:00:00"/>
        <d v="2025-08-29T00:00:00"/>
        <d v="2025-07-24T00:00:00"/>
        <d v="2025-08-02T00:00:00"/>
        <d v="2025-07-06T00:00:00"/>
        <d v="2025-06-22T00:00:00"/>
        <d v="2025-08-25T00:00:00"/>
        <d v="2025-05-30T00:00:00"/>
        <d v="2025-07-31T00:00:00"/>
        <d v="2025-07-07T00:00:00"/>
        <d v="2025-05-09T00:00:00"/>
        <d v="2025-04-10T00:00:00"/>
        <d v="2025-04-26T00:00:00"/>
        <d v="2025-05-01T00:00:00"/>
        <d v="2025-08-31T00:00:00"/>
        <d v="2026-01-10T00:00:00"/>
        <d v="2026-01-11T00:00:00"/>
        <d v="2026-01-03T00:00:00"/>
        <d v="2025-08-26T00:00:00"/>
        <d v="2025-05-17T00:00:00"/>
        <d v="2025-05-22T00:00:00"/>
        <d v="2025-06-25T00:00:00"/>
        <d v="2025-09-14T00:00:00"/>
        <d v="2025-12-28T00:00:00"/>
        <d v="2026-01-15T00:00:00"/>
        <d v="2025-05-11T00:00:00"/>
        <d v="2025-10-13T00:00:00"/>
        <d v="2025-06-13T00:00:00"/>
        <d v="2026-02-06T00:00:00"/>
        <d v="2025-09-24T00:00:00"/>
        <d v="2025-11-04T00:00:00"/>
        <d v="2025-08-30T00:00:00"/>
        <d v="2025-04-05T00:00:00"/>
        <d v="2025-07-27T00:00:00"/>
        <d v="2025-09-28T00:00:00"/>
        <d v="2026-03-14T00:00:00"/>
        <d v="2026-02-16T00:00:00"/>
        <d v="2025-04-21T00:00:00"/>
        <d v="2025-10-04T00:00:00"/>
        <d v="2026-03-15T00:00:00"/>
        <d v="2026-01-22T00:00:00"/>
        <d v="2026-02-07T00:00:00"/>
        <d v="2025-07-25T00:00:00"/>
        <d v="2025-06-03T00:00:00"/>
        <d v="2025-10-06T00:00:00"/>
        <d v="2025-10-08T00:00:00"/>
        <d v="2026-02-12T00:00:00"/>
        <d v="2025-09-15T00:00:00"/>
        <d v="2025-11-24T00:00:00"/>
        <d v="2025-09-02T00:00:00"/>
        <d v="2025-04-20T00:00:00"/>
        <d v="2025-12-09T00:00:00"/>
        <d v="2026-01-02T00:00:00"/>
        <d v="2025-05-21T00:00:00"/>
        <d v="2025-04-17T00:00:00"/>
        <d v="2026-03-31T00:00:00"/>
        <d v="2025-10-01T00:00:00"/>
        <d v="2025-10-21T00:00:00"/>
        <d v="2025-07-18T00:00:00"/>
        <d v="2025-08-03T00:00:00"/>
        <d v="2025-05-06T00:00:00"/>
        <d v="2025-07-16T00:00:00"/>
        <d v="2025-09-16T00:00:00"/>
        <d v="2026-01-31T00:00:00"/>
        <d v="2025-06-06T00:00:00"/>
        <d v="2025-08-07T00:00:00"/>
        <d v="2026-03-24T00:00:00"/>
        <d v="2025-09-13T00:00:00"/>
        <d v="2026-03-17T00:00:00"/>
        <d v="2025-11-16T00:00:00"/>
        <d v="2025-11-18T00:00:00"/>
        <d v="2025-07-23T00:00:00"/>
        <d v="2025-12-23T00:00:00"/>
        <d v="2026-03-02T00:00:00"/>
        <d v="2025-12-08T00:00:00"/>
        <d v="2025-11-14T00:00:00"/>
        <d v="2025-06-15T00:00:00"/>
        <d v="2025-06-04T00:00:00"/>
        <d v="2026-01-14T00:00:00"/>
        <d v="2026-03-09T00:00:00"/>
        <d v="2026-03-25T00:00:00"/>
        <d v="2025-07-12T00:00:00"/>
        <d v="2025-06-05T00:00:00"/>
        <d v="2025-05-10T00:00:00"/>
        <d v="2025-09-29T00:00:00"/>
        <d v="2025-11-03T00:00:00"/>
        <d v="2026-02-02T00:00:00"/>
        <d v="2025-12-03T00:00:00"/>
        <d v="2026-02-22T00:00:00"/>
        <d v="2026-01-13T00:00:00"/>
        <d v="2026-02-09T00:00:00"/>
        <d v="2025-07-02T00:00:00"/>
        <d v="2025-09-27T00:00:00"/>
        <d v="2025-07-04T00:00:00"/>
        <d v="2026-02-19T00:00:00"/>
        <d v="2025-11-19T00:00:00"/>
        <d v="2025-06-20T00:00:00"/>
        <d v="2026-02-24T00:00:00"/>
        <d v="2025-05-29T00:00:00"/>
        <d v="2025-12-06T00:00:00"/>
        <d v="2025-09-05T00:00:00"/>
        <d v="2025-04-29T00:00:00"/>
        <d v="2025-07-14T00:00:00"/>
        <d v="2025-12-19T00:00:00"/>
        <d v="2025-12-11T00:00:00"/>
        <d v="2026-03-27T00:00:00"/>
        <d v="2025-06-27T00:00:00"/>
        <d v="2025-11-22T00:00:00"/>
        <d v="2025-11-10T00:00:00"/>
        <d v="2026-02-11T00:00:00"/>
        <d v="2025-04-25T00:00:00"/>
        <d v="2025-05-15T00:00:00"/>
        <d v="2025-06-26T00:00:00"/>
        <d v="2025-06-28T00:00:00"/>
        <d v="2025-06-17T00:00:00"/>
        <d v="2025-09-03T00:00:00"/>
        <d v="2026-01-28T00:00:00"/>
        <d v="2026-02-25T00:00:00"/>
        <d v="2026-01-09T00:00:00"/>
        <d v="2025-04-22T00:00:00"/>
        <d v="2026-02-04T00:00:00"/>
        <d v="2025-12-15T00:00:00"/>
        <d v="2025-11-11T00:00:00"/>
        <d v="2025-12-25T00:00:00"/>
        <d v="2025-08-23T00:00:00"/>
        <d v="2025-10-27T00:00:00"/>
        <d v="2025-09-19T00:00:00"/>
        <d v="2025-06-16T00:00:00"/>
        <d v="2025-05-12T00:00:00"/>
        <d v="2025-09-06T00:00:00"/>
        <d v="2026-03-19T00:00:00"/>
        <d v="2025-12-26T00:00:00"/>
        <d v="2026-02-18T00:00:00"/>
        <d v="2025-07-29T00:00:00"/>
        <d v="2025-07-09T00:00:00"/>
        <d v="2026-01-18T00:00:00"/>
        <d v="2025-12-27T00:00:00"/>
        <d v="2026-02-27T00:00:00"/>
        <d v="2025-09-26T00:00:00"/>
        <d v="2025-10-15T00:00:00"/>
        <d v="2025-10-09T00:00:00"/>
        <d v="2025-06-10T00:00:00"/>
        <d v="2025-06-11T00:00:00"/>
        <d v="2025-11-21T00:00:00"/>
        <d v="2025-05-27T00:00:00"/>
        <d v="2025-04-09T00:00:00"/>
        <d v="2025-12-20T00:00:00"/>
        <d v="2025-11-06T00:00:00"/>
        <d v="2025-04-18T00:00:00"/>
        <d v="2025-10-02T00:00:00"/>
        <d v="2025-07-05T00:00:00"/>
        <d v="2025-10-05T00:00:00"/>
        <d v="2025-10-16T00:00:00"/>
        <d v="2025-06-09T00:00:00"/>
        <d v="2025-04-19T00:00:00"/>
        <d v="2025-07-13T00:00:00"/>
        <d v="2025-09-09T00:00:00"/>
        <d v="2025-08-08T00:00:00"/>
        <d v="2026-02-26T00:00:00"/>
        <d v="2025-11-12T00:00:00"/>
        <d v="2025-09-21T00:00:00"/>
        <d v="2026-03-03T00:00:00"/>
        <d v="2025-07-19T00:00:00"/>
        <d v="2025-04-11T00:00:00"/>
        <d v="2025-06-30T00:00:00"/>
        <d v="2026-03-07T00:00:00"/>
        <d v="2025-09-08T00:00:00"/>
        <d v="2025-08-21T00:00:00"/>
        <d v="2025-08-12T00:00:00"/>
        <d v="2025-11-15T00:00:00"/>
        <d v="2025-06-02T00:00:00"/>
        <d v="2025-05-31T00:00:00"/>
        <d v="2025-08-27T00:00:00"/>
        <d v="2025-11-25T00:00:00"/>
        <d v="2025-12-21T00:00:00"/>
        <d v="2025-07-03T00:00:00"/>
        <d v="2026-01-08T00:00:00"/>
        <d v="2025-12-14T00:00:00"/>
        <d v="2026-02-13T00:00:00"/>
        <d v="2025-10-31T00:00:00"/>
        <d v="2025-10-25T00:00:00"/>
        <d v="2025-09-11T00:00:00"/>
        <d v="2025-04-24T00:00:00"/>
        <d v="2025-04-16T00:00:00"/>
        <d v="2025-04-13T00:00:00"/>
        <d v="2025-04-02T00:00:00"/>
        <d v="2025-11-29T00:00:00"/>
        <d v="2025-11-20T00:00:00"/>
        <d v="2025-09-01T00:00:00"/>
        <d v="2025-09-20T00:00:00"/>
        <d v="2025-11-30T00:00:00"/>
        <d v="2026-02-05T00:00:00"/>
        <d v="2026-03-18T00:00:00"/>
        <d v="2026-02-17T00:00:00"/>
        <d v="2026-03-16T00:00:00"/>
        <d v="2025-07-15T00:00:00"/>
        <d v="2025-09-17T00:00:00"/>
        <d v="2025-08-13T00:00:00"/>
        <d v="2026-02-03T00:00:00"/>
        <d v="2025-09-10T00:00:00"/>
        <d v="2025-08-19T00:00:00"/>
        <d v="2025-09-25T00:00:00"/>
        <d v="2026-01-01T00:00:00"/>
        <d v="2026-02-01T00:00:00"/>
        <d v="2026-03-23T00:00:00"/>
        <d v="2025-08-01T00:00:00"/>
        <d v="2025-06-29T00:00:00"/>
        <d v="2026-01-05T00:00:00"/>
        <d v="2025-07-08T00:00:00"/>
        <d v="2025-11-05T00:00:00"/>
        <d v="2025-07-30T00:00:00"/>
        <d v="2025-05-02T00:00:00"/>
        <d v="2025-07-21T00:00:00"/>
        <d v="2026-01-06T00:00:00"/>
        <d v="2026-02-28T00:00:00"/>
        <d v="2025-04-12T00:00:00"/>
        <d v="2025-11-28T00:00:00"/>
        <d v="2025-11-02T00:00:00"/>
        <d v="2025-10-10T00:00:00"/>
        <d v="2025-07-01T00:00:00"/>
        <d v="2025-10-19T00:00:00"/>
        <d v="2025-12-29T00:00:00"/>
        <d v="2025-06-24T00:00:00"/>
        <d v="2025-07-10T00:00:00"/>
        <d v="2025-05-19T00:00:00"/>
        <d v="2025-05-05T00:00:00"/>
        <d v="2025-12-02T00:00:00"/>
        <d v="2026-03-01T00:00:00"/>
        <d v="2025-09-12T00:00:00"/>
        <d v="2025-10-28T00:00:00"/>
        <d v="2025-05-25T00:00:00"/>
        <d v="2026-01-04T00:00:00"/>
        <d v="2026-01-26T00:00:00"/>
        <d v="2025-06-23T00:00:00"/>
        <d v="2025-07-28T00:00:00"/>
        <d v="2025-09-30T00:00:00"/>
        <d v="2025-08-16T00:00:00"/>
        <d v="2025-10-14T00:00:00"/>
        <d v="2026-01-12T00:00:00"/>
        <d v="2025-05-07T00:00:00"/>
        <d v="2026-01-20T00:00:00"/>
        <d v="2025-10-20T00:00:00"/>
        <d v="2025-12-18T00:00:00"/>
        <d v="2026-02-20T00:00:00"/>
        <d v="2025-11-13T00:00:00"/>
        <d v="2025-04-30T00:00:00"/>
        <d v="2026-01-30T00:00:00"/>
        <d v="2026-01-23T00:00:00"/>
        <d v="2025-05-23T00:00:00"/>
        <d v="2025-05-14T00:00:00"/>
        <d v="2025-09-18T00:00:00"/>
        <d v="2026-03-06T00:00:00"/>
        <d v="2026-03-29T00:00:00"/>
        <d v="2026-03-26T00:00:00"/>
        <d v="2026-03-10T00:00:00"/>
        <d v="2025-09-22T00:00:00"/>
        <d v="2026-03-05T00:00:00"/>
        <d v="2026-02-14T00:00:00"/>
        <d v="2025-04-23T00:00:00"/>
        <d v="2026-03-13T00:00:00"/>
        <d v="2025-11-01T00:00:00"/>
        <d v="2025-04-27T00:00:00"/>
        <d v="2025-08-24T00:00:00"/>
        <d v="2026-03-28T00:00:00"/>
        <d v="2026-02-10T00:00:00"/>
        <d v="2025-12-31T00:00:00"/>
        <d v="2025-04-01T00:00:00"/>
        <d v="2025-12-16T00:00:00"/>
        <d v="2025-06-08T00:00:00"/>
        <d v="2025-10-22T00:00:00"/>
        <d v="2026-03-21T00:00:00"/>
        <d v="2025-09-04T00:00:00"/>
        <d v="2025-10-07T00:00:00"/>
        <d v="2025-08-06T00:00:00"/>
        <d v="2026-03-22T00:00:00"/>
        <d v="2026-03-30T00:00:00"/>
        <d v="2025-12-17T00:00:00"/>
        <d v="2025-04-14T00:00:00"/>
        <d v="2026-01-19T00:00:00"/>
        <d v="2025-05-04T00:00:00"/>
        <d v="2025-11-17T00:00:00"/>
        <d v="2025-05-18T00:00:00"/>
        <d v="2026-02-23T00:00:00"/>
        <d v="2025-06-12T00:00:00"/>
        <d v="2026-01-24T00:00:00"/>
        <d v="2025-05-26T00:00:00"/>
        <d v="2025-08-14T00:00:00"/>
        <d v="2025-10-24T00:00:00"/>
        <d v="2025-08-22T00:00:00"/>
        <d v="2025-05-20T00:00:00"/>
        <d v="2026-01-29T00:00:00"/>
        <d v="2025-07-26T00:00:00"/>
        <d v="2026-03-20T00:00:00"/>
        <d v="2025-12-13T00:00:00"/>
        <d v="2025-08-17T00:00:00"/>
        <d v="2025-04-03T00:00:00"/>
        <d v="2025-10-26T00:00:00"/>
        <d v="2025-12-01T00:00:00"/>
        <d v="2025-12-30T00:00:00"/>
        <d v="2026-01-16T00:00:00"/>
        <d v="2026-03-12T00:00:00"/>
        <d v="2025-04-06T00:00:00"/>
        <d v="2026-03-08T00:00:00"/>
        <d v="2026-01-07T00:00:00"/>
        <d v="2025-05-03T00:00:00"/>
        <d v="2025-10-11T00:00:00"/>
        <d v="2025-08-20T00:00:00"/>
        <d v="2026-03-11T00:00:00"/>
        <d v="2025-08-04T00:00:00"/>
        <d v="2025-11-27T00:00:00"/>
        <d v="2026-01-17T00:00:00"/>
        <d v="2025-10-29T00:00:00"/>
        <d v="2025-05-08T00:00:00"/>
        <d v="2025-10-17T00:00:00"/>
        <d v="2025-05-16T00:00:00"/>
        <d v="2026-02-15T00:00:00"/>
        <d v="2025-04-04T00:00:00"/>
        <d v="2025-08-28T00:00:00"/>
        <d v="2026-02-08T00:00:00"/>
        <d v="2025-09-23T00:00:00"/>
      </sharedItems>
    </cacheField>
    <cacheField name="ProductCategory" numFmtId="0">
      <sharedItems/>
    </cacheField>
    <cacheField name="Amount (INR)" numFmtId="0">
      <sharedItems containsSemiMixedTypes="0" containsString="0" containsNumber="1" containsInteger="1" minValue="500" maxValue="25000"/>
    </cacheField>
    <cacheField name="—" numFmtId="0">
      <sharedItems containsNonDate="0" containsString="0" containsBlank="1"/>
    </cacheField>
    <cacheField name="TxnMonth" numFmtId="0">
      <sharedItems count="24">
        <s v="2026-03"/>
        <s v="2026-01"/>
        <s v="2025-10"/>
        <s v="2026-02"/>
        <s v="2025-12"/>
        <s v="2025-08"/>
        <s v="2025-06"/>
        <s v="2025-04"/>
        <s v="2025-11"/>
        <s v="2025-07"/>
        <s v="2025-05"/>
        <s v="2025-09"/>
        <s v="Apr 2025" u="1"/>
        <s v="Mar 2026" u="1"/>
        <s v="Nov 2025" u="1"/>
        <s v="Dec 2025" u="1"/>
        <s v="Oct 2025" u="1"/>
        <s v="Jul 2025" u="1"/>
        <s v="Aug 2025" u="1"/>
        <s v="Jun 2025" u="1"/>
        <s v="May 2025" u="1"/>
        <s v="Jan 2026" u="1"/>
        <s v="Feb 2026" u="1"/>
        <s v="Sep 2025" u="1"/>
      </sharedItems>
    </cacheField>
  </cacheFields>
  <extLst>
    <ext xmlns:x14="http://schemas.microsoft.com/office/spreadsheetml/2009/9/main" uri="{725AE2AE-9491-48be-B2B4-4EB974FC3084}">
      <x14:pivotCacheDefinition pivotCacheId="2117891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0001"/>
    <s v="Arjun Sharma"/>
    <s v="Male"/>
    <x v="0"/>
    <x v="0"/>
    <s v="Low"/>
    <s v="New"/>
    <s v="Low"/>
    <x v="0"/>
    <s v="Beauty"/>
    <x v="0"/>
    <n v="40"/>
    <n v="1"/>
    <n v="10900"/>
    <s v="412"/>
    <n v="4"/>
    <n v="4"/>
    <n v="8"/>
    <n v="1"/>
    <s v="High"/>
  </r>
  <r>
    <s v="C0002"/>
    <s v="Vikram Singh"/>
    <s v="Male"/>
    <x v="1"/>
    <x v="1"/>
    <s v="High"/>
    <s v="New"/>
    <s v="Medium"/>
    <x v="0"/>
    <s v="Grocery"/>
    <x v="0"/>
    <n v="82"/>
    <n v="1"/>
    <n v="3780"/>
    <s v="311"/>
    <n v="3"/>
    <n v="3"/>
    <n v="6"/>
    <n v="1"/>
    <s v="Low"/>
  </r>
  <r>
    <s v="C0003"/>
    <s v="Rohan Mehta"/>
    <s v="Male"/>
    <x v="2"/>
    <x v="2"/>
    <s v="Mid"/>
    <s v="Returning"/>
    <s v="Low"/>
    <x v="1"/>
    <s v="Grocery"/>
    <x v="0"/>
    <n v="172"/>
    <n v="2"/>
    <n v="5380"/>
    <s v="222"/>
    <n v="3.75"/>
    <n v="4"/>
    <n v="7"/>
    <n v="2"/>
    <s v="High"/>
  </r>
  <r>
    <s v="C0004"/>
    <s v="Nikhil Gupta"/>
    <s v="Male"/>
    <x v="1"/>
    <x v="3"/>
    <s v="Mid"/>
    <s v="New"/>
    <s v="Low"/>
    <x v="0"/>
    <s v="Electronics"/>
    <x v="1"/>
    <n v="51"/>
    <n v="1"/>
    <n v="12070"/>
    <s v="412"/>
    <n v="3"/>
    <n v="3"/>
    <n v="6"/>
    <n v="1"/>
    <s v="Low"/>
  </r>
  <r>
    <s v="C0005"/>
    <s v="Amit Verma"/>
    <s v="Male"/>
    <x v="1"/>
    <x v="4"/>
    <s v="Mid"/>
    <s v="Returning"/>
    <s v="High"/>
    <x v="2"/>
    <s v="Home Decor"/>
    <x v="1"/>
    <n v="112"/>
    <n v="14"/>
    <n v="66820"/>
    <s v="255"/>
    <n v="3"/>
    <n v="4"/>
    <n v="4"/>
    <n v="14"/>
    <s v="Medium"/>
  </r>
  <r>
    <s v="C0006"/>
    <s v="Suresh Kumar"/>
    <s v="Male"/>
    <x v="1"/>
    <x v="5"/>
    <s v="High"/>
    <s v="Returning"/>
    <s v="Low"/>
    <x v="1"/>
    <s v="Grocery"/>
    <x v="0"/>
    <n v="165"/>
    <n v="1"/>
    <n v="12330"/>
    <s v="212"/>
    <n v="3.75"/>
    <n v="4"/>
    <n v="7"/>
    <n v="1"/>
    <s v="Low"/>
  </r>
  <r>
    <s v="C0007"/>
    <s v="Rajesh Patel"/>
    <s v="Male"/>
    <x v="2"/>
    <x v="1"/>
    <s v="High"/>
    <s v="Returning"/>
    <s v="High"/>
    <x v="2"/>
    <s v="Clothing"/>
    <x v="0"/>
    <n v="225"/>
    <n v="14"/>
    <n v="108600"/>
    <s v="155"/>
    <n v="3"/>
    <n v="4"/>
    <n v="4"/>
    <n v="14"/>
    <s v="Low"/>
  </r>
  <r>
    <s v="C0008"/>
    <s v="Aditya Joshi"/>
    <s v="Male"/>
    <x v="1"/>
    <x v="6"/>
    <s v="High"/>
    <s v="New"/>
    <s v="Medium"/>
    <x v="1"/>
    <s v="Grocery"/>
    <x v="1"/>
    <n v="93"/>
    <n v="1"/>
    <n v="570"/>
    <s v="211"/>
    <n v="1.75"/>
    <n v="1"/>
    <n v="5"/>
    <n v="1"/>
    <s v="Low"/>
  </r>
  <r>
    <s v="C0009"/>
    <s v="Karan Kapoor"/>
    <s v="Male"/>
    <x v="1"/>
    <x v="7"/>
    <s v="High"/>
    <s v="New"/>
    <s v="High"/>
    <x v="1"/>
    <s v="Grocery"/>
    <x v="0"/>
    <n v="92"/>
    <n v="1"/>
    <n v="6730"/>
    <s v="212"/>
    <n v="4.25"/>
    <n v="4"/>
    <n v="9"/>
    <n v="1"/>
    <s v="Low"/>
  </r>
  <r>
    <s v="C0010"/>
    <s v="Deepak Nair"/>
    <s v="Male"/>
    <x v="3"/>
    <x v="3"/>
    <s v="Mid"/>
    <s v="Returning"/>
    <s v="High"/>
    <x v="2"/>
    <s v="Sports"/>
    <x v="0"/>
    <n v="40"/>
    <n v="14"/>
    <n v="51230"/>
    <s v="455"/>
    <n v="3"/>
    <n v="3"/>
    <n v="6"/>
    <n v="14"/>
    <s v="Medium"/>
  </r>
  <r>
    <s v="C0011"/>
    <s v="Manish Tiwari"/>
    <s v="Male"/>
    <x v="0"/>
    <x v="8"/>
    <s v="Mid"/>
    <s v="New"/>
    <s v="Medium"/>
    <x v="0"/>
    <s v="Beauty"/>
    <x v="0"/>
    <n v="66"/>
    <n v="1"/>
    <n v="3660"/>
    <s v="311"/>
    <n v="4"/>
    <n v="4"/>
    <n v="8"/>
    <n v="1"/>
    <s v="Medium"/>
  </r>
  <r>
    <s v="C0012"/>
    <s v="Gaurav Saxena"/>
    <s v="Male"/>
    <x v="0"/>
    <x v="9"/>
    <s v="High"/>
    <s v="Returning"/>
    <s v="Low"/>
    <x v="1"/>
    <s v="Grocery"/>
    <x v="0"/>
    <n v="160"/>
    <n v="2"/>
    <n v="5290"/>
    <s v="222"/>
    <n v="4"/>
    <n v="4"/>
    <n v="8"/>
    <n v="2"/>
    <s v="Medium"/>
  </r>
  <r>
    <s v="C0013"/>
    <s v="Sanjay Yadav"/>
    <s v="Male"/>
    <x v="3"/>
    <x v="0"/>
    <s v="Mid"/>
    <s v="Returning"/>
    <s v="Low"/>
    <x v="3"/>
    <s v="Sports"/>
    <x v="1"/>
    <n v="29"/>
    <n v="14"/>
    <n v="93470"/>
    <s v="555"/>
    <n v="3.5"/>
    <n v="3"/>
    <n v="8"/>
    <n v="14"/>
    <s v="Medium"/>
  </r>
  <r>
    <s v="C0014"/>
    <s v="Rahul Mishra"/>
    <s v="Male"/>
    <x v="1"/>
    <x v="10"/>
    <s v="Mid"/>
    <s v="New"/>
    <s v="High"/>
    <x v="0"/>
    <s v="Grocery"/>
    <x v="1"/>
    <n v="81"/>
    <n v="1"/>
    <n v="17170"/>
    <s v="313"/>
    <n v="3.25"/>
    <n v="4"/>
    <n v="5"/>
    <n v="1"/>
    <s v="High"/>
  </r>
  <r>
    <s v="C0015"/>
    <s v="Varun Chopra"/>
    <s v="Male"/>
    <x v="0"/>
    <x v="3"/>
    <s v="Mid"/>
    <s v="New"/>
    <s v="Medium"/>
    <x v="0"/>
    <s v="Electronics"/>
    <x v="0"/>
    <n v="65"/>
    <n v="1"/>
    <n v="4430"/>
    <s v="311"/>
    <n v="4"/>
    <n v="5"/>
    <n v="6"/>
    <n v="1"/>
    <s v="High"/>
  </r>
  <r>
    <s v="C0016"/>
    <s v="Harish Reddy"/>
    <s v="Male"/>
    <x v="1"/>
    <x v="11"/>
    <s v="High"/>
    <s v="New"/>
    <s v="Medium"/>
    <x v="1"/>
    <s v="Sports"/>
    <x v="1"/>
    <n v="262"/>
    <n v="1"/>
    <n v="2170"/>
    <s v="111"/>
    <n v="2.75"/>
    <n v="2"/>
    <n v="7"/>
    <n v="1"/>
    <s v="Medium"/>
  </r>
  <r>
    <s v="C0017"/>
    <s v="Pradeep Iyer"/>
    <s v="Male"/>
    <x v="2"/>
    <x v="12"/>
    <s v="High"/>
    <s v="Returning"/>
    <s v="High"/>
    <x v="2"/>
    <s v="Home Decor"/>
    <x v="1"/>
    <n v="56"/>
    <n v="12"/>
    <n v="57460"/>
    <s v="455"/>
    <n v="3.25"/>
    <n v="3"/>
    <n v="7"/>
    <n v="12"/>
    <s v="Medium"/>
  </r>
  <r>
    <s v="C0018"/>
    <s v="Ankit Dubey"/>
    <s v="Male"/>
    <x v="1"/>
    <x v="13"/>
    <s v="Mid"/>
    <s v="Returning"/>
    <s v="Medium"/>
    <x v="4"/>
    <s v="Clothing"/>
    <x v="1"/>
    <n v="13"/>
    <n v="5"/>
    <n v="22010"/>
    <s v="533"/>
    <n v="3.75"/>
    <n v="4"/>
    <n v="7"/>
    <n v="5"/>
    <s v="Low"/>
  </r>
  <r>
    <s v="C0019"/>
    <s v="Vivek Pandey"/>
    <s v="Male"/>
    <x v="0"/>
    <x v="1"/>
    <s v="Mid"/>
    <s v="Returning"/>
    <s v="Medium"/>
    <x v="3"/>
    <s v="Electronics"/>
    <x v="1"/>
    <n v="20"/>
    <n v="13"/>
    <n v="101320"/>
    <s v="555"/>
    <n v="3.5"/>
    <n v="4"/>
    <n v="6"/>
    <n v="13"/>
    <s v="Low"/>
  </r>
  <r>
    <s v="C0020"/>
    <s v="Mohit Bhatia"/>
    <s v="Male"/>
    <x v="0"/>
    <x v="8"/>
    <s v="High"/>
    <s v="Returning"/>
    <s v="Medium"/>
    <x v="0"/>
    <s v="Clothing"/>
    <x v="0"/>
    <n v="27"/>
    <n v="2"/>
    <n v="13200"/>
    <s v="522"/>
    <n v="3.5"/>
    <n v="4"/>
    <n v="6"/>
    <n v="2"/>
    <s v="Low"/>
  </r>
  <r>
    <s v="C0021"/>
    <s v="Sachin Rao"/>
    <s v="Male"/>
    <x v="1"/>
    <x v="6"/>
    <s v="High"/>
    <s v="Returning"/>
    <s v="Medium"/>
    <x v="4"/>
    <s v="Electronics"/>
    <x v="1"/>
    <n v="42"/>
    <n v="5"/>
    <n v="17460"/>
    <s v="433"/>
    <n v="3"/>
    <n v="2"/>
    <n v="8"/>
    <n v="5"/>
    <s v="Medium"/>
  </r>
  <r>
    <s v="C0022"/>
    <s v="Tarun Malhotra"/>
    <s v="Male"/>
    <x v="2"/>
    <x v="14"/>
    <s v="Mid"/>
    <s v="Returning"/>
    <s v="Medium"/>
    <x v="0"/>
    <s v="Sports"/>
    <x v="0"/>
    <n v="89"/>
    <n v="5"/>
    <n v="36500"/>
    <s v="334"/>
    <n v="2.75"/>
    <n v="3"/>
    <n v="5"/>
    <n v="5"/>
    <s v="Low"/>
  </r>
  <r>
    <s v="C0023"/>
    <s v="Vijay Menon"/>
    <s v="Male"/>
    <x v="0"/>
    <x v="15"/>
    <s v="Mid"/>
    <s v="New"/>
    <s v="Low"/>
    <x v="0"/>
    <s v="Beauty"/>
    <x v="1"/>
    <n v="35"/>
    <n v="1"/>
    <n v="3450"/>
    <s v="411"/>
    <n v="3.75"/>
    <n v="3"/>
    <n v="9"/>
    <n v="1"/>
    <s v="Medium"/>
  </r>
  <r>
    <s v="C0024"/>
    <s v="Naveen Pillai"/>
    <s v="Male"/>
    <x v="2"/>
    <x v="2"/>
    <s v="Mid"/>
    <s v="New"/>
    <s v="Medium"/>
    <x v="0"/>
    <s v="Sports"/>
    <x v="0"/>
    <n v="19"/>
    <n v="1"/>
    <n v="11200"/>
    <s v="512"/>
    <n v="2.75"/>
    <n v="3"/>
    <n v="5"/>
    <n v="1"/>
    <s v="Medium"/>
  </r>
  <r>
    <s v="C0025"/>
    <s v="Akash Srivastava"/>
    <s v="Male"/>
    <x v="2"/>
    <x v="0"/>
    <s v="High"/>
    <s v="Returning"/>
    <s v="Medium"/>
    <x v="0"/>
    <s v="Beauty"/>
    <x v="0"/>
    <n v="146"/>
    <n v="6"/>
    <n v="35610"/>
    <s v="244"/>
    <n v="4"/>
    <n v="4"/>
    <n v="8"/>
    <n v="6"/>
    <s v="Medium"/>
  </r>
  <r>
    <s v="C0026"/>
    <s v="Dinesh Thakur"/>
    <s v="Male"/>
    <x v="0"/>
    <x v="0"/>
    <s v="Mid"/>
    <s v="New"/>
    <s v="Low"/>
    <x v="1"/>
    <s v="Home Decor"/>
    <x v="1"/>
    <n v="187"/>
    <n v="1"/>
    <n v="6620"/>
    <s v="112"/>
    <n v="3.75"/>
    <n v="3"/>
    <n v="9"/>
    <n v="1"/>
    <s v="Medium"/>
  </r>
  <r>
    <s v="C0027"/>
    <s v="Rakesh Bansal"/>
    <s v="Male"/>
    <x v="2"/>
    <x v="9"/>
    <s v="Mid"/>
    <s v="Returning"/>
    <s v="Medium"/>
    <x v="0"/>
    <s v="Sports"/>
    <x v="0"/>
    <n v="50"/>
    <n v="6"/>
    <n v="38680"/>
    <s v="444"/>
    <n v="2"/>
    <n v="2"/>
    <n v="4"/>
    <n v="6"/>
    <s v="High"/>
  </r>
  <r>
    <s v="C0028"/>
    <s v="Girish Agarwal"/>
    <s v="Male"/>
    <x v="1"/>
    <x v="0"/>
    <s v="Mid"/>
    <s v="Returning"/>
    <s v="High"/>
    <x v="2"/>
    <s v="Home Decor"/>
    <x v="1"/>
    <n v="48"/>
    <n v="12"/>
    <n v="60070"/>
    <s v="455"/>
    <n v="3.25"/>
    <n v="4"/>
    <n v="5"/>
    <n v="12"/>
    <s v="High"/>
  </r>
  <r>
    <s v="C0029"/>
    <s v="Sumit Dixit"/>
    <s v="Male"/>
    <x v="2"/>
    <x v="9"/>
    <s v="High"/>
    <s v="Returning"/>
    <s v="Low"/>
    <x v="1"/>
    <s v="Beauty"/>
    <x v="1"/>
    <n v="160"/>
    <n v="1"/>
    <n v="3300"/>
    <s v="211"/>
    <n v="3.75"/>
    <n v="3"/>
    <n v="9"/>
    <n v="1"/>
    <s v="Low"/>
  </r>
  <r>
    <s v="C0030"/>
    <s v="Pranav Shah"/>
    <s v="Male"/>
    <x v="1"/>
    <x v="7"/>
    <s v="High"/>
    <s v="Returning"/>
    <s v="Medium"/>
    <x v="0"/>
    <s v="Sports"/>
    <x v="0"/>
    <n v="115"/>
    <n v="6"/>
    <n v="36550"/>
    <s v="244"/>
    <n v="3.25"/>
    <n v="2"/>
    <n v="9"/>
    <n v="6"/>
    <s v="High"/>
  </r>
  <r>
    <s v="C0031"/>
    <s v="Himanshu Jain"/>
    <s v="Male"/>
    <x v="0"/>
    <x v="8"/>
    <s v="Mid"/>
    <s v="New"/>
    <s v="Medium"/>
    <x v="1"/>
    <s v="Beauty"/>
    <x v="0"/>
    <n v="123"/>
    <n v="1"/>
    <n v="4460"/>
    <s v="211"/>
    <n v="4.5"/>
    <n v="4"/>
    <n v="10"/>
    <n v="1"/>
    <s v="Low"/>
  </r>
  <r>
    <s v="C0032"/>
    <s v="Lokesh Negi"/>
    <s v="Male"/>
    <x v="2"/>
    <x v="15"/>
    <s v="Mid"/>
    <s v="Returning"/>
    <s v="Low"/>
    <x v="0"/>
    <s v="Electronics"/>
    <x v="0"/>
    <n v="17"/>
    <n v="3"/>
    <n v="11740"/>
    <s v="522"/>
    <n v="4.25"/>
    <n v="4"/>
    <n v="9"/>
    <n v="3"/>
    <s v="High"/>
  </r>
  <r>
    <s v="C0033"/>
    <s v="Rishabh Bhatt"/>
    <s v="Male"/>
    <x v="3"/>
    <x v="11"/>
    <s v="Mid"/>
    <s v="New"/>
    <s v="Low"/>
    <x v="0"/>
    <s v="Sports"/>
    <x v="1"/>
    <n v="29"/>
    <n v="1"/>
    <n v="2160"/>
    <s v="511"/>
    <n v="4.25"/>
    <n v="5"/>
    <n v="7"/>
    <n v="1"/>
    <s v="High"/>
  </r>
  <r>
    <s v="C0034"/>
    <s v="Abhishek Goyal"/>
    <s v="Male"/>
    <x v="2"/>
    <x v="16"/>
    <s v="High"/>
    <s v="Returning"/>
    <s v="Medium"/>
    <x v="4"/>
    <s v="Home Decor"/>
    <x v="0"/>
    <n v="61"/>
    <n v="5"/>
    <n v="26570"/>
    <s v="333"/>
    <n v="3.5"/>
    <n v="4"/>
    <n v="6"/>
    <n v="5"/>
    <s v="High"/>
  </r>
  <r>
    <s v="C0035"/>
    <s v="Kunal Bajaj"/>
    <s v="Male"/>
    <x v="2"/>
    <x v="3"/>
    <s v="Mid"/>
    <s v="Returning"/>
    <s v="Medium"/>
    <x v="0"/>
    <s v="Home Decor"/>
    <x v="0"/>
    <n v="291"/>
    <n v="4"/>
    <n v="12110"/>
    <s v="132"/>
    <n v="3"/>
    <n v="4"/>
    <n v="4"/>
    <n v="4"/>
    <s v="High"/>
  </r>
  <r>
    <s v="C0036"/>
    <s v="Ravi Choudhury"/>
    <s v="Male"/>
    <x v="3"/>
    <x v="13"/>
    <s v="High"/>
    <s v="New"/>
    <s v="Low"/>
    <x v="1"/>
    <s v="Sports"/>
    <x v="1"/>
    <n v="289"/>
    <n v="1"/>
    <n v="1530"/>
    <s v="111"/>
    <n v="4.5"/>
    <n v="5"/>
    <n v="8"/>
    <n v="1"/>
    <s v="Medium"/>
  </r>
  <r>
    <s v="C0037"/>
    <s v="Nitin Wagh"/>
    <s v="Male"/>
    <x v="1"/>
    <x v="1"/>
    <s v="High"/>
    <s v="Returning"/>
    <s v="Medium"/>
    <x v="3"/>
    <s v="Beauty"/>
    <x v="0"/>
    <n v="30"/>
    <n v="15"/>
    <n v="76520"/>
    <s v="555"/>
    <n v="3.25"/>
    <n v="4"/>
    <n v="5"/>
    <n v="15"/>
    <s v="Medium"/>
  </r>
  <r>
    <s v="C0038"/>
    <s v="Paras Mahajan"/>
    <s v="Male"/>
    <x v="0"/>
    <x v="10"/>
    <s v="Low"/>
    <s v="Returning"/>
    <s v="High"/>
    <x v="4"/>
    <s v="Sports"/>
    <x v="0"/>
    <n v="92"/>
    <n v="7"/>
    <n v="24240"/>
    <s v="243"/>
    <n v="4"/>
    <n v="4"/>
    <n v="8"/>
    <n v="7"/>
    <s v="Low"/>
  </r>
  <r>
    <s v="C0039"/>
    <s v="Shreyas Deshpande"/>
    <s v="Male"/>
    <x v="2"/>
    <x v="0"/>
    <s v="High"/>
    <s v="Returning"/>
    <s v="Medium"/>
    <x v="0"/>
    <s v="Grocery"/>
    <x v="0"/>
    <n v="25"/>
    <n v="4"/>
    <n v="21200"/>
    <s v="533"/>
    <n v="4"/>
    <n v="4"/>
    <n v="8"/>
    <n v="4"/>
    <s v="Low"/>
  </r>
  <r>
    <s v="C0040"/>
    <s v="Ashish Kulkarni"/>
    <s v="Male"/>
    <x v="0"/>
    <x v="7"/>
    <s v="High"/>
    <s v="Returning"/>
    <s v="Low"/>
    <x v="0"/>
    <s v="Clothing"/>
    <x v="1"/>
    <n v="54"/>
    <n v="3"/>
    <n v="22960"/>
    <s v="423"/>
    <n v="3.25"/>
    <n v="3"/>
    <n v="7"/>
    <n v="3"/>
    <s v="Medium"/>
  </r>
  <r>
    <s v="C0041"/>
    <s v="Manoj Garg"/>
    <s v="Male"/>
    <x v="2"/>
    <x v="15"/>
    <s v="Low"/>
    <s v="New"/>
    <s v="Medium"/>
    <x v="0"/>
    <s v="Clothing"/>
    <x v="1"/>
    <n v="75"/>
    <n v="1"/>
    <n v="2140"/>
    <s v="311"/>
    <n v="3.25"/>
    <n v="3"/>
    <n v="7"/>
    <n v="1"/>
    <s v="Medium"/>
  </r>
  <r>
    <s v="C0042"/>
    <s v="Yogesh Shukla"/>
    <s v="Male"/>
    <x v="1"/>
    <x v="2"/>
    <s v="Low"/>
    <s v="Returning"/>
    <s v="Low"/>
    <x v="1"/>
    <s v="Electronics"/>
    <x v="1"/>
    <n v="226"/>
    <n v="1"/>
    <n v="14120"/>
    <s v="112"/>
    <n v="3"/>
    <n v="3"/>
    <n v="6"/>
    <n v="1"/>
    <s v="Low"/>
  </r>
  <r>
    <s v="C0043"/>
    <s v="Tushar Patil"/>
    <s v="Male"/>
    <x v="1"/>
    <x v="16"/>
    <s v="High"/>
    <s v="New"/>
    <s v="High"/>
    <x v="0"/>
    <s v="Home Decor"/>
    <x v="0"/>
    <n v="35"/>
    <n v="1"/>
    <n v="9100"/>
    <s v="412"/>
    <n v="3.75"/>
    <n v="5"/>
    <n v="5"/>
    <n v="1"/>
    <s v="High"/>
  </r>
  <r>
    <s v="C0044"/>
    <s v="Chirag Parekh"/>
    <s v="Male"/>
    <x v="3"/>
    <x v="12"/>
    <s v="Mid"/>
    <s v="Returning"/>
    <s v="Medium"/>
    <x v="0"/>
    <s v="Home Decor"/>
    <x v="1"/>
    <n v="285"/>
    <n v="3"/>
    <n v="13210"/>
    <s v="122"/>
    <n v="3.25"/>
    <n v="3"/>
    <n v="7"/>
    <n v="3"/>
    <s v="High"/>
  </r>
  <r>
    <s v="C0045"/>
    <s v="Sahil Oberoi"/>
    <s v="Male"/>
    <x v="0"/>
    <x v="17"/>
    <s v="High"/>
    <s v="Returning"/>
    <s v="High"/>
    <x v="2"/>
    <s v="Beauty"/>
    <x v="1"/>
    <n v="45"/>
    <n v="9"/>
    <n v="50210"/>
    <s v="455"/>
    <n v="4"/>
    <n v="5"/>
    <n v="6"/>
    <n v="9"/>
    <s v="High"/>
  </r>
  <r>
    <s v="C0046"/>
    <s v="Kartik Mitra"/>
    <s v="Male"/>
    <x v="3"/>
    <x v="11"/>
    <s v="High"/>
    <s v="Returning"/>
    <s v="Medium"/>
    <x v="2"/>
    <s v="Beauty"/>
    <x v="1"/>
    <n v="115"/>
    <n v="10"/>
    <n v="77730"/>
    <s v="255"/>
    <n v="3.25"/>
    <n v="4"/>
    <n v="5"/>
    <n v="10"/>
    <s v="High"/>
  </r>
  <r>
    <s v="C0047"/>
    <s v="Alok Sinha"/>
    <s v="Male"/>
    <x v="2"/>
    <x v="7"/>
    <s v="Mid"/>
    <s v="New"/>
    <s v="Medium"/>
    <x v="1"/>
    <s v="Home Decor"/>
    <x v="0"/>
    <n v="301"/>
    <n v="1"/>
    <n v="5570"/>
    <s v="112"/>
    <n v="3.5"/>
    <n v="4"/>
    <n v="6"/>
    <n v="1"/>
    <s v="Low"/>
  </r>
  <r>
    <s v="C0048"/>
    <s v="Piyush Rastogi"/>
    <s v="Male"/>
    <x v="1"/>
    <x v="12"/>
    <s v="Mid"/>
    <s v="Returning"/>
    <s v="Medium"/>
    <x v="4"/>
    <s v="Beauty"/>
    <x v="0"/>
    <n v="66"/>
    <n v="7"/>
    <n v="26060"/>
    <s v="343"/>
    <n v="4.25"/>
    <n v="4"/>
    <n v="9"/>
    <n v="7"/>
    <s v="Medium"/>
  </r>
  <r>
    <s v="C0049"/>
    <s v="Neeraj Tomar"/>
    <s v="Male"/>
    <x v="3"/>
    <x v="7"/>
    <s v="Mid"/>
    <s v="Returning"/>
    <s v="Medium"/>
    <x v="0"/>
    <s v="Home Decor"/>
    <x v="0"/>
    <n v="193"/>
    <n v="3"/>
    <n v="7570"/>
    <s v="122"/>
    <n v="4.25"/>
    <n v="4"/>
    <n v="9"/>
    <n v="3"/>
    <s v="High"/>
  </r>
  <r>
    <s v="C0050"/>
    <s v="Vishal Solanki"/>
    <s v="Male"/>
    <x v="2"/>
    <x v="7"/>
    <s v="Mid"/>
    <s v="Returning"/>
    <s v="Medium"/>
    <x v="4"/>
    <s v="Electronics"/>
    <x v="0"/>
    <n v="179"/>
    <n v="5"/>
    <n v="24050"/>
    <s v="233"/>
    <n v="3"/>
    <n v="3"/>
    <n v="6"/>
    <n v="5"/>
    <s v="High"/>
  </r>
  <r>
    <s v="C0051"/>
    <s v="Priya Sharma"/>
    <s v="Female"/>
    <x v="1"/>
    <x v="4"/>
    <s v="High"/>
    <s v="Returning"/>
    <s v="Medium"/>
    <x v="2"/>
    <s v="Clothing"/>
    <x v="0"/>
    <n v="41"/>
    <n v="15"/>
    <n v="110290"/>
    <s v="455"/>
    <n v="2"/>
    <n v="2"/>
    <n v="4"/>
    <n v="15"/>
    <s v="High"/>
  </r>
  <r>
    <s v="C0052"/>
    <s v="Neha Singh"/>
    <s v="Female"/>
    <x v="3"/>
    <x v="10"/>
    <s v="High"/>
    <s v="Returning"/>
    <s v="Medium"/>
    <x v="0"/>
    <s v="Grocery"/>
    <x v="1"/>
    <n v="227"/>
    <n v="6"/>
    <n v="36270"/>
    <s v="144"/>
    <n v="3.75"/>
    <n v="3"/>
    <n v="9"/>
    <n v="6"/>
    <s v="Low"/>
  </r>
  <r>
    <s v="C0053"/>
    <s v="Ananya Mehta"/>
    <s v="Female"/>
    <x v="1"/>
    <x v="1"/>
    <s v="High"/>
    <s v="Returning"/>
    <s v="Low"/>
    <x v="0"/>
    <s v="Electronics"/>
    <x v="1"/>
    <n v="37"/>
    <n v="1"/>
    <n v="6590"/>
    <s v="412"/>
    <n v="3.75"/>
    <n v="4"/>
    <n v="7"/>
    <n v="1"/>
    <s v="High"/>
  </r>
  <r>
    <s v="C0054"/>
    <s v="Divya Gupta"/>
    <s v="Female"/>
    <x v="1"/>
    <x v="5"/>
    <s v="High"/>
    <s v="New"/>
    <s v="Low"/>
    <x v="0"/>
    <s v="Electronics"/>
    <x v="0"/>
    <n v="46"/>
    <n v="1"/>
    <n v="1430"/>
    <s v="411"/>
    <n v="4.25"/>
    <n v="4"/>
    <n v="9"/>
    <n v="1"/>
    <s v="Medium"/>
  </r>
  <r>
    <s v="C0055"/>
    <s v="Pooja Verma"/>
    <s v="Female"/>
    <x v="1"/>
    <x v="11"/>
    <s v="High"/>
    <s v="Returning"/>
    <s v="Medium"/>
    <x v="3"/>
    <s v="Grocery"/>
    <x v="0"/>
    <n v="30"/>
    <n v="13"/>
    <n v="70600"/>
    <s v="555"/>
    <n v="2.5"/>
    <n v="2"/>
    <n v="6"/>
    <n v="13"/>
    <s v="Low"/>
  </r>
  <r>
    <s v="C0056"/>
    <s v="Sunita Kumar"/>
    <s v="Female"/>
    <x v="0"/>
    <x v="4"/>
    <s v="High"/>
    <s v="Returning"/>
    <s v="Medium"/>
    <x v="4"/>
    <s v="Clothing"/>
    <x v="0"/>
    <n v="229"/>
    <n v="7"/>
    <n v="24760"/>
    <s v="143"/>
    <n v="4"/>
    <n v="4"/>
    <n v="8"/>
    <n v="7"/>
    <s v="High"/>
  </r>
  <r>
    <s v="C0057"/>
    <s v="Rekha Patel"/>
    <s v="Female"/>
    <x v="2"/>
    <x v="1"/>
    <s v="Mid"/>
    <s v="Returning"/>
    <s v="Low"/>
    <x v="0"/>
    <s v="Home Decor"/>
    <x v="0"/>
    <n v="41"/>
    <n v="1"/>
    <n v="1160"/>
    <s v="411"/>
    <n v="2.75"/>
    <n v="2"/>
    <n v="7"/>
    <n v="1"/>
    <s v="Medium"/>
  </r>
  <r>
    <s v="C0058"/>
    <s v="Kavita Joshi"/>
    <s v="Female"/>
    <x v="2"/>
    <x v="17"/>
    <s v="Low"/>
    <s v="Returning"/>
    <s v="High"/>
    <x v="2"/>
    <s v="Sports"/>
    <x v="1"/>
    <n v="45"/>
    <n v="13"/>
    <n v="60800"/>
    <s v="455"/>
    <n v="3"/>
    <n v="3"/>
    <n v="6"/>
    <n v="13"/>
    <s v="Medium"/>
  </r>
  <r>
    <s v="C0059"/>
    <s v="Shikha Kapoor"/>
    <s v="Female"/>
    <x v="0"/>
    <x v="16"/>
    <s v="Mid"/>
    <s v="New"/>
    <s v="Medium"/>
    <x v="0"/>
    <s v="Electronics"/>
    <x v="0"/>
    <n v="59"/>
    <n v="1"/>
    <n v="7920"/>
    <s v="412"/>
    <n v="4.25"/>
    <n v="5"/>
    <n v="7"/>
    <n v="1"/>
    <s v="Low"/>
  </r>
  <r>
    <s v="C0060"/>
    <s v="Meera Nair"/>
    <s v="Female"/>
    <x v="2"/>
    <x v="9"/>
    <s v="Mid"/>
    <s v="Returning"/>
    <s v="High"/>
    <x v="3"/>
    <s v="Home Decor"/>
    <x v="0"/>
    <n v="29"/>
    <n v="12"/>
    <n v="85860"/>
    <s v="555"/>
    <n v="4"/>
    <n v="3"/>
    <n v="10"/>
    <n v="12"/>
    <s v="Low"/>
  </r>
  <r>
    <s v="C0061"/>
    <s v="Anjali Tiwari"/>
    <s v="Female"/>
    <x v="2"/>
    <x v="18"/>
    <s v="High"/>
    <s v="Returning"/>
    <s v="High"/>
    <x v="3"/>
    <s v="Beauty"/>
    <x v="0"/>
    <n v="352"/>
    <n v="10"/>
    <n v="64690"/>
    <s v="155"/>
    <n v="4.5"/>
    <n v="5"/>
    <n v="8"/>
    <n v="10"/>
    <s v="Medium"/>
  </r>
  <r>
    <s v="C0062"/>
    <s v="Swati Saxena"/>
    <s v="Female"/>
    <x v="1"/>
    <x v="9"/>
    <s v="High"/>
    <s v="New"/>
    <s v="High"/>
    <x v="1"/>
    <s v="Electronics"/>
    <x v="0"/>
    <n v="373"/>
    <n v="1"/>
    <n v="12970"/>
    <s v="112"/>
    <n v="3.25"/>
    <n v="4"/>
    <n v="5"/>
    <n v="1"/>
    <s v="Medium"/>
  </r>
  <r>
    <s v="C0063"/>
    <s v="Ritu Yadav"/>
    <s v="Female"/>
    <x v="2"/>
    <x v="7"/>
    <s v="High"/>
    <s v="New"/>
    <s v="Medium"/>
    <x v="0"/>
    <s v="Beauty"/>
    <x v="0"/>
    <n v="56"/>
    <n v="1"/>
    <n v="4810"/>
    <s v="411"/>
    <n v="3.75"/>
    <n v="3"/>
    <n v="9"/>
    <n v="1"/>
    <s v="High"/>
  </r>
  <r>
    <s v="C0064"/>
    <s v="Sneha Mishra"/>
    <s v="Female"/>
    <x v="2"/>
    <x v="7"/>
    <s v="Mid"/>
    <s v="New"/>
    <s v="Medium"/>
    <x v="0"/>
    <s v="Home Decor"/>
    <x v="0"/>
    <n v="56"/>
    <n v="1"/>
    <n v="2100"/>
    <s v="411"/>
    <n v="3.25"/>
    <n v="3"/>
    <n v="7"/>
    <n v="1"/>
    <s v="Low"/>
  </r>
  <r>
    <s v="C0065"/>
    <s v="Preeti Chopra"/>
    <s v="Female"/>
    <x v="2"/>
    <x v="1"/>
    <s v="Mid"/>
    <s v="Returning"/>
    <s v="Low"/>
    <x v="3"/>
    <s v="Grocery"/>
    <x v="0"/>
    <n v="67"/>
    <n v="15"/>
    <n v="117430"/>
    <s v="355"/>
    <n v="4.5"/>
    <n v="5"/>
    <n v="8"/>
    <n v="15"/>
    <s v="Medium"/>
  </r>
  <r>
    <s v="C0066"/>
    <s v="Nandini Reddy"/>
    <s v="Female"/>
    <x v="0"/>
    <x v="13"/>
    <s v="High"/>
    <s v="New"/>
    <s v="Medium"/>
    <x v="0"/>
    <s v="Beauty"/>
    <x v="0"/>
    <n v="26"/>
    <n v="1"/>
    <n v="2200"/>
    <s v="511"/>
    <n v="3.25"/>
    <n v="3"/>
    <n v="7"/>
    <n v="1"/>
    <s v="High"/>
  </r>
  <r>
    <s v="C0067"/>
    <s v="Uma Iyer"/>
    <s v="Female"/>
    <x v="1"/>
    <x v="2"/>
    <s v="High"/>
    <s v="Returning"/>
    <s v="Medium"/>
    <x v="0"/>
    <s v="Beauty"/>
    <x v="1"/>
    <n v="28"/>
    <n v="4"/>
    <n v="15160"/>
    <s v="533"/>
    <n v="4.25"/>
    <n v="5"/>
    <n v="7"/>
    <n v="4"/>
    <s v="Medium"/>
  </r>
  <r>
    <s v="C0068"/>
    <s v="Deepika Dubey"/>
    <s v="Female"/>
    <x v="1"/>
    <x v="13"/>
    <s v="Mid"/>
    <s v="Returning"/>
    <s v="High"/>
    <x v="0"/>
    <s v="Clothing"/>
    <x v="1"/>
    <n v="152"/>
    <n v="9"/>
    <n v="47680"/>
    <s v="254"/>
    <n v="3.75"/>
    <n v="4"/>
    <n v="7"/>
    <n v="9"/>
    <s v="High"/>
  </r>
  <r>
    <s v="C0069"/>
    <s v="Pallavi Pandey"/>
    <s v="Female"/>
    <x v="1"/>
    <x v="13"/>
    <s v="High"/>
    <s v="New"/>
    <s v="Medium"/>
    <x v="0"/>
    <s v="Home Decor"/>
    <x v="1"/>
    <n v="69"/>
    <n v="1"/>
    <n v="3190"/>
    <s v="311"/>
    <n v="4.75"/>
    <n v="5"/>
    <n v="9"/>
    <n v="1"/>
    <s v="High"/>
  </r>
  <r>
    <s v="C0070"/>
    <s v="Sonia Bhatia"/>
    <s v="Female"/>
    <x v="2"/>
    <x v="15"/>
    <s v="Mid"/>
    <s v="New"/>
    <s v="High"/>
    <x v="0"/>
    <s v="Grocery"/>
    <x v="0"/>
    <n v="67"/>
    <n v="1"/>
    <n v="2640"/>
    <s v="311"/>
    <n v="4"/>
    <n v="5"/>
    <n v="6"/>
    <n v="1"/>
    <s v="Medium"/>
  </r>
  <r>
    <s v="C0071"/>
    <s v="Geeta Rao"/>
    <s v="Female"/>
    <x v="1"/>
    <x v="7"/>
    <s v="High"/>
    <s v="Returning"/>
    <s v="High"/>
    <x v="2"/>
    <s v="Beauty"/>
    <x v="0"/>
    <n v="40"/>
    <n v="10"/>
    <n v="73450"/>
    <s v="455"/>
    <n v="3.25"/>
    <n v="3"/>
    <n v="7"/>
    <n v="10"/>
    <s v="Medium"/>
  </r>
  <r>
    <s v="C0072"/>
    <s v="Shruti Malhotra"/>
    <s v="Female"/>
    <x v="0"/>
    <x v="1"/>
    <s v="High"/>
    <s v="Returning"/>
    <s v="Low"/>
    <x v="0"/>
    <s v="Electronics"/>
    <x v="1"/>
    <n v="71"/>
    <n v="1"/>
    <n v="2720"/>
    <s v="311"/>
    <n v="3.5"/>
    <n v="3"/>
    <n v="8"/>
    <n v="1"/>
    <s v="Low"/>
  </r>
  <r>
    <s v="C0073"/>
    <s v="Lakshmi Menon"/>
    <s v="Female"/>
    <x v="2"/>
    <x v="14"/>
    <s v="Mid"/>
    <s v="New"/>
    <s v="Medium"/>
    <x v="0"/>
    <s v="Grocery"/>
    <x v="0"/>
    <n v="21"/>
    <n v="1"/>
    <n v="4680"/>
    <s v="511"/>
    <n v="2.75"/>
    <n v="2"/>
    <n v="7"/>
    <n v="1"/>
    <s v="High"/>
  </r>
  <r>
    <s v="C0074"/>
    <s v="Radha Pillai"/>
    <s v="Female"/>
    <x v="2"/>
    <x v="4"/>
    <s v="High"/>
    <s v="New"/>
    <s v="Medium"/>
    <x v="1"/>
    <s v="Electronics"/>
    <x v="1"/>
    <n v="307"/>
    <n v="1"/>
    <n v="6490"/>
    <s v="112"/>
    <n v="3"/>
    <n v="3"/>
    <n v="6"/>
    <n v="1"/>
    <s v="Medium"/>
  </r>
  <r>
    <s v="C0075"/>
    <s v="Madhuri Srivastava"/>
    <s v="Female"/>
    <x v="2"/>
    <x v="16"/>
    <s v="High"/>
    <s v="Returning"/>
    <s v="Low"/>
    <x v="0"/>
    <s v="Grocery"/>
    <x v="0"/>
    <n v="134"/>
    <n v="3"/>
    <n v="5110"/>
    <s v="222"/>
    <n v="3"/>
    <n v="3"/>
    <n v="6"/>
    <n v="3"/>
    <s v="Medium"/>
  </r>
  <r>
    <s v="C0076"/>
    <s v="Bindu Thakur"/>
    <s v="Female"/>
    <x v="0"/>
    <x v="14"/>
    <s v="Mid"/>
    <s v="Returning"/>
    <s v="Low"/>
    <x v="0"/>
    <s v="Beauty"/>
    <x v="1"/>
    <n v="98"/>
    <n v="3"/>
    <n v="10730"/>
    <s v="222"/>
    <n v="2.5"/>
    <n v="3"/>
    <n v="4"/>
    <n v="3"/>
    <s v="High"/>
  </r>
  <r>
    <s v="C0077"/>
    <s v="Kamala Bansal"/>
    <s v="Female"/>
    <x v="3"/>
    <x v="12"/>
    <s v="High"/>
    <s v="Returning"/>
    <s v="Low"/>
    <x v="0"/>
    <s v="Home Decor"/>
    <x v="0"/>
    <n v="65"/>
    <n v="1"/>
    <n v="4870"/>
    <s v="311"/>
    <n v="3.25"/>
    <n v="3"/>
    <n v="7"/>
    <n v="1"/>
    <s v="Medium"/>
  </r>
  <r>
    <s v="C0078"/>
    <s v="Seema Agarwal"/>
    <s v="Female"/>
    <x v="1"/>
    <x v="0"/>
    <s v="High"/>
    <s v="Returning"/>
    <s v="Medium"/>
    <x v="2"/>
    <s v="Clothing"/>
    <x v="1"/>
    <n v="109"/>
    <n v="13"/>
    <n v="85460"/>
    <s v="255"/>
    <n v="3.75"/>
    <n v="4"/>
    <n v="7"/>
    <n v="13"/>
    <s v="High"/>
  </r>
  <r>
    <s v="C0079"/>
    <s v="Asha Dixit"/>
    <s v="Female"/>
    <x v="2"/>
    <x v="4"/>
    <s v="High"/>
    <s v="Returning"/>
    <s v="High"/>
    <x v="0"/>
    <s v="Clothing"/>
    <x v="1"/>
    <n v="72"/>
    <n v="6"/>
    <n v="36740"/>
    <s v="344"/>
    <n v="3.75"/>
    <n v="3"/>
    <n v="9"/>
    <n v="6"/>
    <s v="Medium"/>
  </r>
  <r>
    <s v="C0080"/>
    <s v="Nisha Shah"/>
    <s v="Female"/>
    <x v="2"/>
    <x v="14"/>
    <s v="High"/>
    <s v="Returning"/>
    <s v="High"/>
    <x v="0"/>
    <s v="Home Decor"/>
    <x v="0"/>
    <n v="55"/>
    <n v="8"/>
    <n v="37870"/>
    <s v="454"/>
    <n v="3.25"/>
    <n v="4"/>
    <n v="5"/>
    <n v="8"/>
    <s v="Medium"/>
  </r>
  <r>
    <s v="C0081"/>
    <s v="Lata Jain"/>
    <s v="Female"/>
    <x v="0"/>
    <x v="19"/>
    <s v="Mid"/>
    <s v="New"/>
    <s v="Low"/>
    <x v="0"/>
    <s v="Beauty"/>
    <x v="1"/>
    <n v="28"/>
    <n v="1"/>
    <n v="820"/>
    <s v="511"/>
    <n v="3.25"/>
    <n v="4"/>
    <n v="5"/>
    <n v="1"/>
    <s v="High"/>
  </r>
  <r>
    <s v="C0082"/>
    <s v="Tanya Negi"/>
    <s v="Female"/>
    <x v="1"/>
    <x v="7"/>
    <s v="High"/>
    <s v="Returning"/>
    <s v="Low"/>
    <x v="0"/>
    <s v="Home Decor"/>
    <x v="0"/>
    <n v="44"/>
    <n v="1"/>
    <n v="5070"/>
    <s v="412"/>
    <n v="3.5"/>
    <n v="3"/>
    <n v="8"/>
    <n v="1"/>
    <s v="Low"/>
  </r>
  <r>
    <s v="C0083"/>
    <s v="Roshni Bhatt"/>
    <s v="Female"/>
    <x v="1"/>
    <x v="8"/>
    <s v="High"/>
    <s v="Returning"/>
    <s v="Medium"/>
    <x v="0"/>
    <s v="Sports"/>
    <x v="1"/>
    <n v="63"/>
    <n v="2"/>
    <n v="12420"/>
    <s v="322"/>
    <n v="4"/>
    <n v="4"/>
    <n v="8"/>
    <n v="2"/>
    <s v="High"/>
  </r>
  <r>
    <s v="C0084"/>
    <s v="Simran Goyal"/>
    <s v="Female"/>
    <x v="3"/>
    <x v="5"/>
    <s v="Mid"/>
    <s v="Returning"/>
    <s v="Medium"/>
    <x v="2"/>
    <s v="Electronics"/>
    <x v="0"/>
    <n v="94"/>
    <n v="14"/>
    <n v="102620"/>
    <s v="255"/>
    <n v="2.75"/>
    <n v="2"/>
    <n v="7"/>
    <n v="14"/>
    <s v="Medium"/>
  </r>
  <r>
    <s v="C0085"/>
    <s v="Kavya Bajaj"/>
    <s v="Female"/>
    <x v="1"/>
    <x v="2"/>
    <s v="Mid"/>
    <s v="New"/>
    <s v="Low"/>
    <x v="0"/>
    <s v="Home Decor"/>
    <x v="0"/>
    <n v="88"/>
    <n v="1"/>
    <n v="14230"/>
    <s v="312"/>
    <n v="3.5"/>
    <n v="3"/>
    <n v="8"/>
    <n v="1"/>
    <s v="Low"/>
  </r>
  <r>
    <s v="C0086"/>
    <s v="Shalini Choudhury"/>
    <s v="Female"/>
    <x v="2"/>
    <x v="2"/>
    <s v="High"/>
    <s v="Returning"/>
    <s v="Medium"/>
    <x v="1"/>
    <s v="Home Decor"/>
    <x v="0"/>
    <n v="360"/>
    <n v="2"/>
    <n v="7800"/>
    <s v="122"/>
    <n v="3.25"/>
    <n v="3"/>
    <n v="7"/>
    <n v="2"/>
    <s v="Medium"/>
  </r>
  <r>
    <s v="C0087"/>
    <s v="Rashmi Wagh"/>
    <s v="Female"/>
    <x v="1"/>
    <x v="4"/>
    <s v="Mid"/>
    <s v="Returning"/>
    <s v="Medium"/>
    <x v="2"/>
    <s v="Electronics"/>
    <x v="0"/>
    <n v="266"/>
    <n v="15"/>
    <n v="66210"/>
    <s v="155"/>
    <n v="3.5"/>
    <n v="3"/>
    <n v="8"/>
    <n v="15"/>
    <s v="High"/>
  </r>
  <r>
    <s v="C0088"/>
    <s v="Manju Mahajan"/>
    <s v="Female"/>
    <x v="2"/>
    <x v="7"/>
    <s v="Mid"/>
    <s v="Returning"/>
    <s v="Medium"/>
    <x v="0"/>
    <s v="Beauty"/>
    <x v="0"/>
    <n v="140"/>
    <n v="4"/>
    <n v="25280"/>
    <s v="233"/>
    <n v="4.25"/>
    <n v="4"/>
    <n v="9"/>
    <n v="4"/>
    <s v="High"/>
  </r>
  <r>
    <s v="C0089"/>
    <s v="Gauri Deshpande"/>
    <s v="Female"/>
    <x v="2"/>
    <x v="13"/>
    <s v="High"/>
    <s v="New"/>
    <s v="High"/>
    <x v="0"/>
    <s v="Clothing"/>
    <x v="0"/>
    <n v="55"/>
    <n v="1"/>
    <n v="13170"/>
    <s v="412"/>
    <n v="3"/>
    <n v="4"/>
    <n v="4"/>
    <n v="1"/>
    <s v="Medium"/>
  </r>
  <r>
    <s v="C0090"/>
    <s v="Shraddha Kulkarni"/>
    <s v="Female"/>
    <x v="1"/>
    <x v="0"/>
    <s v="High"/>
    <s v="Returning"/>
    <s v="Medium"/>
    <x v="0"/>
    <s v="Electronics"/>
    <x v="0"/>
    <n v="25"/>
    <n v="2"/>
    <n v="16630"/>
    <s v="523"/>
    <n v="3"/>
    <n v="3"/>
    <n v="6"/>
    <n v="2"/>
    <s v="Low"/>
  </r>
  <r>
    <s v="C0091"/>
    <s v="Sapna Garg"/>
    <s v="Female"/>
    <x v="0"/>
    <x v="5"/>
    <s v="Mid"/>
    <s v="Returning"/>
    <s v="Medium"/>
    <x v="2"/>
    <s v="Electronics"/>
    <x v="0"/>
    <n v="60"/>
    <n v="7"/>
    <n v="59470"/>
    <s v="445"/>
    <n v="3.5"/>
    <n v="3"/>
    <n v="8"/>
    <n v="7"/>
    <s v="Medium"/>
  </r>
  <r>
    <s v="C0092"/>
    <s v="Vaishali Shukla"/>
    <s v="Female"/>
    <x v="1"/>
    <x v="19"/>
    <s v="High"/>
    <s v="Returning"/>
    <s v="Medium"/>
    <x v="0"/>
    <s v="Grocery"/>
    <x v="0"/>
    <n v="43"/>
    <n v="4"/>
    <n v="17670"/>
    <s v="433"/>
    <n v="4"/>
    <n v="4"/>
    <n v="8"/>
    <n v="4"/>
    <s v="Medium"/>
  </r>
  <r>
    <s v="C0093"/>
    <s v="Tejal Patil"/>
    <s v="Female"/>
    <x v="3"/>
    <x v="4"/>
    <s v="High"/>
    <s v="New"/>
    <s v="Low"/>
    <x v="1"/>
    <s v="Clothing"/>
    <x v="1"/>
    <n v="164"/>
    <n v="1"/>
    <n v="3880"/>
    <s v="211"/>
    <n v="4"/>
    <n v="4"/>
    <n v="8"/>
    <n v="1"/>
    <s v="Medium"/>
  </r>
  <r>
    <s v="C0094"/>
    <s v="Jyoti Parekh"/>
    <s v="Female"/>
    <x v="2"/>
    <x v="14"/>
    <s v="Mid"/>
    <s v="Returning"/>
    <s v="Medium"/>
    <x v="4"/>
    <s v="Beauty"/>
    <x v="0"/>
    <n v="205"/>
    <n v="5"/>
    <n v="19180"/>
    <s v="133"/>
    <n v="3"/>
    <n v="3"/>
    <n v="6"/>
    <n v="5"/>
    <s v="Medium"/>
  </r>
  <r>
    <s v="C0095"/>
    <s v="Ridhi Oberoi"/>
    <s v="Female"/>
    <x v="3"/>
    <x v="14"/>
    <s v="Mid"/>
    <s v="Returning"/>
    <s v="Medium"/>
    <x v="1"/>
    <s v="Sports"/>
    <x v="1"/>
    <n v="93"/>
    <n v="2"/>
    <n v="6830"/>
    <s v="222"/>
    <n v="3.5"/>
    <n v="3"/>
    <n v="8"/>
    <n v="2"/>
    <s v="High"/>
  </r>
  <r>
    <s v="C0096"/>
    <s v="Varsha Mitra"/>
    <s v="Female"/>
    <x v="0"/>
    <x v="16"/>
    <s v="High"/>
    <s v="Returning"/>
    <s v="Medium"/>
    <x v="1"/>
    <s v="Sports"/>
    <x v="0"/>
    <n v="119"/>
    <n v="2"/>
    <n v="12020"/>
    <s v="222"/>
    <n v="2.5"/>
    <n v="2"/>
    <n v="6"/>
    <n v="2"/>
    <s v="High"/>
  </r>
  <r>
    <s v="C0097"/>
    <s v="Rupal Sinha"/>
    <s v="Female"/>
    <x v="2"/>
    <x v="1"/>
    <s v="Mid"/>
    <s v="Returning"/>
    <s v="High"/>
    <x v="2"/>
    <s v="Grocery"/>
    <x v="0"/>
    <n v="105"/>
    <n v="13"/>
    <n v="76520"/>
    <s v="255"/>
    <n v="3.5"/>
    <n v="4"/>
    <n v="6"/>
    <n v="13"/>
    <s v="Medium"/>
  </r>
  <r>
    <s v="C0098"/>
    <s v="Prerna Rastogi"/>
    <s v="Female"/>
    <x v="1"/>
    <x v="5"/>
    <s v="High"/>
    <s v="Returning"/>
    <s v="Low"/>
    <x v="0"/>
    <s v="Electronics"/>
    <x v="0"/>
    <n v="60"/>
    <n v="2"/>
    <n v="20300"/>
    <s v="423"/>
    <n v="4"/>
    <n v="4"/>
    <n v="8"/>
    <n v="2"/>
    <s v="Low"/>
  </r>
  <r>
    <s v="C0099"/>
    <s v="Aditi Tomar"/>
    <s v="Female"/>
    <x v="1"/>
    <x v="3"/>
    <s v="High"/>
    <s v="Returning"/>
    <s v="High"/>
    <x v="3"/>
    <s v="Grocery"/>
    <x v="0"/>
    <n v="30"/>
    <n v="9"/>
    <n v="79330"/>
    <s v="555"/>
    <n v="4.25"/>
    <n v="4"/>
    <n v="9"/>
    <n v="9"/>
    <s v="Medium"/>
  </r>
  <r>
    <s v="C0100"/>
    <s v="Poonam Solanki"/>
    <s v="Female"/>
    <x v="3"/>
    <x v="7"/>
    <s v="High"/>
    <s v="Returning"/>
    <s v="High"/>
    <x v="0"/>
    <s v="Electronics"/>
    <x v="0"/>
    <n v="85"/>
    <n v="14"/>
    <n v="45840"/>
    <s v="354"/>
    <n v="2.25"/>
    <n v="2"/>
    <n v="5"/>
    <n v="14"/>
    <s v="Low"/>
  </r>
  <r>
    <s v="C0101"/>
    <s v="Rahul Verma"/>
    <s v="Male"/>
    <x v="3"/>
    <x v="3"/>
    <s v="High"/>
    <s v="New"/>
    <s v="High"/>
    <x v="2"/>
    <s v="Grocery"/>
    <x v="0"/>
    <n v="361"/>
    <n v="9"/>
    <n v="121865"/>
    <s v="155"/>
    <n v="2.75"/>
    <n v="2"/>
    <n v="7"/>
    <n v="9"/>
    <s v="Medium"/>
  </r>
  <r>
    <s v="C0102"/>
    <s v="Ravi Kumar"/>
    <s v="Male"/>
    <x v="0"/>
    <x v="14"/>
    <s v="High"/>
    <s v="New"/>
    <s v="Low"/>
    <x v="2"/>
    <s v="Beauty"/>
    <x v="1"/>
    <n v="161"/>
    <n v="3"/>
    <n v="52683"/>
    <s v="225"/>
    <n v="2.5"/>
    <n v="1"/>
    <n v="8"/>
    <n v="3"/>
    <s v="High"/>
  </r>
  <r>
    <s v="C0103"/>
    <s v="Geeta Verma"/>
    <s v="Female"/>
    <x v="2"/>
    <x v="1"/>
    <s v="High"/>
    <s v="Returning"/>
    <s v="Low"/>
    <x v="2"/>
    <s v="Sports"/>
    <x v="1"/>
    <n v="142"/>
    <n v="10"/>
    <n v="124479"/>
    <s v="255"/>
    <n v="4.25"/>
    <n v="5"/>
    <n v="7"/>
    <n v="10"/>
    <s v="High"/>
  </r>
  <r>
    <s v="C0104"/>
    <s v="Sneha Jain"/>
    <s v="Female"/>
    <x v="0"/>
    <x v="20"/>
    <s v="High"/>
    <s v="New"/>
    <s v="High"/>
    <x v="1"/>
    <s v="Home Decor"/>
    <x v="0"/>
    <n v="229"/>
    <n v="2"/>
    <n v="36179"/>
    <s v="124"/>
    <n v="1.5"/>
    <n v="1"/>
    <n v="4"/>
    <n v="2"/>
    <s v="Low"/>
  </r>
  <r>
    <s v="C0105"/>
    <s v="Sneha Nair"/>
    <s v="Female"/>
    <x v="1"/>
    <x v="2"/>
    <s v="Mid"/>
    <s v="Returning"/>
    <s v="High"/>
    <x v="2"/>
    <s v="Sports"/>
    <x v="0"/>
    <n v="46"/>
    <n v="8"/>
    <n v="84971"/>
    <s v="455"/>
    <n v="4"/>
    <n v="3"/>
    <n v="10"/>
    <n v="8"/>
    <s v="High"/>
  </r>
  <r>
    <s v="C0106"/>
    <s v="Kunal Gupta"/>
    <s v="Male"/>
    <x v="2"/>
    <x v="16"/>
    <s v="High"/>
    <s v="Returning"/>
    <s v="Low"/>
    <x v="1"/>
    <s v="Fashion"/>
    <x v="0"/>
    <n v="361"/>
    <n v="1"/>
    <n v="9906"/>
    <s v="112"/>
    <n v="2"/>
    <n v="1"/>
    <n v="6"/>
    <n v="1"/>
    <s v="Low"/>
  </r>
  <r>
    <s v="C0107"/>
    <s v="Aarti Reddy"/>
    <s v="Female"/>
    <x v="2"/>
    <x v="21"/>
    <s v="High"/>
    <s v="New"/>
    <s v="Medium"/>
    <x v="1"/>
    <s v="Electronics"/>
    <x v="1"/>
    <n v="251"/>
    <n v="2"/>
    <n v="33750"/>
    <s v="124"/>
    <n v="3.5"/>
    <n v="3"/>
    <n v="8"/>
    <n v="2"/>
    <s v="Low"/>
  </r>
  <r>
    <s v="C0108"/>
    <s v="Divya Singh"/>
    <s v="Female"/>
    <x v="0"/>
    <x v="8"/>
    <s v="High"/>
    <s v="New"/>
    <s v="Low"/>
    <x v="2"/>
    <s v="Sports"/>
    <x v="1"/>
    <n v="299"/>
    <n v="8"/>
    <n v="141365"/>
    <s v="155"/>
    <n v="2.5"/>
    <n v="1"/>
    <n v="8"/>
    <n v="8"/>
    <s v="Low"/>
  </r>
  <r>
    <s v="C0109"/>
    <s v="Kunal Iyer"/>
    <s v="Male"/>
    <x v="1"/>
    <x v="8"/>
    <s v="High"/>
    <s v="New"/>
    <s v="High"/>
    <x v="3"/>
    <s v="Sports"/>
    <x v="0"/>
    <n v="241"/>
    <n v="8"/>
    <n v="118417"/>
    <s v="155"/>
    <n v="5"/>
    <n v="5"/>
    <n v="10"/>
    <n v="8"/>
    <s v="High"/>
  </r>
  <r>
    <s v="C0110"/>
    <s v="Anil Nair"/>
    <s v="Male"/>
    <x v="1"/>
    <x v="15"/>
    <s v="High"/>
    <s v="New"/>
    <s v="High"/>
    <x v="3"/>
    <s v="Sports"/>
    <x v="0"/>
    <n v="50"/>
    <n v="5"/>
    <n v="65096"/>
    <s v="435"/>
    <n v="4.5"/>
    <n v="4"/>
    <n v="10"/>
    <n v="5"/>
    <s v="Medium"/>
  </r>
  <r>
    <s v="C0111"/>
    <s v="Deepak Sharma"/>
    <s v="Male"/>
    <x v="0"/>
    <x v="4"/>
    <s v="Low"/>
    <s v="New"/>
    <s v="Low"/>
    <x v="2"/>
    <s v="Electronics"/>
    <x v="1"/>
    <n v="220"/>
    <n v="10"/>
    <n v="148743"/>
    <s v="155"/>
    <n v="2"/>
    <n v="1"/>
    <n v="6"/>
    <n v="10"/>
    <s v="Medium"/>
  </r>
  <r>
    <s v="C0112"/>
    <s v="Suresh Kumar"/>
    <s v="Male"/>
    <x v="2"/>
    <x v="21"/>
    <s v="Mid"/>
    <s v="New"/>
    <s v="High"/>
    <x v="1"/>
    <s v="Electronics"/>
    <x v="0"/>
    <n v="96"/>
    <n v="2"/>
    <n v="34888"/>
    <s v="224"/>
    <n v="3.25"/>
    <n v="4"/>
    <n v="5"/>
    <n v="2"/>
    <s v="Medium"/>
  </r>
  <r>
    <s v="C0113"/>
    <s v="Deepak Patel"/>
    <s v="Male"/>
    <x v="0"/>
    <x v="14"/>
    <s v="High"/>
    <s v="Returning"/>
    <s v="High"/>
    <x v="1"/>
    <s v="Fashion"/>
    <x v="1"/>
    <n v="316"/>
    <n v="1"/>
    <n v="20751"/>
    <s v="113"/>
    <n v="3.25"/>
    <n v="5"/>
    <n v="3"/>
    <n v="1"/>
    <s v="Medium"/>
  </r>
  <r>
    <s v="C0114"/>
    <s v="Amit Reddy"/>
    <s v="Male"/>
    <x v="0"/>
    <x v="7"/>
    <s v="Low"/>
    <s v="New"/>
    <s v="Low"/>
    <x v="2"/>
    <s v="Beauty"/>
    <x v="0"/>
    <n v="208"/>
    <n v="3"/>
    <n v="52888"/>
    <s v="125"/>
    <n v="2.5"/>
    <n v="3"/>
    <n v="4"/>
    <n v="3"/>
    <s v="Low"/>
  </r>
  <r>
    <s v="C0115"/>
    <s v="Vijay Joshi"/>
    <s v="Male"/>
    <x v="0"/>
    <x v="11"/>
    <s v="High"/>
    <s v="Returning"/>
    <s v="Low"/>
    <x v="2"/>
    <s v="Beauty"/>
    <x v="1"/>
    <n v="328"/>
    <n v="8"/>
    <n v="119755"/>
    <s v="155"/>
    <n v="2.25"/>
    <n v="3"/>
    <n v="3"/>
    <n v="8"/>
    <s v="Low"/>
  </r>
  <r>
    <s v="C0116"/>
    <s v="Anil Mehta"/>
    <s v="Male"/>
    <x v="0"/>
    <x v="6"/>
    <s v="Mid"/>
    <s v="New"/>
    <s v="Low"/>
    <x v="2"/>
    <s v="Grocery"/>
    <x v="1"/>
    <n v="280"/>
    <n v="9"/>
    <n v="78962"/>
    <s v="155"/>
    <n v="3.75"/>
    <n v="3"/>
    <n v="9"/>
    <n v="9"/>
    <s v="Low"/>
  </r>
  <r>
    <s v="C0117"/>
    <s v="Sneha Mishra"/>
    <s v="Female"/>
    <x v="2"/>
    <x v="1"/>
    <s v="High"/>
    <s v="New"/>
    <s v="High"/>
    <x v="1"/>
    <s v="Electronics"/>
    <x v="0"/>
    <n v="370"/>
    <n v="1"/>
    <n v="13491"/>
    <s v="112"/>
    <n v="4.5"/>
    <n v="4"/>
    <n v="10"/>
    <n v="1"/>
    <s v="High"/>
  </r>
  <r>
    <s v="C0118"/>
    <s v="Nisha Mishra"/>
    <s v="Female"/>
    <x v="1"/>
    <x v="21"/>
    <s v="Mid"/>
    <s v="New"/>
    <s v="Medium"/>
    <x v="2"/>
    <s v="Grocery"/>
    <x v="0"/>
    <n v="178"/>
    <n v="9"/>
    <n v="70849"/>
    <s v="255"/>
    <n v="2.75"/>
    <n v="2"/>
    <n v="7"/>
    <n v="9"/>
    <s v="Low"/>
  </r>
  <r>
    <s v="C0119"/>
    <s v="Priya Pillai"/>
    <s v="Female"/>
    <x v="0"/>
    <x v="21"/>
    <s v="Mid"/>
    <s v="New"/>
    <s v="High"/>
    <x v="0"/>
    <s v="Home Decor"/>
    <x v="0"/>
    <n v="100"/>
    <n v="3"/>
    <n v="34962"/>
    <s v="224"/>
    <n v="3.25"/>
    <n v="2"/>
    <n v="9"/>
    <n v="3"/>
    <s v="High"/>
  </r>
  <r>
    <s v="C0120"/>
    <s v="Divya Jain"/>
    <s v="Female"/>
    <x v="1"/>
    <x v="4"/>
    <s v="Mid"/>
    <s v="New"/>
    <s v="Low"/>
    <x v="1"/>
    <s v="Grocery"/>
    <x v="0"/>
    <n v="343"/>
    <n v="2"/>
    <n v="29734"/>
    <s v="123"/>
    <n v="3"/>
    <n v="2"/>
    <n v="8"/>
    <n v="2"/>
    <s v="High"/>
  </r>
  <r>
    <s v="C0121"/>
    <s v="Rohit Gupta"/>
    <s v="Male"/>
    <x v="0"/>
    <x v="20"/>
    <s v="Mid"/>
    <s v="Returning"/>
    <s v="Medium"/>
    <x v="0"/>
    <s v="Beauty"/>
    <x v="1"/>
    <n v="35"/>
    <n v="2"/>
    <n v="41260"/>
    <s v="424"/>
    <n v="2.25"/>
    <n v="3"/>
    <n v="3"/>
    <n v="2"/>
    <s v="Low"/>
  </r>
  <r>
    <s v="C0122"/>
    <s v="Nisha Singh"/>
    <s v="Female"/>
    <x v="1"/>
    <x v="0"/>
    <s v="Mid"/>
    <s v="New"/>
    <s v="High"/>
    <x v="2"/>
    <s v="Grocery"/>
    <x v="0"/>
    <n v="118"/>
    <n v="9"/>
    <n v="152424"/>
    <s v="255"/>
    <n v="4"/>
    <n v="3"/>
    <n v="10"/>
    <n v="9"/>
    <s v="Low"/>
  </r>
  <r>
    <s v="C0123"/>
    <s v="Tarun Iyer"/>
    <s v="Male"/>
    <x v="1"/>
    <x v="9"/>
    <s v="Mid"/>
    <s v="New"/>
    <s v="High"/>
    <x v="1"/>
    <s v="Beauty"/>
    <x v="1"/>
    <n v="224"/>
    <n v="1"/>
    <n v="12732"/>
    <s v="112"/>
    <n v="0.75"/>
    <n v="1"/>
    <n v="1"/>
    <n v="1"/>
    <s v="High"/>
  </r>
  <r>
    <s v="C0124"/>
    <s v="Sunita Kumar"/>
    <s v="Female"/>
    <x v="2"/>
    <x v="6"/>
    <s v="Mid"/>
    <s v="Returning"/>
    <s v="Low"/>
    <x v="2"/>
    <s v="Fashion"/>
    <x v="0"/>
    <n v="53"/>
    <n v="5"/>
    <n v="54565"/>
    <s v="435"/>
    <n v="3"/>
    <n v="4"/>
    <n v="4"/>
    <n v="5"/>
    <s v="High"/>
  </r>
  <r>
    <s v="C0125"/>
    <s v="Rohit Mehta"/>
    <s v="Male"/>
    <x v="2"/>
    <x v="10"/>
    <s v="High"/>
    <s v="New"/>
    <s v="High"/>
    <x v="2"/>
    <s v="Home Decor"/>
    <x v="1"/>
    <n v="295"/>
    <n v="9"/>
    <n v="107762"/>
    <s v="155"/>
    <n v="3.75"/>
    <n v="4"/>
    <n v="7"/>
    <n v="9"/>
    <s v="Medium"/>
  </r>
  <r>
    <s v="C0126"/>
    <s v="Naveen Gupta"/>
    <s v="Male"/>
    <x v="2"/>
    <x v="1"/>
    <s v="Mid"/>
    <s v="New"/>
    <s v="Medium"/>
    <x v="0"/>
    <s v="Fashion"/>
    <x v="1"/>
    <n v="356"/>
    <n v="4"/>
    <n v="41245"/>
    <s v="134"/>
    <n v="4"/>
    <n v="4"/>
    <n v="8"/>
    <n v="4"/>
    <s v="Low"/>
  </r>
  <r>
    <s v="C0127"/>
    <s v="Tarun Mishra"/>
    <s v="Male"/>
    <x v="1"/>
    <x v="14"/>
    <s v="High"/>
    <s v="Returning"/>
    <s v="High"/>
    <x v="2"/>
    <s v="Grocery"/>
    <x v="1"/>
    <n v="298"/>
    <n v="7"/>
    <n v="91505"/>
    <s v="145"/>
    <n v="2.5"/>
    <n v="4"/>
    <n v="2"/>
    <n v="7"/>
    <s v="High"/>
  </r>
  <r>
    <s v="C0128"/>
    <s v="Amit Joshi"/>
    <s v="Male"/>
    <x v="1"/>
    <x v="15"/>
    <s v="Mid"/>
    <s v="New"/>
    <s v="Medium"/>
    <x v="2"/>
    <s v="Beauty"/>
    <x v="1"/>
    <n v="18"/>
    <n v="5"/>
    <n v="80047"/>
    <s v="535"/>
    <n v="3.5"/>
    <n v="5"/>
    <n v="4"/>
    <n v="5"/>
    <s v="Low"/>
  </r>
  <r>
    <s v="C0129"/>
    <s v="Ajay Gupta"/>
    <s v="Male"/>
    <x v="2"/>
    <x v="16"/>
    <s v="High"/>
    <s v="New"/>
    <s v="Low"/>
    <x v="1"/>
    <s v="Home Decor"/>
    <x v="0"/>
    <n v="279"/>
    <n v="1"/>
    <n v="21390"/>
    <s v="113"/>
    <n v="2.75"/>
    <n v="3"/>
    <n v="5"/>
    <n v="1"/>
    <s v="High"/>
  </r>
  <r>
    <s v="C0130"/>
    <s v="Meena Kumar"/>
    <s v="Female"/>
    <x v="1"/>
    <x v="4"/>
    <s v="High"/>
    <s v="New"/>
    <s v="Low"/>
    <x v="2"/>
    <s v="Sports"/>
    <x v="1"/>
    <n v="286"/>
    <n v="7"/>
    <n v="82618"/>
    <s v="145"/>
    <n v="1.75"/>
    <n v="2"/>
    <n v="3"/>
    <n v="7"/>
    <s v="Medium"/>
  </r>
  <r>
    <s v="C0131"/>
    <s v="Priya Reddy"/>
    <s v="Female"/>
    <x v="1"/>
    <x v="10"/>
    <s v="Mid"/>
    <s v="Returning"/>
    <s v="Low"/>
    <x v="2"/>
    <s v="Fashion"/>
    <x v="0"/>
    <n v="154"/>
    <n v="8"/>
    <n v="89973"/>
    <s v="255"/>
    <n v="4.25"/>
    <n v="4"/>
    <n v="9"/>
    <n v="8"/>
    <s v="High"/>
  </r>
  <r>
    <s v="C0132"/>
    <s v="Naveen Iyer"/>
    <s v="Male"/>
    <x v="1"/>
    <x v="10"/>
    <s v="Mid"/>
    <s v="New"/>
    <s v="High"/>
    <x v="3"/>
    <s v="Sports"/>
    <x v="1"/>
    <n v="118"/>
    <n v="8"/>
    <n v="107296"/>
    <s v="255"/>
    <n v="5"/>
    <n v="5"/>
    <n v="10"/>
    <n v="8"/>
    <s v="Medium"/>
  </r>
  <r>
    <s v="C0133"/>
    <s v="Ritu Reddy"/>
    <s v="Female"/>
    <x v="0"/>
    <x v="11"/>
    <s v="Mid"/>
    <s v="New"/>
    <s v="High"/>
    <x v="0"/>
    <s v="Home Decor"/>
    <x v="1"/>
    <n v="223"/>
    <n v="3"/>
    <n v="40265"/>
    <s v="124"/>
    <n v="2.75"/>
    <n v="1"/>
    <n v="9"/>
    <n v="3"/>
    <s v="High"/>
  </r>
  <r>
    <s v="C0134"/>
    <s v="Vijay Verma"/>
    <s v="Male"/>
    <x v="1"/>
    <x v="22"/>
    <s v="High"/>
    <s v="New"/>
    <s v="High"/>
    <x v="2"/>
    <s v="Grocery"/>
    <x v="1"/>
    <n v="291"/>
    <n v="4"/>
    <n v="71709"/>
    <s v="135"/>
    <n v="3.5"/>
    <n v="3"/>
    <n v="8"/>
    <n v="4"/>
    <s v="Medium"/>
  </r>
  <r>
    <s v="C0135"/>
    <s v="Swati Nair"/>
    <s v="Female"/>
    <x v="2"/>
    <x v="7"/>
    <s v="High"/>
    <s v="New"/>
    <s v="Low"/>
    <x v="1"/>
    <s v="Fashion"/>
    <x v="0"/>
    <n v="252"/>
    <n v="2"/>
    <n v="27506"/>
    <s v="123"/>
    <n v="4.25"/>
    <n v="5"/>
    <n v="7"/>
    <n v="2"/>
    <s v="Low"/>
  </r>
  <r>
    <s v="C0136"/>
    <s v="Divya Pillai"/>
    <s v="Female"/>
    <x v="0"/>
    <x v="22"/>
    <s v="Mid"/>
    <s v="Returning"/>
    <s v="Medium"/>
    <x v="2"/>
    <s v="Electronics"/>
    <x v="1"/>
    <n v="302"/>
    <n v="7"/>
    <n v="74030"/>
    <s v="145"/>
    <n v="1.75"/>
    <n v="1"/>
    <n v="5"/>
    <n v="7"/>
    <s v="Low"/>
  </r>
  <r>
    <s v="C0137"/>
    <s v="Manoj Singh"/>
    <s v="Male"/>
    <x v="1"/>
    <x v="7"/>
    <s v="Mid"/>
    <s v="New"/>
    <s v="High"/>
    <x v="2"/>
    <s v="Fashion"/>
    <x v="1"/>
    <n v="315"/>
    <n v="9"/>
    <n v="154391"/>
    <s v="155"/>
    <n v="1.75"/>
    <n v="1"/>
    <n v="5"/>
    <n v="9"/>
    <s v="Low"/>
  </r>
  <r>
    <s v="C0138"/>
    <s v="Nisha Rao"/>
    <s v="Female"/>
    <x v="1"/>
    <x v="20"/>
    <s v="High"/>
    <s v="New"/>
    <s v="High"/>
    <x v="0"/>
    <s v="Home Decor"/>
    <x v="1"/>
    <n v="147"/>
    <n v="3"/>
    <n v="43091"/>
    <s v="224"/>
    <n v="3.5"/>
    <n v="3"/>
    <n v="8"/>
    <n v="3"/>
    <s v="Medium"/>
  </r>
  <r>
    <s v="C0139"/>
    <s v="Rekha Reddy"/>
    <s v="Female"/>
    <x v="0"/>
    <x v="7"/>
    <s v="High"/>
    <s v="New"/>
    <s v="Medium"/>
    <x v="1"/>
    <s v="Sports"/>
    <x v="1"/>
    <n v="214"/>
    <n v="1"/>
    <n v="9172"/>
    <s v="112"/>
    <n v="1.5"/>
    <n v="1"/>
    <n v="4"/>
    <n v="1"/>
    <s v="Medium"/>
  </r>
  <r>
    <s v="C0140"/>
    <s v="Sunita Joshi"/>
    <s v="Female"/>
    <x v="2"/>
    <x v="14"/>
    <s v="Mid"/>
    <s v="Returning"/>
    <s v="Medium"/>
    <x v="3"/>
    <s v="Beauty"/>
    <x v="1"/>
    <n v="272"/>
    <n v="4"/>
    <n v="63889"/>
    <s v="135"/>
    <n v="5"/>
    <n v="5"/>
    <n v="10"/>
    <n v="4"/>
    <s v="Low"/>
  </r>
  <r>
    <s v="C0141"/>
    <s v="Kunal Nair"/>
    <s v="Male"/>
    <x v="0"/>
    <x v="8"/>
    <s v="High"/>
    <s v="Returning"/>
    <s v="Medium"/>
    <x v="3"/>
    <s v="Beauty"/>
    <x v="1"/>
    <n v="98"/>
    <n v="4"/>
    <n v="63932"/>
    <s v="235"/>
    <n v="4.5"/>
    <n v="4"/>
    <n v="10"/>
    <n v="4"/>
    <s v="High"/>
  </r>
  <r>
    <s v="C0142"/>
    <s v="Geeta Sharma"/>
    <s v="Female"/>
    <x v="1"/>
    <x v="21"/>
    <s v="Mid"/>
    <s v="New"/>
    <s v="Medium"/>
    <x v="0"/>
    <s v="Sports"/>
    <x v="1"/>
    <n v="59"/>
    <n v="4"/>
    <n v="39858"/>
    <s v="434"/>
    <n v="2"/>
    <n v="2"/>
    <n v="4"/>
    <n v="4"/>
    <s v="Low"/>
  </r>
  <r>
    <s v="C0143"/>
    <s v="Deepak Mehta"/>
    <s v="Male"/>
    <x v="2"/>
    <x v="10"/>
    <s v="Mid"/>
    <s v="New"/>
    <s v="Medium"/>
    <x v="1"/>
    <s v="Grocery"/>
    <x v="0"/>
    <n v="210"/>
    <n v="2"/>
    <n v="31017"/>
    <s v="124"/>
    <n v="2.75"/>
    <n v="1"/>
    <n v="9"/>
    <n v="2"/>
    <s v="Medium"/>
  </r>
  <r>
    <s v="C0144"/>
    <s v="Pooja Patel"/>
    <s v="Female"/>
    <x v="2"/>
    <x v="10"/>
    <s v="High"/>
    <s v="New"/>
    <s v="High"/>
    <x v="2"/>
    <s v="Electronics"/>
    <x v="1"/>
    <n v="351"/>
    <n v="4"/>
    <n v="52684"/>
    <s v="135"/>
    <n v="3"/>
    <n v="3"/>
    <n v="6"/>
    <n v="4"/>
    <s v="High"/>
  </r>
  <r>
    <s v="C0145"/>
    <s v="Amit Nair"/>
    <s v="Male"/>
    <x v="3"/>
    <x v="7"/>
    <s v="Mid"/>
    <s v="New"/>
    <s v="Low"/>
    <x v="2"/>
    <s v="Grocery"/>
    <x v="0"/>
    <n v="35"/>
    <n v="6"/>
    <n v="61634"/>
    <s v="445"/>
    <n v="4"/>
    <n v="3"/>
    <n v="10"/>
    <n v="6"/>
    <s v="Medium"/>
  </r>
  <r>
    <s v="C0146"/>
    <s v="Rekha Kumar"/>
    <s v="Female"/>
    <x v="1"/>
    <x v="5"/>
    <s v="Mid"/>
    <s v="Returning"/>
    <s v="Low"/>
    <x v="1"/>
    <s v="Beauty"/>
    <x v="0"/>
    <n v="364"/>
    <n v="1"/>
    <n v="20079"/>
    <s v="113"/>
    <n v="2.25"/>
    <n v="3"/>
    <n v="3"/>
    <n v="1"/>
    <s v="High"/>
  </r>
  <r>
    <s v="C0147"/>
    <s v="Meena Rao"/>
    <s v="Female"/>
    <x v="1"/>
    <x v="14"/>
    <s v="Mid"/>
    <s v="New"/>
    <s v="High"/>
    <x v="3"/>
    <s v="Sports"/>
    <x v="0"/>
    <n v="27"/>
    <n v="8"/>
    <n v="69853"/>
    <s v="555"/>
    <n v="3.25"/>
    <n v="4"/>
    <n v="5"/>
    <n v="8"/>
    <s v="Medium"/>
  </r>
  <r>
    <s v="C0148"/>
    <s v="Amit Joshi"/>
    <s v="Male"/>
    <x v="1"/>
    <x v="12"/>
    <s v="High"/>
    <s v="Returning"/>
    <s v="Low"/>
    <x v="2"/>
    <s v="Sports"/>
    <x v="0"/>
    <n v="127"/>
    <n v="9"/>
    <n v="118508"/>
    <s v="255"/>
    <n v="2"/>
    <n v="2"/>
    <n v="4"/>
    <n v="9"/>
    <s v="Medium"/>
  </r>
  <r>
    <s v="C0149"/>
    <s v="Nisha Gupta"/>
    <s v="Female"/>
    <x v="2"/>
    <x v="10"/>
    <s v="Mid"/>
    <s v="Returning"/>
    <s v="Medium"/>
    <x v="0"/>
    <s v="Sports"/>
    <x v="1"/>
    <n v="74"/>
    <n v="3"/>
    <n v="36718"/>
    <s v="324"/>
    <n v="2"/>
    <n v="2"/>
    <n v="4"/>
    <n v="3"/>
    <s v="Medium"/>
  </r>
  <r>
    <s v="C0150"/>
    <s v="Suresh Mehta"/>
    <s v="Male"/>
    <x v="2"/>
    <x v="16"/>
    <s v="High"/>
    <s v="Returning"/>
    <s v="Low"/>
    <x v="2"/>
    <s v="Fashion"/>
    <x v="1"/>
    <n v="211"/>
    <n v="5"/>
    <n v="60658"/>
    <s v="135"/>
    <n v="2.75"/>
    <n v="4"/>
    <n v="3"/>
    <n v="5"/>
    <s v="Medium"/>
  </r>
  <r>
    <s v="C0151"/>
    <s v="Swati Reddy"/>
    <s v="Female"/>
    <x v="2"/>
    <x v="20"/>
    <s v="High"/>
    <s v="New"/>
    <s v="Low"/>
    <x v="2"/>
    <s v="Fashion"/>
    <x v="0"/>
    <n v="169"/>
    <n v="7"/>
    <n v="86667"/>
    <s v="245"/>
    <n v="4.25"/>
    <n v="5"/>
    <n v="7"/>
    <n v="7"/>
    <s v="High"/>
  </r>
  <r>
    <s v="C0152"/>
    <s v="Pooja Mehta"/>
    <s v="Female"/>
    <x v="1"/>
    <x v="15"/>
    <s v="Mid"/>
    <s v="New"/>
    <s v="Medium"/>
    <x v="2"/>
    <s v="Grocery"/>
    <x v="1"/>
    <n v="80"/>
    <n v="10"/>
    <n v="143606"/>
    <s v="355"/>
    <n v="2.5"/>
    <n v="4"/>
    <n v="2"/>
    <n v="10"/>
    <s v="High"/>
  </r>
  <r>
    <s v="C0153"/>
    <s v="Sneha Pillai"/>
    <s v="Female"/>
    <x v="1"/>
    <x v="16"/>
    <s v="High"/>
    <s v="New"/>
    <s v="High"/>
    <x v="2"/>
    <s v="Fashion"/>
    <x v="0"/>
    <n v="216"/>
    <n v="9"/>
    <n v="144829"/>
    <s v="155"/>
    <n v="2.75"/>
    <n v="1"/>
    <n v="9"/>
    <n v="9"/>
    <s v="Low"/>
  </r>
  <r>
    <s v="C0154"/>
    <s v="Ravi Singh"/>
    <s v="Male"/>
    <x v="2"/>
    <x v="14"/>
    <s v="High"/>
    <s v="New"/>
    <s v="Low"/>
    <x v="2"/>
    <s v="Beauty"/>
    <x v="1"/>
    <n v="261"/>
    <n v="8"/>
    <n v="108828"/>
    <s v="155"/>
    <n v="3.5"/>
    <n v="3"/>
    <n v="8"/>
    <n v="8"/>
    <s v="Medium"/>
  </r>
  <r>
    <s v="C0155"/>
    <s v="Naveen Mehta"/>
    <s v="Male"/>
    <x v="2"/>
    <x v="13"/>
    <s v="Mid"/>
    <s v="Returning"/>
    <s v="Low"/>
    <x v="3"/>
    <s v="Grocery"/>
    <x v="0"/>
    <n v="84"/>
    <n v="8"/>
    <n v="88868"/>
    <s v="355"/>
    <n v="4.5"/>
    <n v="4"/>
    <n v="10"/>
    <n v="8"/>
    <s v="Low"/>
  </r>
  <r>
    <s v="C0156"/>
    <s v="Vijay Sharma"/>
    <s v="Male"/>
    <x v="2"/>
    <x v="21"/>
    <s v="Mid"/>
    <s v="Returning"/>
    <s v="Low"/>
    <x v="2"/>
    <s v="Home Decor"/>
    <x v="1"/>
    <n v="55"/>
    <n v="8"/>
    <n v="79388"/>
    <s v="455"/>
    <n v="2.5"/>
    <n v="1"/>
    <n v="8"/>
    <n v="8"/>
    <s v="High"/>
  </r>
  <r>
    <s v="C0157"/>
    <s v="Rekha Mehta"/>
    <s v="Female"/>
    <x v="2"/>
    <x v="7"/>
    <s v="Mid"/>
    <s v="New"/>
    <s v="High"/>
    <x v="1"/>
    <s v="Beauty"/>
    <x v="1"/>
    <n v="147"/>
    <n v="1"/>
    <n v="6260"/>
    <s v="212"/>
    <n v="3.75"/>
    <n v="3"/>
    <n v="9"/>
    <n v="1"/>
    <s v="Medium"/>
  </r>
  <r>
    <s v="C0158"/>
    <s v="Divya Verma"/>
    <s v="Female"/>
    <x v="1"/>
    <x v="22"/>
    <s v="Mid"/>
    <s v="New"/>
    <s v="High"/>
    <x v="1"/>
    <s v="Beauty"/>
    <x v="0"/>
    <n v="242"/>
    <n v="1"/>
    <n v="6605"/>
    <s v="112"/>
    <n v="3.75"/>
    <n v="4"/>
    <n v="7"/>
    <n v="1"/>
    <s v="Low"/>
  </r>
  <r>
    <s v="C0159"/>
    <s v="Rohit Kumar"/>
    <s v="Male"/>
    <x v="2"/>
    <x v="15"/>
    <s v="High"/>
    <s v="Returning"/>
    <s v="Low"/>
    <x v="2"/>
    <s v="Electronics"/>
    <x v="1"/>
    <n v="230"/>
    <n v="5"/>
    <n v="64383"/>
    <s v="135"/>
    <n v="2.25"/>
    <n v="2"/>
    <n v="5"/>
    <n v="5"/>
    <s v="Low"/>
  </r>
  <r>
    <s v="C0160"/>
    <s v="Rahul Singh"/>
    <s v="Male"/>
    <x v="2"/>
    <x v="22"/>
    <s v="Mid"/>
    <s v="New"/>
    <s v="Medium"/>
    <x v="2"/>
    <s v="Grocery"/>
    <x v="0"/>
    <n v="341"/>
    <n v="8"/>
    <n v="112602"/>
    <s v="155"/>
    <n v="3"/>
    <n v="3"/>
    <n v="6"/>
    <n v="8"/>
    <s v="Low"/>
  </r>
  <r>
    <s v="C0161"/>
    <s v="Swati Verma"/>
    <s v="Female"/>
    <x v="1"/>
    <x v="6"/>
    <s v="High"/>
    <s v="Returning"/>
    <s v="High"/>
    <x v="1"/>
    <s v="Home Decor"/>
    <x v="1"/>
    <n v="125"/>
    <n v="2"/>
    <n v="19770"/>
    <s v="223"/>
    <n v="5"/>
    <n v="5"/>
    <n v="10"/>
    <n v="2"/>
    <s v="High"/>
  </r>
  <r>
    <s v="C0162"/>
    <s v="Swati Reddy"/>
    <s v="Female"/>
    <x v="0"/>
    <x v="3"/>
    <s v="Low"/>
    <s v="Returning"/>
    <s v="High"/>
    <x v="2"/>
    <s v="Electronics"/>
    <x v="0"/>
    <n v="288"/>
    <n v="6"/>
    <n v="84011"/>
    <s v="145"/>
    <n v="2.25"/>
    <n v="4"/>
    <n v="1"/>
    <n v="6"/>
    <s v="Low"/>
  </r>
  <r>
    <s v="C0163"/>
    <s v="Amit Jain"/>
    <s v="Male"/>
    <x v="0"/>
    <x v="10"/>
    <s v="High"/>
    <s v="Returning"/>
    <s v="Medium"/>
    <x v="0"/>
    <s v="Electronics"/>
    <x v="1"/>
    <n v="34"/>
    <n v="1"/>
    <n v="15750"/>
    <s v="413"/>
    <n v="2.5"/>
    <n v="1"/>
    <n v="8"/>
    <n v="1"/>
    <s v="Medium"/>
  </r>
  <r>
    <s v="C0164"/>
    <s v="Sunita Reddy"/>
    <s v="Female"/>
    <x v="1"/>
    <x v="8"/>
    <s v="Mid"/>
    <s v="Returning"/>
    <s v="Medium"/>
    <x v="2"/>
    <s v="Beauty"/>
    <x v="1"/>
    <n v="171"/>
    <n v="5"/>
    <n v="80616"/>
    <s v="235"/>
    <n v="1.25"/>
    <n v="1"/>
    <n v="3"/>
    <n v="5"/>
    <s v="Low"/>
  </r>
  <r>
    <s v="C0165"/>
    <s v="Geeta Singh"/>
    <s v="Female"/>
    <x v="1"/>
    <x v="13"/>
    <s v="Mid"/>
    <s v="Returning"/>
    <s v="Low"/>
    <x v="2"/>
    <s v="Beauty"/>
    <x v="1"/>
    <n v="241"/>
    <n v="8"/>
    <n v="97141"/>
    <s v="155"/>
    <n v="2.25"/>
    <n v="4"/>
    <n v="1"/>
    <n v="8"/>
    <s v="Low"/>
  </r>
  <r>
    <s v="C0166"/>
    <s v="Kavya Jain"/>
    <s v="Female"/>
    <x v="2"/>
    <x v="15"/>
    <s v="High"/>
    <s v="New"/>
    <s v="High"/>
    <x v="2"/>
    <s v="Grocery"/>
    <x v="1"/>
    <n v="330"/>
    <n v="9"/>
    <n v="105114"/>
    <s v="155"/>
    <n v="2.75"/>
    <n v="4"/>
    <n v="3"/>
    <n v="9"/>
    <s v="Medium"/>
  </r>
  <r>
    <s v="C0167"/>
    <s v="Deepak Mehta"/>
    <s v="Male"/>
    <x v="0"/>
    <x v="11"/>
    <s v="High"/>
    <s v="Returning"/>
    <s v="Medium"/>
    <x v="0"/>
    <s v="Beauty"/>
    <x v="1"/>
    <n v="136"/>
    <n v="5"/>
    <n v="44386"/>
    <s v="234"/>
    <n v="2.75"/>
    <n v="3"/>
    <n v="5"/>
    <n v="5"/>
    <s v="Medium"/>
  </r>
  <r>
    <s v="C0168"/>
    <s v="Pranav Nair"/>
    <s v="Male"/>
    <x v="2"/>
    <x v="3"/>
    <s v="High"/>
    <s v="New"/>
    <s v="Medium"/>
    <x v="1"/>
    <s v="Electronics"/>
    <x v="1"/>
    <n v="225"/>
    <n v="2"/>
    <n v="14844"/>
    <s v="122"/>
    <n v="1.75"/>
    <n v="1"/>
    <n v="5"/>
    <n v="2"/>
    <s v="High"/>
  </r>
  <r>
    <s v="C0169"/>
    <s v="Deepak Nair"/>
    <s v="Male"/>
    <x v="1"/>
    <x v="12"/>
    <s v="High"/>
    <s v="Returning"/>
    <s v="Medium"/>
    <x v="2"/>
    <s v="Beauty"/>
    <x v="1"/>
    <n v="20"/>
    <n v="7"/>
    <n v="72412"/>
    <s v="545"/>
    <n v="1.25"/>
    <n v="1"/>
    <n v="3"/>
    <n v="7"/>
    <s v="Low"/>
  </r>
  <r>
    <s v="C0170"/>
    <s v="Swati Sharma"/>
    <s v="Female"/>
    <x v="3"/>
    <x v="0"/>
    <s v="High"/>
    <s v="Returning"/>
    <s v="High"/>
    <x v="2"/>
    <s v="Home Decor"/>
    <x v="1"/>
    <n v="300"/>
    <n v="5"/>
    <n v="80443"/>
    <s v="135"/>
    <n v="1.75"/>
    <n v="1"/>
    <n v="5"/>
    <n v="5"/>
    <s v="High"/>
  </r>
  <r>
    <s v="C0171"/>
    <s v="Sneha Mehta"/>
    <s v="Female"/>
    <x v="2"/>
    <x v="16"/>
    <s v="Mid"/>
    <s v="New"/>
    <s v="Medium"/>
    <x v="1"/>
    <s v="Home Decor"/>
    <x v="0"/>
    <n v="298"/>
    <n v="2"/>
    <n v="22623"/>
    <s v="123"/>
    <n v="1.5"/>
    <n v="2"/>
    <n v="2"/>
    <n v="2"/>
    <s v="High"/>
  </r>
  <r>
    <s v="C0172"/>
    <s v="Sunita Reddy"/>
    <s v="Female"/>
    <x v="0"/>
    <x v="1"/>
    <s v="High"/>
    <s v="Returning"/>
    <s v="High"/>
    <x v="0"/>
    <s v="Electronics"/>
    <x v="1"/>
    <n v="128"/>
    <n v="4"/>
    <n v="44094"/>
    <s v="234"/>
    <n v="1.5"/>
    <n v="1"/>
    <n v="4"/>
    <n v="4"/>
    <s v="High"/>
  </r>
  <r>
    <s v="C0173"/>
    <s v="Rekha Sharma"/>
    <s v="Female"/>
    <x v="2"/>
    <x v="1"/>
    <s v="High"/>
    <s v="Returning"/>
    <s v="Low"/>
    <x v="2"/>
    <s v="Grocery"/>
    <x v="0"/>
    <n v="224"/>
    <n v="7"/>
    <n v="74816"/>
    <s v="145"/>
    <n v="2.75"/>
    <n v="4"/>
    <n v="3"/>
    <n v="7"/>
    <s v="High"/>
  </r>
  <r>
    <s v="C0174"/>
    <s v="Meena Jain"/>
    <s v="Female"/>
    <x v="1"/>
    <x v="2"/>
    <s v="High"/>
    <s v="New"/>
    <s v="Low"/>
    <x v="3"/>
    <s v="Fashion"/>
    <x v="1"/>
    <n v="337"/>
    <n v="7"/>
    <n v="119976"/>
    <s v="145"/>
    <n v="4.75"/>
    <n v="5"/>
    <n v="9"/>
    <n v="7"/>
    <s v="Low"/>
  </r>
  <r>
    <s v="C0175"/>
    <s v="Rekha Rao"/>
    <s v="Female"/>
    <x v="0"/>
    <x v="11"/>
    <s v="High"/>
    <s v="Returning"/>
    <s v="Medium"/>
    <x v="2"/>
    <s v="Fashion"/>
    <x v="1"/>
    <n v="373"/>
    <n v="7"/>
    <n v="95222"/>
    <s v="145"/>
    <n v="2.25"/>
    <n v="4"/>
    <n v="1"/>
    <n v="7"/>
    <s v="High"/>
  </r>
  <r>
    <s v="C0176"/>
    <s v="Ajay Jain"/>
    <s v="Male"/>
    <x v="2"/>
    <x v="16"/>
    <s v="High"/>
    <s v="Returning"/>
    <s v="Medium"/>
    <x v="2"/>
    <s v="Fashion"/>
    <x v="1"/>
    <n v="276"/>
    <n v="5"/>
    <n v="88212"/>
    <s v="135"/>
    <n v="3.25"/>
    <n v="3"/>
    <n v="7"/>
    <n v="5"/>
    <s v="Medium"/>
  </r>
  <r>
    <s v="C0177"/>
    <s v="Lakshmi Pillai"/>
    <s v="Female"/>
    <x v="0"/>
    <x v="9"/>
    <s v="High"/>
    <s v="Returning"/>
    <s v="Low"/>
    <x v="3"/>
    <s v="Electronics"/>
    <x v="1"/>
    <n v="26"/>
    <n v="10"/>
    <n v="139345"/>
    <s v="555"/>
    <n v="1.5"/>
    <n v="2"/>
    <n v="2"/>
    <n v="10"/>
    <s v="High"/>
  </r>
  <r>
    <s v="C0178"/>
    <s v="Divya Jain"/>
    <s v="Female"/>
    <x v="1"/>
    <x v="7"/>
    <s v="High"/>
    <s v="Returning"/>
    <s v="High"/>
    <x v="2"/>
    <s v="Fashion"/>
    <x v="0"/>
    <n v="40"/>
    <n v="9"/>
    <n v="94625"/>
    <s v="455"/>
    <n v="1.5"/>
    <n v="2"/>
    <n v="2"/>
    <n v="9"/>
    <s v="High"/>
  </r>
  <r>
    <s v="C0179"/>
    <s v="Suresh Patel"/>
    <s v="Male"/>
    <x v="1"/>
    <x v="16"/>
    <s v="Mid"/>
    <s v="New"/>
    <s v="Medium"/>
    <x v="2"/>
    <s v="Grocery"/>
    <x v="0"/>
    <n v="165"/>
    <n v="4"/>
    <n v="69259"/>
    <s v="235"/>
    <n v="2"/>
    <n v="1"/>
    <n v="6"/>
    <n v="4"/>
    <s v="Medium"/>
  </r>
  <r>
    <s v="C0180"/>
    <s v="Lakshmi Verma"/>
    <s v="Female"/>
    <x v="0"/>
    <x v="4"/>
    <s v="High"/>
    <s v="Returning"/>
    <s v="Medium"/>
    <x v="2"/>
    <s v="Grocery"/>
    <x v="1"/>
    <n v="204"/>
    <n v="8"/>
    <n v="87033"/>
    <s v="155"/>
    <n v="2.25"/>
    <n v="3"/>
    <n v="3"/>
    <n v="8"/>
    <s v="High"/>
  </r>
  <r>
    <s v="C0181"/>
    <s v="Manoj Gupta"/>
    <s v="Male"/>
    <x v="0"/>
    <x v="8"/>
    <s v="High"/>
    <s v="New"/>
    <s v="Medium"/>
    <x v="0"/>
    <s v="Grocery"/>
    <x v="1"/>
    <n v="314"/>
    <n v="3"/>
    <n v="41899"/>
    <s v="124"/>
    <n v="2.75"/>
    <n v="4"/>
    <n v="3"/>
    <n v="3"/>
    <s v="High"/>
  </r>
  <r>
    <s v="C0182"/>
    <s v="Rekha Nair"/>
    <s v="Female"/>
    <x v="0"/>
    <x v="2"/>
    <s v="Mid"/>
    <s v="New"/>
    <s v="High"/>
    <x v="2"/>
    <s v="Home Decor"/>
    <x v="1"/>
    <n v="210"/>
    <n v="10"/>
    <n v="132355"/>
    <s v="155"/>
    <n v="3"/>
    <n v="1"/>
    <n v="10"/>
    <n v="10"/>
    <s v="High"/>
  </r>
  <r>
    <s v="C0183"/>
    <s v="Kavya Mishra"/>
    <s v="Female"/>
    <x v="1"/>
    <x v="10"/>
    <s v="Mid"/>
    <s v="Returning"/>
    <s v="Medium"/>
    <x v="2"/>
    <s v="Beauty"/>
    <x v="0"/>
    <n v="328"/>
    <n v="6"/>
    <n v="100465"/>
    <s v="145"/>
    <n v="2.5"/>
    <n v="2"/>
    <n v="6"/>
    <n v="6"/>
    <s v="Low"/>
  </r>
  <r>
    <s v="C0184"/>
    <s v="Meena Joshi"/>
    <s v="Female"/>
    <x v="0"/>
    <x v="12"/>
    <s v="High"/>
    <s v="Returning"/>
    <s v="High"/>
    <x v="2"/>
    <s v="Sports"/>
    <x v="0"/>
    <n v="127"/>
    <n v="7"/>
    <n v="72471"/>
    <s v="245"/>
    <n v="2.75"/>
    <n v="2"/>
    <n v="7"/>
    <n v="7"/>
    <s v="Low"/>
  </r>
  <r>
    <s v="C0185"/>
    <s v="Priya Joshi"/>
    <s v="Female"/>
    <x v="2"/>
    <x v="16"/>
    <s v="High"/>
    <s v="Returning"/>
    <s v="High"/>
    <x v="2"/>
    <s v="Electronics"/>
    <x v="0"/>
    <n v="194"/>
    <n v="8"/>
    <n v="64296"/>
    <s v="155"/>
    <n v="3.5"/>
    <n v="5"/>
    <n v="4"/>
    <n v="8"/>
    <s v="High"/>
  </r>
  <r>
    <s v="C0186"/>
    <s v="Sneha Jain"/>
    <s v="Female"/>
    <x v="2"/>
    <x v="14"/>
    <s v="Low"/>
    <s v="New"/>
    <s v="Low"/>
    <x v="2"/>
    <s v="Beauty"/>
    <x v="1"/>
    <n v="272"/>
    <n v="9"/>
    <n v="129825"/>
    <s v="155"/>
    <n v="1.25"/>
    <n v="1"/>
    <n v="3"/>
    <n v="9"/>
    <s v="High"/>
  </r>
  <r>
    <s v="C0187"/>
    <s v="Naveen Rao"/>
    <s v="Male"/>
    <x v="2"/>
    <x v="0"/>
    <s v="Mid"/>
    <s v="Returning"/>
    <s v="Low"/>
    <x v="2"/>
    <s v="Beauty"/>
    <x v="0"/>
    <n v="101"/>
    <n v="6"/>
    <n v="79330"/>
    <s v="245"/>
    <n v="2"/>
    <n v="1"/>
    <n v="6"/>
    <n v="6"/>
    <s v="Low"/>
  </r>
  <r>
    <s v="C0188"/>
    <s v="Rahul Singh"/>
    <s v="Male"/>
    <x v="2"/>
    <x v="15"/>
    <s v="High"/>
    <s v="Returning"/>
    <s v="Low"/>
    <x v="0"/>
    <s v="Fashion"/>
    <x v="0"/>
    <n v="242"/>
    <n v="3"/>
    <n v="25282"/>
    <s v="123"/>
    <n v="2.75"/>
    <n v="4"/>
    <n v="3"/>
    <n v="3"/>
    <s v="Low"/>
  </r>
  <r>
    <s v="C0189"/>
    <s v="Rahul Pillai"/>
    <s v="Male"/>
    <x v="1"/>
    <x v="16"/>
    <s v="High"/>
    <s v="Returning"/>
    <s v="High"/>
    <x v="2"/>
    <s v="Grocery"/>
    <x v="0"/>
    <n v="63"/>
    <n v="5"/>
    <n v="55878"/>
    <s v="335"/>
    <n v="1.5"/>
    <n v="2"/>
    <n v="2"/>
    <n v="5"/>
    <s v="Low"/>
  </r>
  <r>
    <s v="C0190"/>
    <s v="Aarti Mishra"/>
    <s v="Female"/>
    <x v="1"/>
    <x v="15"/>
    <s v="Mid"/>
    <s v="Returning"/>
    <s v="High"/>
    <x v="1"/>
    <s v="Sports"/>
    <x v="1"/>
    <n v="126"/>
    <n v="2"/>
    <n v="21193"/>
    <s v="223"/>
    <n v="1.25"/>
    <n v="2"/>
    <n v="1"/>
    <n v="2"/>
    <s v="Low"/>
  </r>
  <r>
    <s v="C0191"/>
    <s v="Swati Reddy"/>
    <s v="Female"/>
    <x v="0"/>
    <x v="11"/>
    <s v="Mid"/>
    <s v="Returning"/>
    <s v="High"/>
    <x v="2"/>
    <s v="Electronics"/>
    <x v="1"/>
    <n v="227"/>
    <n v="7"/>
    <n v="92907"/>
    <s v="145"/>
    <n v="3.75"/>
    <n v="3"/>
    <n v="9"/>
    <n v="7"/>
    <s v="High"/>
  </r>
  <r>
    <s v="C0192"/>
    <s v="Ajay Pillai"/>
    <s v="Male"/>
    <x v="0"/>
    <x v="12"/>
    <s v="Mid"/>
    <s v="Returning"/>
    <s v="Medium"/>
    <x v="2"/>
    <s v="Beauty"/>
    <x v="0"/>
    <n v="173"/>
    <n v="7"/>
    <n v="80227"/>
    <s v="245"/>
    <n v="4.25"/>
    <n v="5"/>
    <n v="7"/>
    <n v="7"/>
    <s v="Medium"/>
  </r>
  <r>
    <s v="C0193"/>
    <s v="Lakshmi Singh"/>
    <s v="Female"/>
    <x v="1"/>
    <x v="11"/>
    <s v="High"/>
    <s v="New"/>
    <s v="Medium"/>
    <x v="2"/>
    <s v="Beauty"/>
    <x v="0"/>
    <n v="187"/>
    <n v="8"/>
    <n v="132676"/>
    <s v="155"/>
    <n v="2.5"/>
    <n v="3"/>
    <n v="4"/>
    <n v="8"/>
    <s v="Low"/>
  </r>
  <r>
    <s v="C0194"/>
    <s v="Pooja Verma"/>
    <s v="Female"/>
    <x v="0"/>
    <x v="6"/>
    <s v="High"/>
    <s v="New"/>
    <s v="Medium"/>
    <x v="2"/>
    <s v="Fashion"/>
    <x v="1"/>
    <n v="218"/>
    <n v="5"/>
    <n v="78673"/>
    <s v="135"/>
    <n v="2.5"/>
    <n v="4"/>
    <n v="2"/>
    <n v="5"/>
    <s v="High"/>
  </r>
  <r>
    <s v="C0195"/>
    <s v="Lakshmi Joshi"/>
    <s v="Female"/>
    <x v="2"/>
    <x v="6"/>
    <s v="High"/>
    <s v="New"/>
    <s v="Medium"/>
    <x v="2"/>
    <s v="Home Decor"/>
    <x v="1"/>
    <n v="262"/>
    <n v="8"/>
    <n v="118391"/>
    <s v="155"/>
    <n v="3.5"/>
    <n v="2"/>
    <n v="10"/>
    <n v="8"/>
    <s v="High"/>
  </r>
  <r>
    <s v="C0196"/>
    <s v="Pranav Singh"/>
    <s v="Male"/>
    <x v="0"/>
    <x v="3"/>
    <s v="Mid"/>
    <s v="Returning"/>
    <s v="Medium"/>
    <x v="2"/>
    <s v="Electronics"/>
    <x v="1"/>
    <n v="285"/>
    <n v="7"/>
    <n v="120949"/>
    <s v="145"/>
    <n v="2"/>
    <n v="1"/>
    <n v="6"/>
    <n v="7"/>
    <s v="Low"/>
  </r>
  <r>
    <s v="C0197"/>
    <s v="Suresh Gupta"/>
    <s v="Male"/>
    <x v="0"/>
    <x v="15"/>
    <s v="Mid"/>
    <s v="Returning"/>
    <s v="Medium"/>
    <x v="2"/>
    <s v="Beauty"/>
    <x v="0"/>
    <n v="203"/>
    <n v="7"/>
    <n v="98287"/>
    <s v="145"/>
    <n v="3.25"/>
    <n v="3"/>
    <n v="7"/>
    <n v="7"/>
    <s v="Medium"/>
  </r>
  <r>
    <s v="C0198"/>
    <s v="Ajay Mehta"/>
    <s v="Male"/>
    <x v="2"/>
    <x v="11"/>
    <s v="Mid"/>
    <s v="New"/>
    <s v="Medium"/>
    <x v="2"/>
    <s v="Fashion"/>
    <x v="0"/>
    <n v="39"/>
    <n v="9"/>
    <n v="73469"/>
    <s v="455"/>
    <n v="4"/>
    <n v="5"/>
    <n v="6"/>
    <n v="9"/>
    <s v="Medium"/>
  </r>
  <r>
    <s v="C0199"/>
    <s v="Rahul Patel"/>
    <s v="Male"/>
    <x v="1"/>
    <x v="6"/>
    <s v="High"/>
    <s v="Returning"/>
    <s v="High"/>
    <x v="1"/>
    <s v="Fashion"/>
    <x v="1"/>
    <n v="220"/>
    <n v="2"/>
    <n v="27617"/>
    <s v="123"/>
    <n v="4.5"/>
    <n v="5"/>
    <n v="8"/>
    <n v="2"/>
    <s v="High"/>
  </r>
  <r>
    <s v="C0200"/>
    <s v="Manoj Pillai"/>
    <s v="Male"/>
    <x v="2"/>
    <x v="9"/>
    <s v="Mid"/>
    <s v="Returning"/>
    <s v="Medium"/>
    <x v="2"/>
    <s v="Grocery"/>
    <x v="1"/>
    <n v="374"/>
    <n v="4"/>
    <n v="52070"/>
    <s v="135"/>
    <n v="3"/>
    <n v="1"/>
    <n v="10"/>
    <n v="4"/>
    <s v="L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4">
  <r>
    <s v="T00001"/>
    <s v="C0001"/>
    <x v="0"/>
    <s v="Beauty"/>
    <n v="10900"/>
    <m/>
    <x v="0"/>
  </r>
  <r>
    <s v="T00002"/>
    <s v="C0002"/>
    <x v="1"/>
    <s v="Grocery"/>
    <n v="3780"/>
    <m/>
    <x v="1"/>
  </r>
  <r>
    <s v="T00003"/>
    <s v="C0003"/>
    <x v="2"/>
    <s v="Grocery"/>
    <n v="1950"/>
    <m/>
    <x v="2"/>
  </r>
  <r>
    <s v="T00004"/>
    <s v="C0003"/>
    <x v="3"/>
    <s v="Grocery"/>
    <n v="3430"/>
    <m/>
    <x v="2"/>
  </r>
  <r>
    <s v="T00005"/>
    <s v="C0004"/>
    <x v="4"/>
    <s v="Electronics"/>
    <n v="12070"/>
    <m/>
    <x v="3"/>
  </r>
  <r>
    <s v="T00006"/>
    <s v="C0005"/>
    <x v="5"/>
    <s v="Home Decor"/>
    <n v="1470"/>
    <m/>
    <x v="2"/>
  </r>
  <r>
    <s v="T00007"/>
    <s v="C0005"/>
    <x v="6"/>
    <s v="Clothing"/>
    <n v="1730"/>
    <m/>
    <x v="4"/>
  </r>
  <r>
    <s v="T00008"/>
    <s v="C0005"/>
    <x v="7"/>
    <s v="Home Decor"/>
    <n v="1730"/>
    <m/>
    <x v="5"/>
  </r>
  <r>
    <s v="T00009"/>
    <s v="C0005"/>
    <x v="8"/>
    <s v="Sports"/>
    <n v="9740"/>
    <m/>
    <x v="6"/>
  </r>
  <r>
    <s v="T00010"/>
    <s v="C0005"/>
    <x v="9"/>
    <s v="Electronics"/>
    <n v="3090"/>
    <m/>
    <x v="4"/>
  </r>
  <r>
    <s v="T00011"/>
    <s v="C0005"/>
    <x v="10"/>
    <s v="Clothing"/>
    <n v="13260"/>
    <m/>
    <x v="7"/>
  </r>
  <r>
    <s v="T00012"/>
    <s v="C0005"/>
    <x v="11"/>
    <s v="Grocery"/>
    <n v="3740"/>
    <m/>
    <x v="6"/>
  </r>
  <r>
    <s v="T00013"/>
    <s v="C0005"/>
    <x v="12"/>
    <s v="Electronics"/>
    <n v="3220"/>
    <m/>
    <x v="7"/>
  </r>
  <r>
    <s v="T00014"/>
    <s v="C0005"/>
    <x v="13"/>
    <s v="Electronics"/>
    <n v="4010"/>
    <m/>
    <x v="8"/>
  </r>
  <r>
    <s v="T00015"/>
    <s v="C0005"/>
    <x v="14"/>
    <s v="Home Decor"/>
    <n v="1260"/>
    <m/>
    <x v="6"/>
  </r>
  <r>
    <s v="T00016"/>
    <s v="C0005"/>
    <x v="15"/>
    <s v="Beauty"/>
    <n v="4560"/>
    <m/>
    <x v="5"/>
  </r>
  <r>
    <s v="T00017"/>
    <s v="C0005"/>
    <x v="16"/>
    <s v="Home Decor"/>
    <n v="8150"/>
    <m/>
    <x v="4"/>
  </r>
  <r>
    <s v="T00018"/>
    <s v="C0005"/>
    <x v="17"/>
    <s v="Beauty"/>
    <n v="4180"/>
    <m/>
    <x v="6"/>
  </r>
  <r>
    <s v="T00019"/>
    <s v="C0005"/>
    <x v="18"/>
    <s v="Sports"/>
    <n v="6680"/>
    <m/>
    <x v="4"/>
  </r>
  <r>
    <s v="T00020"/>
    <s v="C0006"/>
    <x v="19"/>
    <s v="Grocery"/>
    <n v="12330"/>
    <m/>
    <x v="2"/>
  </r>
  <r>
    <s v="T00021"/>
    <s v="C0007"/>
    <x v="20"/>
    <s v="Clothing"/>
    <n v="1610"/>
    <m/>
    <x v="5"/>
  </r>
  <r>
    <s v="T00022"/>
    <s v="C0007"/>
    <x v="21"/>
    <s v="Home Decor"/>
    <n v="2560"/>
    <m/>
    <x v="9"/>
  </r>
  <r>
    <s v="T00023"/>
    <s v="C0007"/>
    <x v="22"/>
    <s v="Home Decor"/>
    <n v="2540"/>
    <m/>
    <x v="5"/>
  </r>
  <r>
    <s v="T00024"/>
    <s v="C0007"/>
    <x v="23"/>
    <s v="Beauty"/>
    <n v="10400"/>
    <m/>
    <x v="9"/>
  </r>
  <r>
    <s v="T00025"/>
    <s v="C0007"/>
    <x v="24"/>
    <s v="Clothing"/>
    <n v="20890"/>
    <m/>
    <x v="6"/>
  </r>
  <r>
    <s v="T00026"/>
    <s v="C0007"/>
    <x v="25"/>
    <s v="Beauty"/>
    <n v="870"/>
    <m/>
    <x v="5"/>
  </r>
  <r>
    <s v="T00027"/>
    <s v="C0007"/>
    <x v="26"/>
    <s v="Grocery"/>
    <n v="7480"/>
    <m/>
    <x v="10"/>
  </r>
  <r>
    <s v="T00028"/>
    <s v="C0007"/>
    <x v="27"/>
    <s v="Sports"/>
    <n v="2360"/>
    <m/>
    <x v="9"/>
  </r>
  <r>
    <s v="T00029"/>
    <s v="C0007"/>
    <x v="28"/>
    <s v="Sports"/>
    <n v="1850"/>
    <m/>
    <x v="9"/>
  </r>
  <r>
    <s v="T00030"/>
    <s v="C0007"/>
    <x v="29"/>
    <s v="Beauty"/>
    <n v="9770"/>
    <m/>
    <x v="10"/>
  </r>
  <r>
    <s v="T00031"/>
    <s v="C0007"/>
    <x v="30"/>
    <s v="Grocery"/>
    <n v="19290"/>
    <m/>
    <x v="7"/>
  </r>
  <r>
    <s v="T00032"/>
    <s v="C0007"/>
    <x v="31"/>
    <s v="Beauty"/>
    <n v="19740"/>
    <m/>
    <x v="7"/>
  </r>
  <r>
    <s v="T00033"/>
    <s v="C0007"/>
    <x v="32"/>
    <s v="Clothing"/>
    <n v="5070"/>
    <m/>
    <x v="10"/>
  </r>
  <r>
    <s v="T00034"/>
    <s v="C0007"/>
    <x v="33"/>
    <s v="Beauty"/>
    <n v="4170"/>
    <m/>
    <x v="5"/>
  </r>
  <r>
    <s v="T00035"/>
    <s v="C0008"/>
    <x v="34"/>
    <s v="Grocery"/>
    <n v="570"/>
    <m/>
    <x v="1"/>
  </r>
  <r>
    <s v="T00036"/>
    <s v="C0009"/>
    <x v="35"/>
    <s v="Grocery"/>
    <n v="6730"/>
    <m/>
    <x v="1"/>
  </r>
  <r>
    <s v="T00037"/>
    <s v="C0010"/>
    <x v="36"/>
    <s v="Sports"/>
    <n v="6040"/>
    <m/>
    <x v="1"/>
  </r>
  <r>
    <s v="T00038"/>
    <s v="C0010"/>
    <x v="37"/>
    <s v="Clothing"/>
    <n v="4810"/>
    <m/>
    <x v="5"/>
  </r>
  <r>
    <s v="T00039"/>
    <s v="C0010"/>
    <x v="38"/>
    <s v="Sports"/>
    <n v="3220"/>
    <m/>
    <x v="10"/>
  </r>
  <r>
    <s v="T00040"/>
    <s v="C0010"/>
    <x v="39"/>
    <s v="Beauty"/>
    <n v="5210"/>
    <m/>
    <x v="10"/>
  </r>
  <r>
    <s v="T00041"/>
    <s v="C0010"/>
    <x v="40"/>
    <s v="Electronics"/>
    <n v="2480"/>
    <m/>
    <x v="6"/>
  </r>
  <r>
    <s v="T00042"/>
    <s v="C0010"/>
    <x v="41"/>
    <s v="Electronics"/>
    <n v="890"/>
    <m/>
    <x v="11"/>
  </r>
  <r>
    <s v="T00043"/>
    <s v="C0010"/>
    <x v="20"/>
    <s v="Clothing"/>
    <n v="2640"/>
    <m/>
    <x v="5"/>
  </r>
  <r>
    <s v="T00044"/>
    <s v="C0010"/>
    <x v="42"/>
    <s v="Beauty"/>
    <n v="8700"/>
    <m/>
    <x v="4"/>
  </r>
  <r>
    <s v="T00045"/>
    <s v="C0010"/>
    <x v="43"/>
    <s v="Clothing"/>
    <n v="3650"/>
    <m/>
    <x v="1"/>
  </r>
  <r>
    <s v="T00046"/>
    <s v="C0010"/>
    <x v="44"/>
    <s v="Home Decor"/>
    <n v="2850"/>
    <m/>
    <x v="10"/>
  </r>
  <r>
    <s v="T00047"/>
    <s v="C0010"/>
    <x v="45"/>
    <s v="Home Decor"/>
    <n v="2920"/>
    <m/>
    <x v="2"/>
  </r>
  <r>
    <s v="T00048"/>
    <s v="C0010"/>
    <x v="46"/>
    <s v="Clothing"/>
    <n v="3000"/>
    <m/>
    <x v="6"/>
  </r>
  <r>
    <s v="T00049"/>
    <s v="C0010"/>
    <x v="13"/>
    <s v="Sports"/>
    <n v="2530"/>
    <m/>
    <x v="8"/>
  </r>
  <r>
    <s v="T00050"/>
    <s v="C0010"/>
    <x v="0"/>
    <s v="Electronics"/>
    <n v="2290"/>
    <m/>
    <x v="0"/>
  </r>
  <r>
    <s v="T00051"/>
    <s v="C0011"/>
    <x v="47"/>
    <s v="Beauty"/>
    <n v="3660"/>
    <m/>
    <x v="3"/>
  </r>
  <r>
    <s v="T00052"/>
    <s v="C0012"/>
    <x v="48"/>
    <s v="Grocery"/>
    <n v="2950"/>
    <m/>
    <x v="11"/>
  </r>
  <r>
    <s v="T00053"/>
    <s v="C0012"/>
    <x v="49"/>
    <s v="Beauty"/>
    <n v="2340"/>
    <m/>
    <x v="8"/>
  </r>
  <r>
    <s v="T00054"/>
    <s v="C0013"/>
    <x v="50"/>
    <s v="Sports"/>
    <n v="5400"/>
    <m/>
    <x v="5"/>
  </r>
  <r>
    <s v="T00055"/>
    <s v="C0013"/>
    <x v="33"/>
    <s v="Grocery"/>
    <n v="14370"/>
    <m/>
    <x v="5"/>
  </r>
  <r>
    <s v="T00056"/>
    <s v="C0013"/>
    <x v="51"/>
    <s v="Home Decor"/>
    <n v="3830"/>
    <m/>
    <x v="7"/>
  </r>
  <r>
    <s v="T00057"/>
    <s v="C0013"/>
    <x v="31"/>
    <s v="Grocery"/>
    <n v="13790"/>
    <m/>
    <x v="7"/>
  </r>
  <r>
    <s v="T00058"/>
    <s v="C0013"/>
    <x v="52"/>
    <s v="Home Decor"/>
    <n v="2220"/>
    <m/>
    <x v="9"/>
  </r>
  <r>
    <s v="T00059"/>
    <s v="C0013"/>
    <x v="53"/>
    <s v="Grocery"/>
    <n v="4980"/>
    <m/>
    <x v="11"/>
  </r>
  <r>
    <s v="T00060"/>
    <s v="C0013"/>
    <x v="54"/>
    <s v="Sports"/>
    <n v="7490"/>
    <m/>
    <x v="0"/>
  </r>
  <r>
    <s v="T00061"/>
    <s v="C0013"/>
    <x v="0"/>
    <s v="Electronics"/>
    <n v="3750"/>
    <m/>
    <x v="0"/>
  </r>
  <r>
    <s v="T00062"/>
    <s v="C0013"/>
    <x v="55"/>
    <s v="Sports"/>
    <n v="3040"/>
    <m/>
    <x v="3"/>
  </r>
  <r>
    <s v="T00063"/>
    <s v="C0013"/>
    <x v="56"/>
    <s v="Home Decor"/>
    <n v="3290"/>
    <m/>
    <x v="7"/>
  </r>
  <r>
    <s v="T00064"/>
    <s v="C0013"/>
    <x v="57"/>
    <s v="Sports"/>
    <n v="10060"/>
    <m/>
    <x v="2"/>
  </r>
  <r>
    <s v="T00065"/>
    <s v="C0013"/>
    <x v="8"/>
    <s v="Sports"/>
    <n v="7910"/>
    <m/>
    <x v="6"/>
  </r>
  <r>
    <s v="T00066"/>
    <s v="C0013"/>
    <x v="19"/>
    <s v="Clothing"/>
    <n v="6440"/>
    <m/>
    <x v="2"/>
  </r>
  <r>
    <s v="T00067"/>
    <s v="C0013"/>
    <x v="58"/>
    <s v="Grocery"/>
    <n v="6900"/>
    <m/>
    <x v="0"/>
  </r>
  <r>
    <s v="T00068"/>
    <s v="C0014"/>
    <x v="59"/>
    <s v="Grocery"/>
    <n v="17170"/>
    <m/>
    <x v="1"/>
  </r>
  <r>
    <s v="T00069"/>
    <s v="C0015"/>
    <x v="60"/>
    <s v="Electronics"/>
    <n v="4430"/>
    <m/>
    <x v="3"/>
  </r>
  <r>
    <s v="T00070"/>
    <s v="C0016"/>
    <x v="61"/>
    <s v="Sports"/>
    <n v="2170"/>
    <m/>
    <x v="9"/>
  </r>
  <r>
    <s v="T00071"/>
    <s v="C0017"/>
    <x v="38"/>
    <s v="Home Decor"/>
    <n v="4660"/>
    <m/>
    <x v="10"/>
  </r>
  <r>
    <s v="T00072"/>
    <s v="C0017"/>
    <x v="62"/>
    <s v="Beauty"/>
    <n v="3950"/>
    <m/>
    <x v="6"/>
  </r>
  <r>
    <s v="T00073"/>
    <s v="C0017"/>
    <x v="63"/>
    <s v="Home Decor"/>
    <n v="2580"/>
    <m/>
    <x v="2"/>
  </r>
  <r>
    <s v="T00074"/>
    <s v="C0017"/>
    <x v="45"/>
    <s v="Sports"/>
    <n v="1560"/>
    <m/>
    <x v="2"/>
  </r>
  <r>
    <s v="T00075"/>
    <s v="C0017"/>
    <x v="64"/>
    <s v="Electronics"/>
    <n v="7080"/>
    <m/>
    <x v="2"/>
  </r>
  <r>
    <s v="T00076"/>
    <s v="C0017"/>
    <x v="65"/>
    <s v="Home Decor"/>
    <n v="6500"/>
    <m/>
    <x v="3"/>
  </r>
  <r>
    <s v="T00077"/>
    <s v="C0017"/>
    <x v="66"/>
    <s v="Electronics"/>
    <n v="7330"/>
    <m/>
    <x v="11"/>
  </r>
  <r>
    <s v="T00078"/>
    <s v="C0017"/>
    <x v="67"/>
    <s v="Sports"/>
    <n v="3380"/>
    <m/>
    <x v="8"/>
  </r>
  <r>
    <s v="T00079"/>
    <s v="C0017"/>
    <x v="68"/>
    <s v="Electronics"/>
    <n v="3550"/>
    <m/>
    <x v="11"/>
  </r>
  <r>
    <s v="T00080"/>
    <s v="C0017"/>
    <x v="69"/>
    <s v="Grocery"/>
    <n v="3260"/>
    <m/>
    <x v="7"/>
  </r>
  <r>
    <s v="T00081"/>
    <s v="C0017"/>
    <x v="70"/>
    <s v="Home Decor"/>
    <n v="6960"/>
    <m/>
    <x v="4"/>
  </r>
  <r>
    <s v="T00082"/>
    <s v="C0017"/>
    <x v="55"/>
    <s v="Clothing"/>
    <n v="6650"/>
    <m/>
    <x v="3"/>
  </r>
  <r>
    <s v="T00083"/>
    <s v="C0018"/>
    <x v="71"/>
    <s v="Clothing"/>
    <n v="1420"/>
    <m/>
    <x v="1"/>
  </r>
  <r>
    <s v="T00084"/>
    <s v="C0018"/>
    <x v="19"/>
    <s v="Sports"/>
    <n v="8540"/>
    <m/>
    <x v="2"/>
  </r>
  <r>
    <s v="T00085"/>
    <s v="C0018"/>
    <x v="72"/>
    <s v="Grocery"/>
    <n v="7840"/>
    <m/>
    <x v="10"/>
  </r>
  <r>
    <s v="T00086"/>
    <s v="C0018"/>
    <x v="73"/>
    <s v="Sports"/>
    <n v="1730"/>
    <m/>
    <x v="7"/>
  </r>
  <r>
    <s v="T00087"/>
    <s v="C0018"/>
    <x v="74"/>
    <s v="Clothing"/>
    <n v="2480"/>
    <m/>
    <x v="0"/>
  </r>
  <r>
    <s v="T00088"/>
    <s v="C0019"/>
    <x v="75"/>
    <s v="Electronics"/>
    <n v="8440"/>
    <m/>
    <x v="2"/>
  </r>
  <r>
    <s v="T00089"/>
    <s v="C0019"/>
    <x v="76"/>
    <s v="Beauty"/>
    <n v="3200"/>
    <m/>
    <x v="2"/>
  </r>
  <r>
    <s v="T00090"/>
    <s v="C0019"/>
    <x v="38"/>
    <s v="Sports"/>
    <n v="25000"/>
    <m/>
    <x v="10"/>
  </r>
  <r>
    <s v="T00091"/>
    <s v="C0019"/>
    <x v="77"/>
    <s v="Electronics"/>
    <n v="2280"/>
    <m/>
    <x v="9"/>
  </r>
  <r>
    <s v="T00092"/>
    <s v="C0019"/>
    <x v="31"/>
    <s v="Grocery"/>
    <n v="1950"/>
    <m/>
    <x v="7"/>
  </r>
  <r>
    <s v="T00093"/>
    <s v="C0019"/>
    <x v="78"/>
    <s v="Clothing"/>
    <n v="18310"/>
    <m/>
    <x v="5"/>
  </r>
  <r>
    <s v="T00094"/>
    <s v="C0019"/>
    <x v="79"/>
    <s v="Home Decor"/>
    <n v="4080"/>
    <m/>
    <x v="10"/>
  </r>
  <r>
    <s v="T00095"/>
    <s v="C0019"/>
    <x v="80"/>
    <s v="Clothing"/>
    <n v="1280"/>
    <m/>
    <x v="9"/>
  </r>
  <r>
    <s v="T00096"/>
    <s v="C0019"/>
    <x v="81"/>
    <s v="Clothing"/>
    <n v="2110"/>
    <m/>
    <x v="11"/>
  </r>
  <r>
    <s v="T00097"/>
    <s v="C0019"/>
    <x v="82"/>
    <s v="Clothing"/>
    <n v="21880"/>
    <m/>
    <x v="1"/>
  </r>
  <r>
    <s v="T00098"/>
    <s v="C0019"/>
    <x v="83"/>
    <s v="Home Decor"/>
    <n v="4630"/>
    <m/>
    <x v="6"/>
  </r>
  <r>
    <s v="T00099"/>
    <s v="C0019"/>
    <x v="84"/>
    <s v="Electronics"/>
    <n v="5050"/>
    <m/>
    <x v="5"/>
  </r>
  <r>
    <s v="T00100"/>
    <s v="C0019"/>
    <x v="85"/>
    <s v="Clothing"/>
    <n v="3110"/>
    <m/>
    <x v="0"/>
  </r>
  <r>
    <s v="T00101"/>
    <s v="C0020"/>
    <x v="86"/>
    <s v="Clothing"/>
    <n v="8410"/>
    <m/>
    <x v="11"/>
  </r>
  <r>
    <s v="T00102"/>
    <s v="C0020"/>
    <x v="87"/>
    <s v="Sports"/>
    <n v="4790"/>
    <m/>
    <x v="0"/>
  </r>
  <r>
    <s v="T00103"/>
    <s v="C0021"/>
    <x v="88"/>
    <s v="Electronics"/>
    <n v="5320"/>
    <m/>
    <x v="8"/>
  </r>
  <r>
    <s v="T00104"/>
    <s v="C0021"/>
    <x v="89"/>
    <s v="Home Decor"/>
    <n v="1750"/>
    <m/>
    <x v="8"/>
  </r>
  <r>
    <s v="T00105"/>
    <s v="C0021"/>
    <x v="90"/>
    <s v="Sports"/>
    <n v="5630"/>
    <m/>
    <x v="9"/>
  </r>
  <r>
    <s v="T00106"/>
    <s v="C0021"/>
    <x v="91"/>
    <s v="Grocery"/>
    <n v="4150"/>
    <m/>
    <x v="4"/>
  </r>
  <r>
    <s v="T00107"/>
    <s v="C0021"/>
    <x v="92"/>
    <s v="Electronics"/>
    <n v="610"/>
    <m/>
    <x v="0"/>
  </r>
  <r>
    <s v="T00108"/>
    <s v="C0022"/>
    <x v="93"/>
    <s v="Sports"/>
    <n v="7700"/>
    <m/>
    <x v="4"/>
  </r>
  <r>
    <s v="T00109"/>
    <s v="C0022"/>
    <x v="94"/>
    <s v="Home Decor"/>
    <n v="6040"/>
    <m/>
    <x v="8"/>
  </r>
  <r>
    <s v="T00110"/>
    <s v="C0022"/>
    <x v="95"/>
    <s v="Electronics"/>
    <n v="5210"/>
    <m/>
    <x v="6"/>
  </r>
  <r>
    <s v="T00111"/>
    <s v="C0022"/>
    <x v="96"/>
    <s v="Home Decor"/>
    <n v="3770"/>
    <m/>
    <x v="6"/>
  </r>
  <r>
    <s v="T00112"/>
    <s v="C0022"/>
    <x v="97"/>
    <s v="Sports"/>
    <n v="13780"/>
    <m/>
    <x v="1"/>
  </r>
  <r>
    <s v="T00113"/>
    <s v="C0023"/>
    <x v="98"/>
    <s v="Beauty"/>
    <n v="3450"/>
    <m/>
    <x v="0"/>
  </r>
  <r>
    <s v="T00114"/>
    <s v="C0024"/>
    <x v="99"/>
    <s v="Sports"/>
    <n v="11200"/>
    <m/>
    <x v="0"/>
  </r>
  <r>
    <s v="T00115"/>
    <s v="C0025"/>
    <x v="94"/>
    <s v="Beauty"/>
    <n v="4960"/>
    <m/>
    <x v="8"/>
  </r>
  <r>
    <s v="T00116"/>
    <s v="C0025"/>
    <x v="100"/>
    <s v="Beauty"/>
    <n v="9260"/>
    <m/>
    <x v="9"/>
  </r>
  <r>
    <s v="T00117"/>
    <s v="C0025"/>
    <x v="57"/>
    <s v="Sports"/>
    <n v="9040"/>
    <m/>
    <x v="2"/>
  </r>
  <r>
    <s v="T00118"/>
    <s v="C0025"/>
    <x v="101"/>
    <s v="Grocery"/>
    <n v="7230"/>
    <m/>
    <x v="6"/>
  </r>
  <r>
    <s v="T00119"/>
    <s v="C0025"/>
    <x v="102"/>
    <s v="Electronics"/>
    <n v="3170"/>
    <m/>
    <x v="10"/>
  </r>
  <r>
    <s v="T00120"/>
    <s v="C0025"/>
    <x v="89"/>
    <s v="Electronics"/>
    <n v="1950"/>
    <m/>
    <x v="8"/>
  </r>
  <r>
    <s v="T00121"/>
    <s v="C0026"/>
    <x v="64"/>
    <s v="Home Decor"/>
    <n v="6620"/>
    <m/>
    <x v="2"/>
  </r>
  <r>
    <s v="T00122"/>
    <s v="C0027"/>
    <x v="103"/>
    <s v="Sports"/>
    <n v="1750"/>
    <m/>
    <x v="11"/>
  </r>
  <r>
    <s v="T00123"/>
    <s v="C0027"/>
    <x v="104"/>
    <s v="Grocery"/>
    <n v="10680"/>
    <m/>
    <x v="8"/>
  </r>
  <r>
    <s v="T00124"/>
    <s v="C0027"/>
    <x v="105"/>
    <s v="Grocery"/>
    <n v="1750"/>
    <m/>
    <x v="3"/>
  </r>
  <r>
    <s v="T00125"/>
    <s v="C0027"/>
    <x v="53"/>
    <s v="Clothing"/>
    <n v="9600"/>
    <m/>
    <x v="11"/>
  </r>
  <r>
    <s v="T00126"/>
    <s v="C0027"/>
    <x v="106"/>
    <s v="Clothing"/>
    <n v="8010"/>
    <m/>
    <x v="4"/>
  </r>
  <r>
    <s v="T00127"/>
    <s v="C0027"/>
    <x v="107"/>
    <s v="Home Decor"/>
    <n v="6890"/>
    <m/>
    <x v="3"/>
  </r>
  <r>
    <s v="T00128"/>
    <s v="C0028"/>
    <x v="108"/>
    <s v="Home Decor"/>
    <n v="2450"/>
    <m/>
    <x v="1"/>
  </r>
  <r>
    <s v="T00129"/>
    <s v="C0028"/>
    <x v="109"/>
    <s v="Home Decor"/>
    <n v="2830"/>
    <m/>
    <x v="3"/>
  </r>
  <r>
    <s v="T00130"/>
    <s v="C0028"/>
    <x v="7"/>
    <s v="Electronics"/>
    <n v="1810"/>
    <m/>
    <x v="5"/>
  </r>
  <r>
    <s v="T00131"/>
    <s v="C0028"/>
    <x v="110"/>
    <s v="Grocery"/>
    <n v="3690"/>
    <m/>
    <x v="9"/>
  </r>
  <r>
    <s v="T00132"/>
    <s v="C0028"/>
    <x v="111"/>
    <s v="Electronics"/>
    <n v="17220"/>
    <m/>
    <x v="11"/>
  </r>
  <r>
    <s v="T00133"/>
    <s v="C0028"/>
    <x v="112"/>
    <s v="Clothing"/>
    <n v="2150"/>
    <m/>
    <x v="9"/>
  </r>
  <r>
    <s v="T00134"/>
    <s v="C0028"/>
    <x v="113"/>
    <s v="Electronics"/>
    <n v="3240"/>
    <m/>
    <x v="3"/>
  </r>
  <r>
    <s v="T00135"/>
    <s v="C0028"/>
    <x v="38"/>
    <s v="Beauty"/>
    <n v="4440"/>
    <m/>
    <x v="10"/>
  </r>
  <r>
    <s v="T00136"/>
    <s v="C0028"/>
    <x v="114"/>
    <s v="Grocery"/>
    <n v="2580"/>
    <m/>
    <x v="8"/>
  </r>
  <r>
    <s v="T00137"/>
    <s v="C0028"/>
    <x v="115"/>
    <s v="Home Decor"/>
    <n v="1870"/>
    <m/>
    <x v="6"/>
  </r>
  <r>
    <s v="T00138"/>
    <s v="C0028"/>
    <x v="82"/>
    <s v="Electronics"/>
    <n v="11430"/>
    <m/>
    <x v="1"/>
  </r>
  <r>
    <s v="T00139"/>
    <s v="C0028"/>
    <x v="116"/>
    <s v="Home Decor"/>
    <n v="6360"/>
    <m/>
    <x v="3"/>
  </r>
  <r>
    <s v="T00140"/>
    <s v="C0029"/>
    <x v="49"/>
    <s v="Beauty"/>
    <n v="3300"/>
    <m/>
    <x v="8"/>
  </r>
  <r>
    <s v="T00141"/>
    <s v="C0030"/>
    <x v="117"/>
    <s v="Sports"/>
    <n v="3620"/>
    <m/>
    <x v="10"/>
  </r>
  <r>
    <s v="T00142"/>
    <s v="C0030"/>
    <x v="118"/>
    <s v="Home Decor"/>
    <n v="6200"/>
    <m/>
    <x v="4"/>
  </r>
  <r>
    <s v="T00143"/>
    <s v="C0030"/>
    <x v="119"/>
    <s v="Home Decor"/>
    <n v="9720"/>
    <m/>
    <x v="11"/>
  </r>
  <r>
    <s v="T00144"/>
    <s v="C0030"/>
    <x v="120"/>
    <s v="Electronics"/>
    <n v="5640"/>
    <m/>
    <x v="7"/>
  </r>
  <r>
    <s v="T00145"/>
    <s v="C0030"/>
    <x v="121"/>
    <s v="Clothing"/>
    <n v="3780"/>
    <m/>
    <x v="9"/>
  </r>
  <r>
    <s v="T00146"/>
    <s v="C0030"/>
    <x v="122"/>
    <s v="Grocery"/>
    <n v="7590"/>
    <m/>
    <x v="4"/>
  </r>
  <r>
    <s v="T00147"/>
    <s v="C0031"/>
    <x v="123"/>
    <s v="Beauty"/>
    <n v="4460"/>
    <m/>
    <x v="4"/>
  </r>
  <r>
    <s v="T00148"/>
    <s v="C0032"/>
    <x v="103"/>
    <s v="Electronics"/>
    <n v="2740"/>
    <m/>
    <x v="11"/>
  </r>
  <r>
    <s v="T00149"/>
    <s v="C0032"/>
    <x v="76"/>
    <s v="Electronics"/>
    <n v="5240"/>
    <m/>
    <x v="2"/>
  </r>
  <r>
    <s v="T00150"/>
    <s v="C0032"/>
    <x v="124"/>
    <s v="Beauty"/>
    <n v="3760"/>
    <m/>
    <x v="0"/>
  </r>
  <r>
    <s v="T00151"/>
    <s v="C0033"/>
    <x v="58"/>
    <s v="Sports"/>
    <n v="2160"/>
    <m/>
    <x v="0"/>
  </r>
  <r>
    <s v="T00152"/>
    <s v="C0034"/>
    <x v="125"/>
    <s v="Home Decor"/>
    <n v="6390"/>
    <m/>
    <x v="6"/>
  </r>
  <r>
    <s v="T00153"/>
    <s v="C0034"/>
    <x v="126"/>
    <s v="Electronics"/>
    <n v="10910"/>
    <m/>
    <x v="8"/>
  </r>
  <r>
    <s v="T00154"/>
    <s v="C0034"/>
    <x v="127"/>
    <s v="Electronics"/>
    <n v="940"/>
    <m/>
    <x v="8"/>
  </r>
  <r>
    <s v="T00155"/>
    <s v="C0034"/>
    <x v="78"/>
    <s v="Electronics"/>
    <n v="2140"/>
    <m/>
    <x v="5"/>
  </r>
  <r>
    <s v="T00156"/>
    <s v="C0034"/>
    <x v="128"/>
    <s v="Beauty"/>
    <n v="6190"/>
    <m/>
    <x v="3"/>
  </r>
  <r>
    <s v="T00157"/>
    <s v="C0035"/>
    <x v="30"/>
    <s v="Home Decor"/>
    <n v="3040"/>
    <m/>
    <x v="7"/>
  </r>
  <r>
    <s v="T00158"/>
    <s v="C0035"/>
    <x v="129"/>
    <s v="Grocery"/>
    <n v="4380"/>
    <m/>
    <x v="7"/>
  </r>
  <r>
    <s v="T00159"/>
    <s v="C0035"/>
    <x v="130"/>
    <s v="Clothing"/>
    <n v="3650"/>
    <m/>
    <x v="10"/>
  </r>
  <r>
    <s v="T00160"/>
    <s v="C0035"/>
    <x v="131"/>
    <s v="Clothing"/>
    <n v="1040"/>
    <m/>
    <x v="6"/>
  </r>
  <r>
    <s v="T00161"/>
    <s v="C0036"/>
    <x v="132"/>
    <s v="Sports"/>
    <n v="1530"/>
    <m/>
    <x v="6"/>
  </r>
  <r>
    <s v="T00162"/>
    <s v="C0037"/>
    <x v="59"/>
    <s v="Beauty"/>
    <n v="2000"/>
    <m/>
    <x v="1"/>
  </r>
  <r>
    <s v="T00163"/>
    <s v="C0037"/>
    <x v="43"/>
    <s v="Grocery"/>
    <n v="1040"/>
    <m/>
    <x v="1"/>
  </r>
  <r>
    <s v="T00164"/>
    <s v="C0037"/>
    <x v="55"/>
    <s v="Grocery"/>
    <n v="720"/>
    <m/>
    <x v="3"/>
  </r>
  <r>
    <s v="T00165"/>
    <s v="C0037"/>
    <x v="133"/>
    <s v="Sports"/>
    <n v="1950"/>
    <m/>
    <x v="6"/>
  </r>
  <r>
    <s v="T00166"/>
    <s v="C0037"/>
    <x v="134"/>
    <s v="Grocery"/>
    <n v="6280"/>
    <m/>
    <x v="11"/>
  </r>
  <r>
    <s v="T00167"/>
    <s v="C0037"/>
    <x v="135"/>
    <s v="Grocery"/>
    <n v="10990"/>
    <m/>
    <x v="1"/>
  </r>
  <r>
    <s v="T00168"/>
    <s v="C0037"/>
    <x v="13"/>
    <s v="Beauty"/>
    <n v="6250"/>
    <m/>
    <x v="8"/>
  </r>
  <r>
    <s v="T00169"/>
    <s v="C0037"/>
    <x v="69"/>
    <s v="Electronics"/>
    <n v="18520"/>
    <m/>
    <x v="7"/>
  </r>
  <r>
    <s v="T00170"/>
    <s v="C0037"/>
    <x v="136"/>
    <s v="Electronics"/>
    <n v="7630"/>
    <m/>
    <x v="3"/>
  </r>
  <r>
    <s v="T00171"/>
    <s v="C0037"/>
    <x v="109"/>
    <s v="Home Decor"/>
    <n v="2340"/>
    <m/>
    <x v="3"/>
  </r>
  <r>
    <s v="T00172"/>
    <s v="C0037"/>
    <x v="137"/>
    <s v="Sports"/>
    <n v="2900"/>
    <m/>
    <x v="1"/>
  </r>
  <r>
    <s v="T00173"/>
    <s v="C0037"/>
    <x v="138"/>
    <s v="Sports"/>
    <n v="1130"/>
    <m/>
    <x v="7"/>
  </r>
  <r>
    <s v="T00174"/>
    <s v="C0037"/>
    <x v="23"/>
    <s v="Grocery"/>
    <n v="7080"/>
    <m/>
    <x v="9"/>
  </r>
  <r>
    <s v="T00175"/>
    <s v="C0037"/>
    <x v="139"/>
    <s v="Electronics"/>
    <n v="2860"/>
    <m/>
    <x v="3"/>
  </r>
  <r>
    <s v="T00176"/>
    <s v="C0037"/>
    <x v="54"/>
    <s v="Beauty"/>
    <n v="4830"/>
    <m/>
    <x v="0"/>
  </r>
  <r>
    <s v="T00177"/>
    <s v="C0038"/>
    <x v="140"/>
    <s v="Sports"/>
    <n v="3920"/>
    <m/>
    <x v="4"/>
  </r>
  <r>
    <s v="T00178"/>
    <s v="C0038"/>
    <x v="141"/>
    <s v="Beauty"/>
    <n v="3760"/>
    <m/>
    <x v="8"/>
  </r>
  <r>
    <s v="T00179"/>
    <s v="C0038"/>
    <x v="142"/>
    <s v="Grocery"/>
    <n v="2820"/>
    <m/>
    <x v="4"/>
  </r>
  <r>
    <s v="T00180"/>
    <s v="C0038"/>
    <x v="143"/>
    <s v="Beauty"/>
    <n v="4210"/>
    <m/>
    <x v="5"/>
  </r>
  <r>
    <s v="T00181"/>
    <s v="C0038"/>
    <x v="144"/>
    <s v="Electronics"/>
    <n v="5410"/>
    <m/>
    <x v="2"/>
  </r>
  <r>
    <s v="T00182"/>
    <s v="C0038"/>
    <x v="145"/>
    <s v="Electronics"/>
    <n v="1370"/>
    <m/>
    <x v="11"/>
  </r>
  <r>
    <s v="T00183"/>
    <s v="C0038"/>
    <x v="35"/>
    <s v="Beauty"/>
    <n v="2750"/>
    <m/>
    <x v="1"/>
  </r>
  <r>
    <s v="T00184"/>
    <s v="C0039"/>
    <x v="146"/>
    <s v="Grocery"/>
    <n v="11030"/>
    <m/>
    <x v="6"/>
  </r>
  <r>
    <s v="T00185"/>
    <s v="C0039"/>
    <x v="147"/>
    <s v="Grocery"/>
    <n v="3070"/>
    <m/>
    <x v="10"/>
  </r>
  <r>
    <s v="T00186"/>
    <s v="C0039"/>
    <x v="148"/>
    <s v="Sports"/>
    <n v="3610"/>
    <m/>
    <x v="11"/>
  </r>
  <r>
    <s v="T00187"/>
    <s v="C0039"/>
    <x v="149"/>
    <s v="Home Decor"/>
    <n v="3490"/>
    <m/>
    <x v="0"/>
  </r>
  <r>
    <s v="T00188"/>
    <s v="C0040"/>
    <x v="81"/>
    <s v="Clothing"/>
    <n v="2110"/>
    <m/>
    <x v="11"/>
  </r>
  <r>
    <s v="T00189"/>
    <s v="C0040"/>
    <x v="150"/>
    <s v="Home Decor"/>
    <n v="12140"/>
    <m/>
    <x v="4"/>
  </r>
  <r>
    <s v="T00190"/>
    <s v="C0040"/>
    <x v="151"/>
    <s v="Grocery"/>
    <n v="8710"/>
    <m/>
    <x v="3"/>
  </r>
  <r>
    <s v="T00191"/>
    <s v="C0041"/>
    <x v="135"/>
    <s v="Clothing"/>
    <n v="2140"/>
    <m/>
    <x v="1"/>
  </r>
  <r>
    <s v="T00192"/>
    <s v="C0042"/>
    <x v="50"/>
    <s v="Electronics"/>
    <n v="14120"/>
    <m/>
    <x v="5"/>
  </r>
  <r>
    <s v="T00193"/>
    <s v="C0043"/>
    <x v="98"/>
    <s v="Home Decor"/>
    <n v="9100"/>
    <m/>
    <x v="0"/>
  </r>
  <r>
    <s v="T00194"/>
    <s v="C0044"/>
    <x v="132"/>
    <s v="Home Decor"/>
    <n v="5340"/>
    <m/>
    <x v="6"/>
  </r>
  <r>
    <s v="T00195"/>
    <s v="C0044"/>
    <x v="138"/>
    <s v="Grocery"/>
    <n v="4310"/>
    <m/>
    <x v="7"/>
  </r>
  <r>
    <s v="T00196"/>
    <s v="C0044"/>
    <x v="110"/>
    <s v="Sports"/>
    <n v="3560"/>
    <m/>
    <x v="9"/>
  </r>
  <r>
    <s v="T00197"/>
    <s v="C0045"/>
    <x v="152"/>
    <s v="Beauty"/>
    <n v="2300"/>
    <m/>
    <x v="9"/>
  </r>
  <r>
    <s v="T00198"/>
    <s v="C0045"/>
    <x v="153"/>
    <s v="Grocery"/>
    <n v="3890"/>
    <m/>
    <x v="9"/>
  </r>
  <r>
    <s v="T00199"/>
    <s v="C0045"/>
    <x v="154"/>
    <s v="Grocery"/>
    <n v="10920"/>
    <m/>
    <x v="1"/>
  </r>
  <r>
    <s v="T00200"/>
    <s v="C0045"/>
    <x v="45"/>
    <s v="Home Decor"/>
    <n v="4130"/>
    <m/>
    <x v="2"/>
  </r>
  <r>
    <s v="T00201"/>
    <s v="C0045"/>
    <x v="155"/>
    <s v="Clothing"/>
    <n v="2970"/>
    <m/>
    <x v="4"/>
  </r>
  <r>
    <s v="T00202"/>
    <s v="C0045"/>
    <x v="139"/>
    <s v="Clothing"/>
    <n v="5680"/>
    <m/>
    <x v="3"/>
  </r>
  <r>
    <s v="T00203"/>
    <s v="C0045"/>
    <x v="84"/>
    <s v="Grocery"/>
    <n v="10710"/>
    <m/>
    <x v="5"/>
  </r>
  <r>
    <s v="T00204"/>
    <s v="C0045"/>
    <x v="137"/>
    <s v="Electronics"/>
    <n v="6040"/>
    <m/>
    <x v="1"/>
  </r>
  <r>
    <s v="T00205"/>
    <s v="C0045"/>
    <x v="156"/>
    <s v="Electronics"/>
    <n v="3570"/>
    <m/>
    <x v="3"/>
  </r>
  <r>
    <s v="T00206"/>
    <s v="C0046"/>
    <x v="95"/>
    <s v="Beauty"/>
    <n v="1770"/>
    <m/>
    <x v="6"/>
  </r>
  <r>
    <s v="T00207"/>
    <s v="C0046"/>
    <x v="38"/>
    <s v="Beauty"/>
    <n v="7680"/>
    <m/>
    <x v="10"/>
  </r>
  <r>
    <s v="T00208"/>
    <s v="C0046"/>
    <x v="157"/>
    <s v="Electronics"/>
    <n v="3730"/>
    <m/>
    <x v="11"/>
  </r>
  <r>
    <s v="T00209"/>
    <s v="C0046"/>
    <x v="19"/>
    <s v="Clothing"/>
    <n v="10980"/>
    <m/>
    <x v="2"/>
  </r>
  <r>
    <s v="T00210"/>
    <s v="C0046"/>
    <x v="158"/>
    <s v="Electronics"/>
    <n v="6140"/>
    <m/>
    <x v="2"/>
  </r>
  <r>
    <s v="T00211"/>
    <s v="C0046"/>
    <x v="159"/>
    <s v="Electronics"/>
    <n v="5030"/>
    <m/>
    <x v="2"/>
  </r>
  <r>
    <s v="T00212"/>
    <s v="C0046"/>
    <x v="145"/>
    <s v="Clothing"/>
    <n v="8990"/>
    <m/>
    <x v="11"/>
  </r>
  <r>
    <s v="T00213"/>
    <s v="C0046"/>
    <x v="160"/>
    <s v="Beauty"/>
    <n v="25000"/>
    <m/>
    <x v="6"/>
  </r>
  <r>
    <s v="T00214"/>
    <s v="C0046"/>
    <x v="161"/>
    <s v="Sports"/>
    <n v="6890"/>
    <m/>
    <x v="6"/>
  </r>
  <r>
    <s v="T00215"/>
    <s v="C0046"/>
    <x v="122"/>
    <s v="Electronics"/>
    <n v="1520"/>
    <m/>
    <x v="4"/>
  </r>
  <r>
    <s v="T00216"/>
    <s v="C0047"/>
    <x v="146"/>
    <s v="Home Decor"/>
    <n v="5570"/>
    <m/>
    <x v="6"/>
  </r>
  <r>
    <s v="T00217"/>
    <s v="C0048"/>
    <x v="27"/>
    <s v="Beauty"/>
    <n v="4160"/>
    <m/>
    <x v="9"/>
  </r>
  <r>
    <s v="T00218"/>
    <s v="C0048"/>
    <x v="162"/>
    <s v="Electronics"/>
    <n v="5710"/>
    <m/>
    <x v="8"/>
  </r>
  <r>
    <s v="T00219"/>
    <s v="C0048"/>
    <x v="163"/>
    <s v="Home Decor"/>
    <n v="7330"/>
    <m/>
    <x v="10"/>
  </r>
  <r>
    <s v="T00220"/>
    <s v="C0048"/>
    <x v="164"/>
    <s v="Sports"/>
    <n v="2010"/>
    <m/>
    <x v="7"/>
  </r>
  <r>
    <s v="T00221"/>
    <s v="C0048"/>
    <x v="165"/>
    <s v="Grocery"/>
    <n v="1450"/>
    <m/>
    <x v="4"/>
  </r>
  <r>
    <s v="T00222"/>
    <s v="C0048"/>
    <x v="166"/>
    <s v="Electronics"/>
    <n v="2520"/>
    <m/>
    <x v="8"/>
  </r>
  <r>
    <s v="T00223"/>
    <s v="C0048"/>
    <x v="47"/>
    <s v="Beauty"/>
    <n v="2880"/>
    <m/>
    <x v="3"/>
  </r>
  <r>
    <s v="T00224"/>
    <s v="C0049"/>
    <x v="167"/>
    <s v="Home Decor"/>
    <n v="3040"/>
    <m/>
    <x v="7"/>
  </r>
  <r>
    <s v="T00225"/>
    <s v="C0049"/>
    <x v="15"/>
    <s v="Home Decor"/>
    <n v="500"/>
    <m/>
    <x v="5"/>
  </r>
  <r>
    <s v="T00226"/>
    <s v="C0049"/>
    <x v="168"/>
    <s v="Electronics"/>
    <n v="4030"/>
    <m/>
    <x v="2"/>
  </r>
  <r>
    <s v="T00227"/>
    <s v="C0050"/>
    <x v="169"/>
    <s v="Electronics"/>
    <n v="4490"/>
    <m/>
    <x v="9"/>
  </r>
  <r>
    <s v="T00228"/>
    <s v="C0050"/>
    <x v="132"/>
    <s v="Clothing"/>
    <n v="5200"/>
    <m/>
    <x v="6"/>
  </r>
  <r>
    <s v="T00229"/>
    <s v="C0050"/>
    <x v="170"/>
    <s v="Home Decor"/>
    <n v="3660"/>
    <m/>
    <x v="2"/>
  </r>
  <r>
    <s v="T00230"/>
    <s v="C0050"/>
    <x v="63"/>
    <s v="Grocery"/>
    <n v="3290"/>
    <m/>
    <x v="2"/>
  </r>
  <r>
    <s v="T00231"/>
    <s v="C0050"/>
    <x v="171"/>
    <s v="Grocery"/>
    <n v="7410"/>
    <m/>
    <x v="2"/>
  </r>
  <r>
    <s v="T00232"/>
    <s v="C0051"/>
    <x v="151"/>
    <s v="Clothing"/>
    <n v="7830"/>
    <m/>
    <x v="3"/>
  </r>
  <r>
    <s v="T00233"/>
    <s v="C0051"/>
    <x v="172"/>
    <s v="Beauty"/>
    <n v="16130"/>
    <m/>
    <x v="6"/>
  </r>
  <r>
    <s v="T00234"/>
    <s v="C0051"/>
    <x v="173"/>
    <s v="Grocery"/>
    <n v="7680"/>
    <m/>
    <x v="7"/>
  </r>
  <r>
    <s v="T00235"/>
    <s v="C0051"/>
    <x v="174"/>
    <s v="Electronics"/>
    <n v="7520"/>
    <m/>
    <x v="9"/>
  </r>
  <r>
    <s v="T00236"/>
    <s v="C0051"/>
    <x v="175"/>
    <s v="Grocery"/>
    <n v="5200"/>
    <m/>
    <x v="11"/>
  </r>
  <r>
    <s v="T00237"/>
    <s v="C0051"/>
    <x v="165"/>
    <s v="Beauty"/>
    <n v="1380"/>
    <m/>
    <x v="4"/>
  </r>
  <r>
    <s v="T00238"/>
    <s v="C0051"/>
    <x v="176"/>
    <s v="Electronics"/>
    <n v="10820"/>
    <m/>
    <x v="5"/>
  </r>
  <r>
    <s v="T00239"/>
    <s v="C0051"/>
    <x v="177"/>
    <s v="Electronics"/>
    <n v="5910"/>
    <m/>
    <x v="3"/>
  </r>
  <r>
    <s v="T00240"/>
    <s v="C0051"/>
    <x v="92"/>
    <s v="Grocery"/>
    <n v="9070"/>
    <m/>
    <x v="0"/>
  </r>
  <r>
    <s v="T00241"/>
    <s v="C0051"/>
    <x v="15"/>
    <s v="Beauty"/>
    <n v="7750"/>
    <m/>
    <x v="5"/>
  </r>
  <r>
    <s v="T00242"/>
    <s v="C0051"/>
    <x v="178"/>
    <s v="Beauty"/>
    <n v="7720"/>
    <m/>
    <x v="8"/>
  </r>
  <r>
    <s v="T00243"/>
    <s v="C0051"/>
    <x v="179"/>
    <s v="Beauty"/>
    <n v="11340"/>
    <m/>
    <x v="11"/>
  </r>
  <r>
    <s v="T00244"/>
    <s v="C0051"/>
    <x v="63"/>
    <s v="Home Decor"/>
    <n v="3860"/>
    <m/>
    <x v="2"/>
  </r>
  <r>
    <s v="T00245"/>
    <s v="C0051"/>
    <x v="7"/>
    <s v="Electronics"/>
    <n v="6760"/>
    <m/>
    <x v="5"/>
  </r>
  <r>
    <s v="T00246"/>
    <s v="C0051"/>
    <x v="180"/>
    <s v="Beauty"/>
    <n v="1320"/>
    <m/>
    <x v="0"/>
  </r>
  <r>
    <s v="T00247"/>
    <s v="C0052"/>
    <x v="24"/>
    <s v="Grocery"/>
    <n v="7960"/>
    <m/>
    <x v="6"/>
  </r>
  <r>
    <s v="T00248"/>
    <s v="C0052"/>
    <x v="14"/>
    <s v="Beauty"/>
    <n v="6910"/>
    <m/>
    <x v="6"/>
  </r>
  <r>
    <s v="T00249"/>
    <s v="C0052"/>
    <x v="181"/>
    <s v="Beauty"/>
    <n v="6940"/>
    <m/>
    <x v="9"/>
  </r>
  <r>
    <s v="T00250"/>
    <s v="C0052"/>
    <x v="182"/>
    <s v="Sports"/>
    <n v="9530"/>
    <m/>
    <x v="7"/>
  </r>
  <r>
    <s v="T00251"/>
    <s v="C0052"/>
    <x v="183"/>
    <s v="Sports"/>
    <n v="2370"/>
    <m/>
    <x v="6"/>
  </r>
  <r>
    <s v="T00252"/>
    <s v="C0052"/>
    <x v="20"/>
    <s v="Electronics"/>
    <n v="2560"/>
    <m/>
    <x v="5"/>
  </r>
  <r>
    <s v="T00253"/>
    <s v="C0053"/>
    <x v="184"/>
    <s v="Electronics"/>
    <n v="6590"/>
    <m/>
    <x v="0"/>
  </r>
  <r>
    <s v="T00254"/>
    <s v="C0054"/>
    <x v="177"/>
    <s v="Electronics"/>
    <n v="1430"/>
    <m/>
    <x v="3"/>
  </r>
  <r>
    <s v="T00255"/>
    <s v="C0055"/>
    <x v="73"/>
    <s v="Grocery"/>
    <n v="1740"/>
    <m/>
    <x v="7"/>
  </r>
  <r>
    <s v="T00256"/>
    <s v="C0055"/>
    <x v="64"/>
    <s v="Beauty"/>
    <n v="2150"/>
    <m/>
    <x v="2"/>
  </r>
  <r>
    <s v="T00257"/>
    <s v="C0055"/>
    <x v="102"/>
    <s v="Beauty"/>
    <n v="1870"/>
    <m/>
    <x v="10"/>
  </r>
  <r>
    <s v="T00258"/>
    <s v="C0055"/>
    <x v="185"/>
    <s v="Sports"/>
    <n v="2900"/>
    <m/>
    <x v="11"/>
  </r>
  <r>
    <s v="T00259"/>
    <s v="C0055"/>
    <x v="186"/>
    <s v="Sports"/>
    <n v="4500"/>
    <m/>
    <x v="5"/>
  </r>
  <r>
    <s v="T00260"/>
    <s v="C0055"/>
    <x v="169"/>
    <s v="Beauty"/>
    <n v="6660"/>
    <m/>
    <x v="9"/>
  </r>
  <r>
    <s v="T00261"/>
    <s v="C0055"/>
    <x v="18"/>
    <s v="Grocery"/>
    <n v="2060"/>
    <m/>
    <x v="4"/>
  </r>
  <r>
    <s v="T00262"/>
    <s v="C0055"/>
    <x v="187"/>
    <s v="Sports"/>
    <n v="8790"/>
    <m/>
    <x v="5"/>
  </r>
  <r>
    <s v="T00263"/>
    <s v="C0055"/>
    <x v="188"/>
    <s v="Sports"/>
    <n v="5740"/>
    <m/>
    <x v="8"/>
  </r>
  <r>
    <s v="T00264"/>
    <s v="C0055"/>
    <x v="93"/>
    <s v="Clothing"/>
    <n v="13170"/>
    <m/>
    <x v="4"/>
  </r>
  <r>
    <s v="T00265"/>
    <s v="C0055"/>
    <x v="189"/>
    <s v="Clothing"/>
    <n v="5530"/>
    <m/>
    <x v="6"/>
  </r>
  <r>
    <s v="T00266"/>
    <s v="C0055"/>
    <x v="94"/>
    <s v="Electronics"/>
    <n v="5700"/>
    <m/>
    <x v="8"/>
  </r>
  <r>
    <s v="T00267"/>
    <s v="C0055"/>
    <x v="54"/>
    <s v="Grocery"/>
    <n v="9790"/>
    <m/>
    <x v="0"/>
  </r>
  <r>
    <s v="T00268"/>
    <s v="C0056"/>
    <x v="146"/>
    <s v="Clothing"/>
    <n v="640"/>
    <m/>
    <x v="6"/>
  </r>
  <r>
    <s v="T00269"/>
    <s v="C0056"/>
    <x v="130"/>
    <s v="Electronics"/>
    <n v="5830"/>
    <m/>
    <x v="10"/>
  </r>
  <r>
    <s v="T00270"/>
    <s v="C0056"/>
    <x v="39"/>
    <s v="Clothing"/>
    <n v="1800"/>
    <m/>
    <x v="10"/>
  </r>
  <r>
    <s v="T00271"/>
    <s v="C0056"/>
    <x v="190"/>
    <s v="Home Decor"/>
    <n v="4710"/>
    <m/>
    <x v="10"/>
  </r>
  <r>
    <s v="T00272"/>
    <s v="C0056"/>
    <x v="25"/>
    <s v="Grocery"/>
    <n v="3760"/>
    <m/>
    <x v="5"/>
  </r>
  <r>
    <s v="T00273"/>
    <s v="C0056"/>
    <x v="152"/>
    <s v="Home Decor"/>
    <n v="6290"/>
    <m/>
    <x v="9"/>
  </r>
  <r>
    <s v="T00274"/>
    <s v="C0056"/>
    <x v="191"/>
    <s v="Electronics"/>
    <n v="1730"/>
    <m/>
    <x v="5"/>
  </r>
  <r>
    <s v="T00275"/>
    <s v="C0057"/>
    <x v="180"/>
    <s v="Home Decor"/>
    <n v="1160"/>
    <m/>
    <x v="0"/>
  </r>
  <r>
    <s v="T00276"/>
    <s v="C0058"/>
    <x v="192"/>
    <s v="Sports"/>
    <n v="3610"/>
    <m/>
    <x v="8"/>
  </r>
  <r>
    <s v="T00277"/>
    <s v="C0058"/>
    <x v="193"/>
    <s v="Home Decor"/>
    <n v="1800"/>
    <m/>
    <x v="4"/>
  </r>
  <r>
    <s v="T00278"/>
    <s v="C0058"/>
    <x v="107"/>
    <s v="Home Decor"/>
    <n v="17530"/>
    <m/>
    <x v="3"/>
  </r>
  <r>
    <s v="T00279"/>
    <s v="C0058"/>
    <x v="194"/>
    <s v="Home Decor"/>
    <n v="4720"/>
    <m/>
    <x v="9"/>
  </r>
  <r>
    <s v="T00280"/>
    <s v="C0058"/>
    <x v="120"/>
    <s v="Electronics"/>
    <n v="2960"/>
    <m/>
    <x v="7"/>
  </r>
  <r>
    <s v="T00281"/>
    <s v="C0058"/>
    <x v="18"/>
    <s v="Grocery"/>
    <n v="5920"/>
    <m/>
    <x v="4"/>
  </r>
  <r>
    <s v="T00282"/>
    <s v="C0058"/>
    <x v="61"/>
    <s v="Grocery"/>
    <n v="6670"/>
    <m/>
    <x v="9"/>
  </r>
  <r>
    <s v="T00283"/>
    <s v="C0058"/>
    <x v="142"/>
    <s v="Sports"/>
    <n v="6350"/>
    <m/>
    <x v="4"/>
  </r>
  <r>
    <s v="T00284"/>
    <s v="C0058"/>
    <x v="195"/>
    <s v="Grocery"/>
    <n v="2730"/>
    <m/>
    <x v="1"/>
  </r>
  <r>
    <s v="T00285"/>
    <s v="C0058"/>
    <x v="96"/>
    <s v="Electronics"/>
    <n v="2060"/>
    <m/>
    <x v="6"/>
  </r>
  <r>
    <s v="T00286"/>
    <s v="C0058"/>
    <x v="196"/>
    <s v="Sports"/>
    <n v="2060"/>
    <m/>
    <x v="4"/>
  </r>
  <r>
    <s v="T00287"/>
    <s v="C0058"/>
    <x v="131"/>
    <s v="Clothing"/>
    <n v="1860"/>
    <m/>
    <x v="6"/>
  </r>
  <r>
    <s v="T00288"/>
    <s v="C0058"/>
    <x v="156"/>
    <s v="Sports"/>
    <n v="2530"/>
    <m/>
    <x v="3"/>
  </r>
  <r>
    <s v="T00289"/>
    <s v="C0059"/>
    <x v="197"/>
    <s v="Electronics"/>
    <n v="7920"/>
    <m/>
    <x v="3"/>
  </r>
  <r>
    <s v="T00290"/>
    <s v="C0060"/>
    <x v="198"/>
    <s v="Home Decor"/>
    <n v="1900"/>
    <m/>
    <x v="2"/>
  </r>
  <r>
    <s v="T00291"/>
    <s v="C0060"/>
    <x v="107"/>
    <s v="Home Decor"/>
    <n v="23360"/>
    <m/>
    <x v="3"/>
  </r>
  <r>
    <s v="T00292"/>
    <s v="C0060"/>
    <x v="191"/>
    <s v="Sports"/>
    <n v="6180"/>
    <m/>
    <x v="5"/>
  </r>
  <r>
    <s v="T00293"/>
    <s v="C0060"/>
    <x v="68"/>
    <s v="Sports"/>
    <n v="1070"/>
    <m/>
    <x v="11"/>
  </r>
  <r>
    <s v="T00294"/>
    <s v="C0060"/>
    <x v="199"/>
    <s v="Grocery"/>
    <n v="5250"/>
    <m/>
    <x v="2"/>
  </r>
  <r>
    <s v="T00295"/>
    <s v="C0060"/>
    <x v="114"/>
    <s v="Beauty"/>
    <n v="5790"/>
    <m/>
    <x v="8"/>
  </r>
  <r>
    <s v="T00296"/>
    <s v="C0060"/>
    <x v="19"/>
    <s v="Beauty"/>
    <n v="5100"/>
    <m/>
    <x v="2"/>
  </r>
  <r>
    <s v="T00297"/>
    <s v="C0060"/>
    <x v="67"/>
    <s v="Grocery"/>
    <n v="6140"/>
    <m/>
    <x v="8"/>
  </r>
  <r>
    <s v="T00298"/>
    <s v="C0060"/>
    <x v="200"/>
    <s v="Sports"/>
    <n v="12830"/>
    <m/>
    <x v="11"/>
  </r>
  <r>
    <s v="T00299"/>
    <s v="C0060"/>
    <x v="48"/>
    <s v="Grocery"/>
    <n v="6840"/>
    <m/>
    <x v="11"/>
  </r>
  <r>
    <s v="T00300"/>
    <s v="C0060"/>
    <x v="165"/>
    <s v="Home Decor"/>
    <n v="4220"/>
    <m/>
    <x v="4"/>
  </r>
  <r>
    <s v="T00301"/>
    <s v="C0060"/>
    <x v="58"/>
    <s v="Electronics"/>
    <n v="7180"/>
    <m/>
    <x v="0"/>
  </r>
  <r>
    <s v="T00302"/>
    <s v="C0061"/>
    <x v="30"/>
    <s v="Beauty"/>
    <n v="6500"/>
    <m/>
    <x v="7"/>
  </r>
  <r>
    <s v="T00303"/>
    <s v="C0061"/>
    <x v="69"/>
    <s v="Clothing"/>
    <n v="750"/>
    <m/>
    <x v="7"/>
  </r>
  <r>
    <s v="T00304"/>
    <s v="C0061"/>
    <x v="182"/>
    <s v="Home Decor"/>
    <n v="12350"/>
    <m/>
    <x v="7"/>
  </r>
  <r>
    <s v="T00305"/>
    <s v="C0061"/>
    <x v="201"/>
    <s v="Beauty"/>
    <n v="2670"/>
    <m/>
    <x v="7"/>
  </r>
  <r>
    <s v="T00306"/>
    <s v="C0061"/>
    <x v="73"/>
    <s v="Beauty"/>
    <n v="15760"/>
    <m/>
    <x v="7"/>
  </r>
  <r>
    <s v="T00307"/>
    <s v="C0061"/>
    <x v="202"/>
    <s v="Electronics"/>
    <n v="8890"/>
    <m/>
    <x v="7"/>
  </r>
  <r>
    <s v="T00308"/>
    <s v="C0061"/>
    <x v="203"/>
    <s v="Home Decor"/>
    <n v="2360"/>
    <m/>
    <x v="7"/>
  </r>
  <r>
    <s v="T00309"/>
    <s v="C0061"/>
    <x v="10"/>
    <s v="Grocery"/>
    <n v="7760"/>
    <m/>
    <x v="7"/>
  </r>
  <r>
    <s v="T00310"/>
    <s v="C0061"/>
    <x v="204"/>
    <s v="Electronics"/>
    <n v="4010"/>
    <m/>
    <x v="7"/>
  </r>
  <r>
    <s v="T00311"/>
    <s v="C0061"/>
    <x v="31"/>
    <s v="Sports"/>
    <n v="3640"/>
    <m/>
    <x v="7"/>
  </r>
  <r>
    <s v="T00312"/>
    <s v="C0062"/>
    <x v="51"/>
    <s v="Electronics"/>
    <n v="12970"/>
    <m/>
    <x v="7"/>
  </r>
  <r>
    <s v="T00313"/>
    <s v="C0063"/>
    <x v="55"/>
    <s v="Beauty"/>
    <n v="4810"/>
    <m/>
    <x v="3"/>
  </r>
  <r>
    <s v="T00314"/>
    <s v="C0064"/>
    <x v="55"/>
    <s v="Home Decor"/>
    <n v="2100"/>
    <m/>
    <x v="3"/>
  </r>
  <r>
    <s v="T00315"/>
    <s v="C0065"/>
    <x v="190"/>
    <s v="Grocery"/>
    <n v="5770"/>
    <m/>
    <x v="10"/>
  </r>
  <r>
    <s v="T00316"/>
    <s v="C0065"/>
    <x v="179"/>
    <s v="Home Decor"/>
    <n v="5840"/>
    <m/>
    <x v="11"/>
  </r>
  <r>
    <s v="T00317"/>
    <s v="C0065"/>
    <x v="170"/>
    <s v="Home Decor"/>
    <n v="4580"/>
    <m/>
    <x v="2"/>
  </r>
  <r>
    <s v="T00318"/>
    <s v="C0065"/>
    <x v="3"/>
    <s v="Home Decor"/>
    <n v="2640"/>
    <m/>
    <x v="2"/>
  </r>
  <r>
    <s v="T00319"/>
    <s v="C0065"/>
    <x v="56"/>
    <s v="Grocery"/>
    <n v="6830"/>
    <m/>
    <x v="7"/>
  </r>
  <r>
    <s v="T00320"/>
    <s v="C0065"/>
    <x v="205"/>
    <s v="Home Decor"/>
    <n v="5080"/>
    <m/>
    <x v="8"/>
  </r>
  <r>
    <s v="T00321"/>
    <s v="C0065"/>
    <x v="206"/>
    <s v="Clothing"/>
    <n v="12280"/>
    <m/>
    <x v="8"/>
  </r>
  <r>
    <s v="T00322"/>
    <s v="C0065"/>
    <x v="66"/>
    <s v="Home Decor"/>
    <n v="17570"/>
    <m/>
    <x v="11"/>
  </r>
  <r>
    <s v="T00323"/>
    <s v="C0065"/>
    <x v="200"/>
    <s v="Sports"/>
    <n v="16140"/>
    <m/>
    <x v="11"/>
  </r>
  <r>
    <s v="T00324"/>
    <s v="C0065"/>
    <x v="207"/>
    <s v="Home Decor"/>
    <n v="25000"/>
    <m/>
    <x v="11"/>
  </r>
  <r>
    <s v="T00325"/>
    <s v="C0065"/>
    <x v="208"/>
    <s v="Beauty"/>
    <n v="1730"/>
    <m/>
    <x v="11"/>
  </r>
  <r>
    <s v="T00326"/>
    <s v="C0065"/>
    <x v="97"/>
    <s v="Grocery"/>
    <n v="4310"/>
    <m/>
    <x v="1"/>
  </r>
  <r>
    <s v="T00327"/>
    <s v="C0065"/>
    <x v="209"/>
    <s v="Sports"/>
    <n v="6120"/>
    <m/>
    <x v="8"/>
  </r>
  <r>
    <s v="T00328"/>
    <s v="C0065"/>
    <x v="163"/>
    <s v="Beauty"/>
    <n v="2230"/>
    <m/>
    <x v="10"/>
  </r>
  <r>
    <s v="T00329"/>
    <s v="C0065"/>
    <x v="210"/>
    <s v="Sports"/>
    <n v="1310"/>
    <m/>
    <x v="3"/>
  </r>
  <r>
    <s v="T00330"/>
    <s v="C0066"/>
    <x v="211"/>
    <s v="Beauty"/>
    <n v="2200"/>
    <m/>
    <x v="0"/>
  </r>
  <r>
    <s v="T00331"/>
    <s v="C0067"/>
    <x v="1"/>
    <s v="Beauty"/>
    <n v="4670"/>
    <m/>
    <x v="1"/>
  </r>
  <r>
    <s v="T00332"/>
    <s v="C0067"/>
    <x v="125"/>
    <s v="Home Decor"/>
    <n v="5820"/>
    <m/>
    <x v="6"/>
  </r>
  <r>
    <s v="T00333"/>
    <s v="C0067"/>
    <x v="212"/>
    <s v="Beauty"/>
    <n v="3510"/>
    <m/>
    <x v="3"/>
  </r>
  <r>
    <s v="T00334"/>
    <s v="C0067"/>
    <x v="213"/>
    <s v="Clothing"/>
    <n v="1160"/>
    <m/>
    <x v="0"/>
  </r>
  <r>
    <s v="T00335"/>
    <s v="C0068"/>
    <x v="115"/>
    <s v="Clothing"/>
    <n v="2190"/>
    <m/>
    <x v="6"/>
  </r>
  <r>
    <s v="T00336"/>
    <s v="C0068"/>
    <x v="214"/>
    <s v="Home Decor"/>
    <n v="6740"/>
    <m/>
    <x v="9"/>
  </r>
  <r>
    <s v="T00337"/>
    <s v="C0068"/>
    <x v="171"/>
    <s v="Sports"/>
    <n v="2260"/>
    <m/>
    <x v="2"/>
  </r>
  <r>
    <s v="T00338"/>
    <s v="C0068"/>
    <x v="57"/>
    <s v="Electronics"/>
    <n v="2510"/>
    <m/>
    <x v="2"/>
  </r>
  <r>
    <s v="T00339"/>
    <s v="C0068"/>
    <x v="53"/>
    <s v="Grocery"/>
    <n v="6400"/>
    <m/>
    <x v="11"/>
  </r>
  <r>
    <s v="T00340"/>
    <s v="C0068"/>
    <x v="215"/>
    <s v="Beauty"/>
    <n v="6820"/>
    <m/>
    <x v="11"/>
  </r>
  <r>
    <s v="T00341"/>
    <s v="C0068"/>
    <x v="216"/>
    <s v="Beauty"/>
    <n v="1070"/>
    <m/>
    <x v="5"/>
  </r>
  <r>
    <s v="T00342"/>
    <s v="C0068"/>
    <x v="7"/>
    <s v="Grocery"/>
    <n v="18270"/>
    <m/>
    <x v="5"/>
  </r>
  <r>
    <s v="T00343"/>
    <s v="C0068"/>
    <x v="178"/>
    <s v="Sports"/>
    <n v="1420"/>
    <m/>
    <x v="8"/>
  </r>
  <r>
    <s v="T00344"/>
    <s v="C0069"/>
    <x v="217"/>
    <s v="Home Decor"/>
    <n v="3190"/>
    <m/>
    <x v="3"/>
  </r>
  <r>
    <s v="T00345"/>
    <s v="C0070"/>
    <x v="210"/>
    <s v="Grocery"/>
    <n v="2640"/>
    <m/>
    <x v="3"/>
  </r>
  <r>
    <s v="T00346"/>
    <s v="C0071"/>
    <x v="218"/>
    <s v="Beauty"/>
    <n v="3670"/>
    <m/>
    <x v="11"/>
  </r>
  <r>
    <s v="T00347"/>
    <s v="C0071"/>
    <x v="157"/>
    <s v="Sports"/>
    <n v="790"/>
    <m/>
    <x v="11"/>
  </r>
  <r>
    <s v="T00348"/>
    <s v="C0071"/>
    <x v="219"/>
    <s v="Grocery"/>
    <n v="2250"/>
    <m/>
    <x v="5"/>
  </r>
  <r>
    <s v="T00349"/>
    <s v="C0071"/>
    <x v="189"/>
    <s v="Beauty"/>
    <n v="1840"/>
    <m/>
    <x v="6"/>
  </r>
  <r>
    <s v="T00350"/>
    <s v="C0071"/>
    <x v="48"/>
    <s v="Clothing"/>
    <n v="2880"/>
    <m/>
    <x v="11"/>
  </r>
  <r>
    <s v="T00351"/>
    <s v="C0071"/>
    <x v="191"/>
    <s v="Electronics"/>
    <n v="25000"/>
    <m/>
    <x v="5"/>
  </r>
  <r>
    <s v="T00352"/>
    <s v="C0071"/>
    <x v="220"/>
    <s v="Beauty"/>
    <n v="7580"/>
    <m/>
    <x v="11"/>
  </r>
  <r>
    <s v="T00353"/>
    <s v="C0071"/>
    <x v="92"/>
    <s v="Clothing"/>
    <n v="4340"/>
    <m/>
    <x v="0"/>
  </r>
  <r>
    <s v="T00354"/>
    <s v="C0071"/>
    <x v="221"/>
    <s v="Grocery"/>
    <n v="11210"/>
    <m/>
    <x v="1"/>
  </r>
  <r>
    <s v="T00355"/>
    <s v="C0071"/>
    <x v="0"/>
    <s v="Clothing"/>
    <n v="13890"/>
    <m/>
    <x v="0"/>
  </r>
  <r>
    <s v="T00356"/>
    <s v="C0072"/>
    <x v="222"/>
    <s v="Electronics"/>
    <n v="2720"/>
    <m/>
    <x v="3"/>
  </r>
  <r>
    <s v="T00357"/>
    <s v="C0073"/>
    <x v="223"/>
    <s v="Grocery"/>
    <n v="4680"/>
    <m/>
    <x v="0"/>
  </r>
  <r>
    <s v="T00358"/>
    <s v="C0074"/>
    <x v="160"/>
    <s v="Electronics"/>
    <n v="6490"/>
    <m/>
    <x v="6"/>
  </r>
  <r>
    <s v="T00359"/>
    <s v="C0075"/>
    <x v="224"/>
    <s v="Grocery"/>
    <n v="2050"/>
    <m/>
    <x v="5"/>
  </r>
  <r>
    <s v="T00360"/>
    <s v="C0075"/>
    <x v="24"/>
    <s v="Grocery"/>
    <n v="1510"/>
    <m/>
    <x v="6"/>
  </r>
  <r>
    <s v="T00361"/>
    <s v="C0075"/>
    <x v="209"/>
    <s v="Electronics"/>
    <n v="1550"/>
    <m/>
    <x v="8"/>
  </r>
  <r>
    <s v="T00362"/>
    <s v="C0076"/>
    <x v="225"/>
    <s v="Beauty"/>
    <n v="1120"/>
    <m/>
    <x v="6"/>
  </r>
  <r>
    <s v="T00363"/>
    <s v="C0076"/>
    <x v="183"/>
    <s v="Beauty"/>
    <n v="5490"/>
    <m/>
    <x v="6"/>
  </r>
  <r>
    <s v="T00364"/>
    <s v="C0076"/>
    <x v="226"/>
    <s v="Beauty"/>
    <n v="4120"/>
    <m/>
    <x v="1"/>
  </r>
  <r>
    <s v="T00365"/>
    <s v="C0077"/>
    <x v="60"/>
    <s v="Home Decor"/>
    <n v="4870"/>
    <m/>
    <x v="3"/>
  </r>
  <r>
    <s v="T00366"/>
    <s v="C0078"/>
    <x v="70"/>
    <s v="Clothing"/>
    <n v="4170"/>
    <m/>
    <x v="4"/>
  </r>
  <r>
    <s v="T00367"/>
    <s v="C0078"/>
    <x v="140"/>
    <s v="Electronics"/>
    <n v="2690"/>
    <m/>
    <x v="4"/>
  </r>
  <r>
    <s v="T00368"/>
    <s v="C0078"/>
    <x v="215"/>
    <s v="Clothing"/>
    <n v="5000"/>
    <m/>
    <x v="11"/>
  </r>
  <r>
    <s v="T00369"/>
    <s v="C0078"/>
    <x v="162"/>
    <s v="Electronics"/>
    <n v="2100"/>
    <m/>
    <x v="8"/>
  </r>
  <r>
    <s v="T00370"/>
    <s v="C0078"/>
    <x v="208"/>
    <s v="Grocery"/>
    <n v="1620"/>
    <m/>
    <x v="11"/>
  </r>
  <r>
    <s v="T00371"/>
    <s v="C0078"/>
    <x v="227"/>
    <s v="Beauty"/>
    <n v="9160"/>
    <m/>
    <x v="9"/>
  </r>
  <r>
    <s v="T00372"/>
    <s v="C0078"/>
    <x v="228"/>
    <s v="Home Decor"/>
    <n v="18360"/>
    <m/>
    <x v="8"/>
  </r>
  <r>
    <s v="T00373"/>
    <s v="C0078"/>
    <x v="66"/>
    <s v="Clothing"/>
    <n v="12450"/>
    <m/>
    <x v="11"/>
  </r>
  <r>
    <s v="T00374"/>
    <s v="C0078"/>
    <x v="161"/>
    <s v="Beauty"/>
    <n v="8340"/>
    <m/>
    <x v="6"/>
  </r>
  <r>
    <s v="T00375"/>
    <s v="C0078"/>
    <x v="86"/>
    <s v="Beauty"/>
    <n v="4900"/>
    <m/>
    <x v="11"/>
  </r>
  <r>
    <s v="T00376"/>
    <s v="C0078"/>
    <x v="229"/>
    <s v="Beauty"/>
    <n v="4340"/>
    <m/>
    <x v="9"/>
  </r>
  <r>
    <s v="T00377"/>
    <s v="C0078"/>
    <x v="7"/>
    <s v="Sports"/>
    <n v="8620"/>
    <m/>
    <x v="5"/>
  </r>
  <r>
    <s v="T00378"/>
    <s v="C0078"/>
    <x v="142"/>
    <s v="Home Decor"/>
    <n v="3710"/>
    <m/>
    <x v="4"/>
  </r>
  <r>
    <s v="T00379"/>
    <s v="C0079"/>
    <x v="230"/>
    <s v="Clothing"/>
    <n v="2890"/>
    <m/>
    <x v="10"/>
  </r>
  <r>
    <s v="T00380"/>
    <s v="C0079"/>
    <x v="199"/>
    <s v="Sports"/>
    <n v="2070"/>
    <m/>
    <x v="2"/>
  </r>
  <r>
    <s v="T00381"/>
    <s v="C0079"/>
    <x v="196"/>
    <s v="Grocery"/>
    <n v="19800"/>
    <m/>
    <x v="4"/>
  </r>
  <r>
    <s v="T00382"/>
    <s v="C0079"/>
    <x v="190"/>
    <s v="Sports"/>
    <n v="2070"/>
    <m/>
    <x v="10"/>
  </r>
  <r>
    <s v="T00383"/>
    <s v="C0079"/>
    <x v="50"/>
    <s v="Clothing"/>
    <n v="3080"/>
    <m/>
    <x v="5"/>
  </r>
  <r>
    <s v="T00384"/>
    <s v="C0079"/>
    <x v="82"/>
    <s v="Beauty"/>
    <n v="6830"/>
    <m/>
    <x v="1"/>
  </r>
  <r>
    <s v="T00385"/>
    <s v="C0080"/>
    <x v="19"/>
    <s v="Home Decor"/>
    <n v="2660"/>
    <m/>
    <x v="2"/>
  </r>
  <r>
    <s v="T00386"/>
    <s v="C0080"/>
    <x v="231"/>
    <s v="Clothing"/>
    <n v="830"/>
    <m/>
    <x v="9"/>
  </r>
  <r>
    <s v="T00387"/>
    <s v="C0080"/>
    <x v="82"/>
    <s v="Beauty"/>
    <n v="5670"/>
    <m/>
    <x v="1"/>
  </r>
  <r>
    <s v="T00388"/>
    <s v="C0080"/>
    <x v="155"/>
    <s v="Sports"/>
    <n v="3550"/>
    <m/>
    <x v="4"/>
  </r>
  <r>
    <s v="T00389"/>
    <s v="C0080"/>
    <x v="5"/>
    <s v="Electronics"/>
    <n v="11170"/>
    <m/>
    <x v="2"/>
  </r>
  <r>
    <s v="T00390"/>
    <s v="C0080"/>
    <x v="232"/>
    <s v="Home Decor"/>
    <n v="7320"/>
    <m/>
    <x v="1"/>
  </r>
  <r>
    <s v="T00391"/>
    <s v="C0080"/>
    <x v="174"/>
    <s v="Grocery"/>
    <n v="2990"/>
    <m/>
    <x v="9"/>
  </r>
  <r>
    <s v="T00392"/>
    <s v="C0080"/>
    <x v="212"/>
    <s v="Home Decor"/>
    <n v="3680"/>
    <m/>
    <x v="3"/>
  </r>
  <r>
    <s v="T00393"/>
    <s v="C0081"/>
    <x v="213"/>
    <s v="Beauty"/>
    <n v="820"/>
    <m/>
    <x v="0"/>
  </r>
  <r>
    <s v="T00394"/>
    <s v="C0082"/>
    <x v="233"/>
    <s v="Home Decor"/>
    <n v="5070"/>
    <m/>
    <x v="3"/>
  </r>
  <r>
    <s v="T00395"/>
    <s v="C0083"/>
    <x v="234"/>
    <s v="Sports"/>
    <n v="1400"/>
    <m/>
    <x v="7"/>
  </r>
  <r>
    <s v="T00396"/>
    <s v="C0083"/>
    <x v="109"/>
    <s v="Clothing"/>
    <n v="11020"/>
    <m/>
    <x v="3"/>
  </r>
  <r>
    <s v="T00397"/>
    <s v="C0084"/>
    <x v="36"/>
    <s v="Electronics"/>
    <n v="25000"/>
    <m/>
    <x v="1"/>
  </r>
  <r>
    <s v="T00398"/>
    <s v="C0084"/>
    <x v="235"/>
    <s v="Electronics"/>
    <n v="4200"/>
    <m/>
    <x v="8"/>
  </r>
  <r>
    <s v="T00399"/>
    <s v="C0084"/>
    <x v="25"/>
    <s v="Sports"/>
    <n v="1420"/>
    <m/>
    <x v="5"/>
  </r>
  <r>
    <s v="T00400"/>
    <s v="C0084"/>
    <x v="236"/>
    <s v="Grocery"/>
    <n v="9450"/>
    <m/>
    <x v="8"/>
  </r>
  <r>
    <s v="T00401"/>
    <s v="C0084"/>
    <x v="45"/>
    <s v="Beauty"/>
    <n v="830"/>
    <m/>
    <x v="2"/>
  </r>
  <r>
    <s v="T00402"/>
    <s v="C0084"/>
    <x v="237"/>
    <s v="Electronics"/>
    <n v="7940"/>
    <m/>
    <x v="2"/>
  </r>
  <r>
    <s v="T00403"/>
    <s v="C0084"/>
    <x v="71"/>
    <s v="Electronics"/>
    <n v="13050"/>
    <m/>
    <x v="1"/>
  </r>
  <r>
    <s v="T00404"/>
    <s v="C0084"/>
    <x v="238"/>
    <s v="Home Decor"/>
    <n v="14600"/>
    <m/>
    <x v="9"/>
  </r>
  <r>
    <s v="T00405"/>
    <s v="C0084"/>
    <x v="239"/>
    <s v="Clothing"/>
    <n v="1260"/>
    <m/>
    <x v="2"/>
  </r>
  <r>
    <s v="T00406"/>
    <s v="C0084"/>
    <x v="204"/>
    <s v="Electronics"/>
    <n v="3570"/>
    <m/>
    <x v="7"/>
  </r>
  <r>
    <s v="T00407"/>
    <s v="C0084"/>
    <x v="33"/>
    <s v="Beauty"/>
    <n v="1300"/>
    <m/>
    <x v="5"/>
  </r>
  <r>
    <s v="T00408"/>
    <s v="C0084"/>
    <x v="240"/>
    <s v="Beauty"/>
    <n v="6040"/>
    <m/>
    <x v="4"/>
  </r>
  <r>
    <s v="T00409"/>
    <s v="C0084"/>
    <x v="52"/>
    <s v="Grocery"/>
    <n v="4550"/>
    <m/>
    <x v="9"/>
  </r>
  <r>
    <s v="T00410"/>
    <s v="C0084"/>
    <x v="137"/>
    <s v="Clothing"/>
    <n v="9410"/>
    <m/>
    <x v="1"/>
  </r>
  <r>
    <s v="T00411"/>
    <s v="C0085"/>
    <x v="43"/>
    <s v="Home Decor"/>
    <n v="14230"/>
    <m/>
    <x v="1"/>
  </r>
  <r>
    <s v="T00412"/>
    <s v="C0086"/>
    <x v="10"/>
    <s v="Home Decor"/>
    <n v="5700"/>
    <m/>
    <x v="7"/>
  </r>
  <r>
    <s v="T00413"/>
    <s v="C0086"/>
    <x v="167"/>
    <s v="Clothing"/>
    <n v="2100"/>
    <m/>
    <x v="7"/>
  </r>
  <r>
    <s v="T00414"/>
    <s v="C0087"/>
    <x v="23"/>
    <s v="Electronics"/>
    <n v="1070"/>
    <m/>
    <x v="9"/>
  </r>
  <r>
    <s v="T00415"/>
    <s v="C0087"/>
    <x v="167"/>
    <s v="Sports"/>
    <n v="2320"/>
    <m/>
    <x v="7"/>
  </r>
  <r>
    <s v="T00416"/>
    <s v="C0087"/>
    <x v="46"/>
    <s v="Grocery"/>
    <n v="4430"/>
    <m/>
    <x v="6"/>
  </r>
  <r>
    <s v="T00417"/>
    <s v="C0087"/>
    <x v="14"/>
    <s v="Clothing"/>
    <n v="5540"/>
    <m/>
    <x v="6"/>
  </r>
  <r>
    <s v="T00418"/>
    <s v="C0087"/>
    <x v="29"/>
    <s v="Clothing"/>
    <n v="1040"/>
    <m/>
    <x v="10"/>
  </r>
  <r>
    <s v="T00419"/>
    <s v="C0087"/>
    <x v="241"/>
    <s v="Grocery"/>
    <n v="1980"/>
    <m/>
    <x v="6"/>
  </r>
  <r>
    <s v="T00420"/>
    <s v="C0087"/>
    <x v="12"/>
    <s v="Home Decor"/>
    <n v="4030"/>
    <m/>
    <x v="7"/>
  </r>
  <r>
    <s v="T00421"/>
    <s v="C0087"/>
    <x v="95"/>
    <s v="Sports"/>
    <n v="16220"/>
    <m/>
    <x v="6"/>
  </r>
  <r>
    <s v="T00422"/>
    <s v="C0087"/>
    <x v="131"/>
    <s v="Beauty"/>
    <n v="1340"/>
    <m/>
    <x v="6"/>
  </r>
  <r>
    <s v="T00423"/>
    <s v="C0087"/>
    <x v="161"/>
    <s v="Sports"/>
    <n v="530"/>
    <m/>
    <x v="6"/>
  </r>
  <r>
    <s v="T00424"/>
    <s v="C0087"/>
    <x v="40"/>
    <s v="Beauty"/>
    <n v="4770"/>
    <m/>
    <x v="6"/>
  </r>
  <r>
    <s v="T00425"/>
    <s v="C0087"/>
    <x v="242"/>
    <s v="Beauty"/>
    <n v="1330"/>
    <m/>
    <x v="9"/>
  </r>
  <r>
    <s v="T00426"/>
    <s v="C0087"/>
    <x v="69"/>
    <s v="Grocery"/>
    <n v="3720"/>
    <m/>
    <x v="7"/>
  </r>
  <r>
    <s v="T00427"/>
    <s v="C0087"/>
    <x v="243"/>
    <s v="Clothing"/>
    <n v="6720"/>
    <m/>
    <x v="10"/>
  </r>
  <r>
    <s v="T00428"/>
    <s v="C0087"/>
    <x v="231"/>
    <s v="Clothing"/>
    <n v="11170"/>
    <m/>
    <x v="9"/>
  </r>
  <r>
    <s v="T00429"/>
    <s v="C0088"/>
    <x v="162"/>
    <s v="Beauty"/>
    <n v="9740"/>
    <m/>
    <x v="8"/>
  </r>
  <r>
    <s v="T00430"/>
    <s v="C0088"/>
    <x v="186"/>
    <s v="Home Decor"/>
    <n v="6030"/>
    <m/>
    <x v="5"/>
  </r>
  <r>
    <s v="T00431"/>
    <s v="C0088"/>
    <x v="244"/>
    <s v="Grocery"/>
    <n v="2820"/>
    <m/>
    <x v="10"/>
  </r>
  <r>
    <s v="T00432"/>
    <s v="C0088"/>
    <x v="67"/>
    <s v="Sports"/>
    <n v="6690"/>
    <m/>
    <x v="8"/>
  </r>
  <r>
    <s v="T00433"/>
    <s v="C0089"/>
    <x v="212"/>
    <s v="Clothing"/>
    <n v="13170"/>
    <m/>
    <x v="3"/>
  </r>
  <r>
    <s v="T00434"/>
    <s v="C0090"/>
    <x v="56"/>
    <s v="Electronics"/>
    <n v="9110"/>
    <m/>
    <x v="7"/>
  </r>
  <r>
    <s v="T00435"/>
    <s v="C0090"/>
    <x v="149"/>
    <s v="Sports"/>
    <n v="7520"/>
    <m/>
    <x v="0"/>
  </r>
  <r>
    <s v="T00436"/>
    <s v="C0091"/>
    <x v="134"/>
    <s v="Electronics"/>
    <n v="15770"/>
    <m/>
    <x v="11"/>
  </r>
  <r>
    <s v="T00437"/>
    <s v="C0091"/>
    <x v="77"/>
    <s v="Electronics"/>
    <n v="25000"/>
    <m/>
    <x v="9"/>
  </r>
  <r>
    <s v="T00438"/>
    <s v="C0091"/>
    <x v="245"/>
    <s v="Clothing"/>
    <n v="2050"/>
    <m/>
    <x v="4"/>
  </r>
  <r>
    <s v="T00439"/>
    <s v="C0091"/>
    <x v="139"/>
    <s v="Clothing"/>
    <n v="3570"/>
    <m/>
    <x v="3"/>
  </r>
  <r>
    <s v="T00440"/>
    <s v="C0091"/>
    <x v="195"/>
    <s v="Grocery"/>
    <n v="2080"/>
    <m/>
    <x v="1"/>
  </r>
  <r>
    <s v="T00441"/>
    <s v="C0091"/>
    <x v="143"/>
    <s v="Grocery"/>
    <n v="2180"/>
    <m/>
    <x v="5"/>
  </r>
  <r>
    <s v="T00442"/>
    <s v="C0091"/>
    <x v="65"/>
    <s v="Grocery"/>
    <n v="8820"/>
    <m/>
    <x v="3"/>
  </r>
  <r>
    <s v="T00443"/>
    <s v="C0092"/>
    <x v="72"/>
    <s v="Grocery"/>
    <n v="6830"/>
    <m/>
    <x v="10"/>
  </r>
  <r>
    <s v="T00444"/>
    <s v="C0092"/>
    <x v="121"/>
    <s v="Grocery"/>
    <n v="1340"/>
    <m/>
    <x v="9"/>
  </r>
  <r>
    <s v="T00445"/>
    <s v="C0092"/>
    <x v="185"/>
    <s v="Clothing"/>
    <n v="1860"/>
    <m/>
    <x v="11"/>
  </r>
  <r>
    <s v="T00446"/>
    <s v="C0092"/>
    <x v="246"/>
    <s v="Sports"/>
    <n v="7640"/>
    <m/>
    <x v="0"/>
  </r>
  <r>
    <s v="T00447"/>
    <s v="C0093"/>
    <x v="198"/>
    <s v="Clothing"/>
    <n v="3880"/>
    <m/>
    <x v="2"/>
  </r>
  <r>
    <s v="T00448"/>
    <s v="C0094"/>
    <x v="101"/>
    <s v="Beauty"/>
    <n v="7480"/>
    <m/>
    <x v="6"/>
  </r>
  <r>
    <s v="T00449"/>
    <s v="C0094"/>
    <x v="247"/>
    <s v="Sports"/>
    <n v="4250"/>
    <m/>
    <x v="11"/>
  </r>
  <r>
    <s v="T00450"/>
    <s v="C0094"/>
    <x v="183"/>
    <s v="Clothing"/>
    <n v="1850"/>
    <m/>
    <x v="6"/>
  </r>
  <r>
    <s v="T00451"/>
    <s v="C0094"/>
    <x v="79"/>
    <s v="Home Decor"/>
    <n v="3790"/>
    <m/>
    <x v="10"/>
  </r>
  <r>
    <s v="T00452"/>
    <s v="C0094"/>
    <x v="208"/>
    <s v="Sports"/>
    <n v="1810"/>
    <m/>
    <x v="11"/>
  </r>
  <r>
    <s v="T00453"/>
    <s v="C0095"/>
    <x v="129"/>
    <s v="Sports"/>
    <n v="4850"/>
    <m/>
    <x v="7"/>
  </r>
  <r>
    <s v="T00454"/>
    <s v="C0095"/>
    <x v="34"/>
    <s v="Clothing"/>
    <n v="1980"/>
    <m/>
    <x v="1"/>
  </r>
  <r>
    <s v="T00455"/>
    <s v="C0096"/>
    <x v="206"/>
    <s v="Sports"/>
    <n v="2070"/>
    <m/>
    <x v="8"/>
  </r>
  <r>
    <s v="T00456"/>
    <s v="C0096"/>
    <x v="140"/>
    <s v="Home Decor"/>
    <n v="9950"/>
    <m/>
    <x v="4"/>
  </r>
  <r>
    <s v="T00457"/>
    <s v="C0097"/>
    <x v="248"/>
    <s v="Grocery"/>
    <n v="11980"/>
    <m/>
    <x v="2"/>
  </r>
  <r>
    <s v="T00458"/>
    <s v="C0097"/>
    <x v="25"/>
    <s v="Electronics"/>
    <n v="4840"/>
    <m/>
    <x v="5"/>
  </r>
  <r>
    <s v="T00459"/>
    <s v="C0097"/>
    <x v="196"/>
    <s v="Clothing"/>
    <n v="7150"/>
    <m/>
    <x v="4"/>
  </r>
  <r>
    <s v="T00460"/>
    <s v="C0097"/>
    <x v="249"/>
    <s v="Electronics"/>
    <n v="1490"/>
    <m/>
    <x v="10"/>
  </r>
  <r>
    <s v="T00461"/>
    <s v="C0097"/>
    <x v="142"/>
    <s v="Home Decor"/>
    <n v="6130"/>
    <m/>
    <x v="4"/>
  </r>
  <r>
    <s v="T00462"/>
    <s v="C0097"/>
    <x v="176"/>
    <s v="Grocery"/>
    <n v="6850"/>
    <m/>
    <x v="5"/>
  </r>
  <r>
    <s v="T00463"/>
    <s v="C0097"/>
    <x v="7"/>
    <s v="Beauty"/>
    <n v="4930"/>
    <m/>
    <x v="5"/>
  </r>
  <r>
    <s v="T00464"/>
    <s v="C0097"/>
    <x v="126"/>
    <s v="Home Decor"/>
    <n v="3290"/>
    <m/>
    <x v="8"/>
  </r>
  <r>
    <s v="T00465"/>
    <s v="C0097"/>
    <x v="78"/>
    <s v="Sports"/>
    <n v="7970"/>
    <m/>
    <x v="5"/>
  </r>
  <r>
    <s v="T00466"/>
    <s v="C0097"/>
    <x v="147"/>
    <s v="Sports"/>
    <n v="4340"/>
    <m/>
    <x v="10"/>
  </r>
  <r>
    <s v="T00467"/>
    <s v="C0097"/>
    <x v="73"/>
    <s v="Home Decor"/>
    <n v="8620"/>
    <m/>
    <x v="7"/>
  </r>
  <r>
    <s v="T00468"/>
    <s v="C0097"/>
    <x v="209"/>
    <s v="Electronics"/>
    <n v="6940"/>
    <m/>
    <x v="8"/>
  </r>
  <r>
    <s v="T00469"/>
    <s v="C0097"/>
    <x v="240"/>
    <s v="Electronics"/>
    <n v="1990"/>
    <m/>
    <x v="4"/>
  </r>
  <r>
    <s v="T00470"/>
    <s v="C0098"/>
    <x v="43"/>
    <s v="Electronics"/>
    <n v="1750"/>
    <m/>
    <x v="1"/>
  </r>
  <r>
    <s v="T00471"/>
    <s v="C0098"/>
    <x v="65"/>
    <s v="Clothing"/>
    <n v="18550"/>
    <m/>
    <x v="3"/>
  </r>
  <r>
    <s v="T00472"/>
    <s v="C0099"/>
    <x v="209"/>
    <s v="Grocery"/>
    <n v="1500"/>
    <m/>
    <x v="8"/>
  </r>
  <r>
    <s v="T00473"/>
    <s v="C0099"/>
    <x v="201"/>
    <s v="Grocery"/>
    <n v="13250"/>
    <m/>
    <x v="7"/>
  </r>
  <r>
    <s v="T00474"/>
    <s v="C0099"/>
    <x v="250"/>
    <s v="Home Decor"/>
    <n v="2580"/>
    <m/>
    <x v="1"/>
  </r>
  <r>
    <s v="T00475"/>
    <s v="C0099"/>
    <x v="180"/>
    <s v="Grocery"/>
    <n v="25000"/>
    <m/>
    <x v="0"/>
  </r>
  <r>
    <s v="T00476"/>
    <s v="C0099"/>
    <x v="164"/>
    <s v="Clothing"/>
    <n v="6560"/>
    <m/>
    <x v="7"/>
  </r>
  <r>
    <s v="T00477"/>
    <s v="C0099"/>
    <x v="251"/>
    <s v="Beauty"/>
    <n v="11240"/>
    <m/>
    <x v="1"/>
  </r>
  <r>
    <s v="T00478"/>
    <s v="C0099"/>
    <x v="102"/>
    <s v="Grocery"/>
    <n v="14460"/>
    <m/>
    <x v="10"/>
  </r>
  <r>
    <s v="T00479"/>
    <s v="C0099"/>
    <x v="252"/>
    <s v="Beauty"/>
    <n v="1740"/>
    <m/>
    <x v="6"/>
  </r>
  <r>
    <s v="T00480"/>
    <s v="C0099"/>
    <x v="54"/>
    <s v="Sports"/>
    <n v="3000"/>
    <m/>
    <x v="0"/>
  </r>
  <r>
    <s v="T00481"/>
    <s v="C0100"/>
    <x v="44"/>
    <s v="Electronics"/>
    <n v="520"/>
    <m/>
    <x v="10"/>
  </r>
  <r>
    <s v="T00482"/>
    <s v="C0100"/>
    <x v="72"/>
    <s v="Beauty"/>
    <n v="4450"/>
    <m/>
    <x v="10"/>
  </r>
  <r>
    <s v="T00483"/>
    <s v="C0100"/>
    <x v="253"/>
    <s v="Home Decor"/>
    <n v="6620"/>
    <m/>
    <x v="9"/>
  </r>
  <r>
    <s v="T00484"/>
    <s v="C0100"/>
    <x v="76"/>
    <s v="Grocery"/>
    <n v="2420"/>
    <m/>
    <x v="2"/>
  </r>
  <r>
    <s v="T00485"/>
    <s v="C0100"/>
    <x v="202"/>
    <s v="Beauty"/>
    <n v="1770"/>
    <m/>
    <x v="7"/>
  </r>
  <r>
    <s v="T00486"/>
    <s v="C0100"/>
    <x v="93"/>
    <s v="Clothing"/>
    <n v="1580"/>
    <m/>
    <x v="4"/>
  </r>
  <r>
    <s v="T00487"/>
    <s v="C0100"/>
    <x v="254"/>
    <s v="Clothing"/>
    <n v="2160"/>
    <m/>
    <x v="11"/>
  </r>
  <r>
    <s v="T00488"/>
    <s v="C0100"/>
    <x v="2"/>
    <s v="Electronics"/>
    <n v="3490"/>
    <m/>
    <x v="2"/>
  </r>
  <r>
    <s v="T00489"/>
    <s v="C0100"/>
    <x v="50"/>
    <s v="Electronics"/>
    <n v="6550"/>
    <m/>
    <x v="5"/>
  </r>
  <r>
    <s v="T00490"/>
    <s v="C0100"/>
    <x v="255"/>
    <s v="Clothing"/>
    <n v="1350"/>
    <m/>
    <x v="5"/>
  </r>
  <r>
    <s v="T00491"/>
    <s v="C0100"/>
    <x v="256"/>
    <s v="Electronics"/>
    <n v="4300"/>
    <m/>
    <x v="2"/>
  </r>
  <r>
    <s v="T00492"/>
    <s v="C0100"/>
    <x v="38"/>
    <s v="Electronics"/>
    <n v="2240"/>
    <m/>
    <x v="10"/>
  </r>
  <r>
    <s v="T00493"/>
    <s v="C0100"/>
    <x v="119"/>
    <s v="Electronics"/>
    <n v="1260"/>
    <m/>
    <x v="11"/>
  </r>
  <r>
    <s v="T00494"/>
    <s v="C0100"/>
    <x v="154"/>
    <s v="Clothing"/>
    <n v="7130"/>
    <m/>
    <x v="1"/>
  </r>
  <r>
    <s v="T00496"/>
    <s v="C0101"/>
    <x v="124"/>
    <s v="Grocery"/>
    <n v="16892"/>
    <m/>
    <x v="0"/>
  </r>
  <r>
    <s v="T00497"/>
    <s v="C0101"/>
    <x v="257"/>
    <s v="Home Decor"/>
    <n v="12105"/>
    <m/>
    <x v="1"/>
  </r>
  <r>
    <s v="T00498"/>
    <s v="C0101"/>
    <x v="258"/>
    <s v="Beauty"/>
    <n v="24815"/>
    <m/>
    <x v="10"/>
  </r>
  <r>
    <s v="T00499"/>
    <s v="C0101"/>
    <x v="138"/>
    <s v="Beauty"/>
    <n v="1114"/>
    <m/>
    <x v="7"/>
  </r>
  <r>
    <s v="T00500"/>
    <s v="C0101"/>
    <x v="126"/>
    <s v="Electronics"/>
    <n v="10758"/>
    <m/>
    <x v="8"/>
  </r>
  <r>
    <s v="T00501"/>
    <s v="C0101"/>
    <x v="259"/>
    <s v="Beauty"/>
    <n v="19289"/>
    <m/>
    <x v="1"/>
  </r>
  <r>
    <s v="T00502"/>
    <s v="C0101"/>
    <x v="199"/>
    <s v="Home Decor"/>
    <n v="21476"/>
    <m/>
    <x v="2"/>
  </r>
  <r>
    <s v="T00503"/>
    <s v="C0101"/>
    <x v="198"/>
    <s v="Fashion"/>
    <n v="4274"/>
    <m/>
    <x v="2"/>
  </r>
  <r>
    <s v="T00504"/>
    <s v="C0101"/>
    <x v="199"/>
    <s v="Electronics"/>
    <n v="11142"/>
    <m/>
    <x v="2"/>
  </r>
  <r>
    <s v="T00505"/>
    <s v="C0102"/>
    <x v="128"/>
    <s v="Beauty"/>
    <n v="23097"/>
    <m/>
    <x v="3"/>
  </r>
  <r>
    <s v="T00506"/>
    <s v="C0102"/>
    <x v="5"/>
    <s v="Electronics"/>
    <n v="14810"/>
    <m/>
    <x v="2"/>
  </r>
  <r>
    <s v="T00507"/>
    <s v="C0102"/>
    <x v="249"/>
    <s v="Grocery"/>
    <n v="14776"/>
    <m/>
    <x v="10"/>
  </r>
  <r>
    <s v="T00508"/>
    <s v="C0103"/>
    <x v="3"/>
    <s v="Sports"/>
    <n v="3077"/>
    <m/>
    <x v="2"/>
  </r>
  <r>
    <s v="T00509"/>
    <s v="C0103"/>
    <x v="260"/>
    <s v="Fashion"/>
    <n v="24938"/>
    <m/>
    <x v="2"/>
  </r>
  <r>
    <s v="T00510"/>
    <s v="C0103"/>
    <x v="179"/>
    <s v="Grocery"/>
    <n v="11413"/>
    <m/>
    <x v="11"/>
  </r>
  <r>
    <s v="T00511"/>
    <s v="C0103"/>
    <x v="131"/>
    <s v="Electronics"/>
    <n v="17227"/>
    <m/>
    <x v="6"/>
  </r>
  <r>
    <s v="T00512"/>
    <s v="C0103"/>
    <x v="113"/>
    <s v="Electronics"/>
    <n v="17886"/>
    <m/>
    <x v="3"/>
  </r>
  <r>
    <s v="T00513"/>
    <s v="C0103"/>
    <x v="261"/>
    <s v="Grocery"/>
    <n v="11948"/>
    <m/>
    <x v="4"/>
  </r>
  <r>
    <s v="T00514"/>
    <s v="C0103"/>
    <x v="111"/>
    <s v="Home Decor"/>
    <n v="21649"/>
    <m/>
    <x v="11"/>
  </r>
  <r>
    <s v="T00515"/>
    <s v="C0103"/>
    <x v="95"/>
    <s v="Grocery"/>
    <n v="3868"/>
    <m/>
    <x v="6"/>
  </r>
  <r>
    <s v="T00516"/>
    <s v="C0103"/>
    <x v="17"/>
    <s v="Fashion"/>
    <n v="6964"/>
    <m/>
    <x v="6"/>
  </r>
  <r>
    <s v="T00517"/>
    <s v="C0103"/>
    <x v="132"/>
    <s v="Sports"/>
    <n v="5509"/>
    <m/>
    <x v="6"/>
  </r>
  <r>
    <s v="T00518"/>
    <s v="C0104"/>
    <x v="183"/>
    <s v="Home Decor"/>
    <n v="16691"/>
    <m/>
    <x v="6"/>
  </r>
  <r>
    <s v="T00519"/>
    <s v="C0104"/>
    <x v="67"/>
    <s v="Sports"/>
    <n v="19488"/>
    <m/>
    <x v="8"/>
  </r>
  <r>
    <s v="T00520"/>
    <s v="C0105"/>
    <x v="58"/>
    <s v="Sports"/>
    <n v="21569"/>
    <m/>
    <x v="0"/>
  </r>
  <r>
    <s v="T00521"/>
    <s v="C0105"/>
    <x v="262"/>
    <s v="Sports"/>
    <n v="11090"/>
    <m/>
    <x v="3"/>
  </r>
  <r>
    <s v="T00522"/>
    <s v="C0105"/>
    <x v="55"/>
    <s v="Fashion"/>
    <n v="5446"/>
    <m/>
    <x v="3"/>
  </r>
  <r>
    <s v="T00523"/>
    <s v="C0105"/>
    <x v="178"/>
    <s v="Electronics"/>
    <n v="15865"/>
    <m/>
    <x v="8"/>
  </r>
  <r>
    <s v="T00524"/>
    <s v="C0105"/>
    <x v="263"/>
    <s v="Home Decor"/>
    <n v="10422"/>
    <m/>
    <x v="8"/>
  </r>
  <r>
    <s v="T00525"/>
    <s v="C0105"/>
    <x v="219"/>
    <s v="Sports"/>
    <n v="2340"/>
    <m/>
    <x v="5"/>
  </r>
  <r>
    <s v="T00526"/>
    <s v="C0105"/>
    <x v="53"/>
    <s v="Sports"/>
    <n v="2931"/>
    <m/>
    <x v="11"/>
  </r>
  <r>
    <s v="T00527"/>
    <s v="C0105"/>
    <x v="148"/>
    <s v="Beauty"/>
    <n v="15308"/>
    <m/>
    <x v="11"/>
  </r>
  <r>
    <s v="T00528"/>
    <s v="C0106"/>
    <x v="264"/>
    <s v="Fashion"/>
    <n v="9906"/>
    <m/>
    <x v="7"/>
  </r>
  <r>
    <s v="T00529"/>
    <s v="C0107"/>
    <x v="136"/>
    <s v="Electronics"/>
    <n v="20652"/>
    <m/>
    <x v="3"/>
  </r>
  <r>
    <s v="T00530"/>
    <s v="C0107"/>
    <x v="265"/>
    <s v="Sports"/>
    <n v="13098"/>
    <m/>
    <x v="1"/>
  </r>
  <r>
    <s v="T00531"/>
    <s v="C0108"/>
    <x v="266"/>
    <s v="Sports"/>
    <n v="24712"/>
    <m/>
    <x v="1"/>
  </r>
  <r>
    <s v="T00532"/>
    <s v="C0108"/>
    <x v="138"/>
    <s v="Beauty"/>
    <n v="19232"/>
    <m/>
    <x v="7"/>
  </r>
  <r>
    <s v="T00533"/>
    <s v="C0108"/>
    <x v="233"/>
    <s v="Grocery"/>
    <n v="11035"/>
    <m/>
    <x v="3"/>
  </r>
  <r>
    <s v="T00534"/>
    <s v="C0108"/>
    <x v="139"/>
    <s v="Beauty"/>
    <n v="16928"/>
    <m/>
    <x v="3"/>
  </r>
  <r>
    <s v="T00535"/>
    <s v="C0108"/>
    <x v="133"/>
    <s v="Electronics"/>
    <n v="15262"/>
    <m/>
    <x v="6"/>
  </r>
  <r>
    <s v="T00536"/>
    <s v="C0108"/>
    <x v="267"/>
    <s v="Fashion"/>
    <n v="23906"/>
    <m/>
    <x v="10"/>
  </r>
  <r>
    <s v="T00537"/>
    <s v="C0108"/>
    <x v="268"/>
    <s v="Sports"/>
    <n v="21672"/>
    <m/>
    <x v="10"/>
  </r>
  <r>
    <s v="T00538"/>
    <s v="C0108"/>
    <x v="132"/>
    <s v="Electronics"/>
    <n v="8618"/>
    <m/>
    <x v="6"/>
  </r>
  <r>
    <s v="T00539"/>
    <s v="C0109"/>
    <x v="141"/>
    <s v="Sports"/>
    <n v="17629"/>
    <m/>
    <x v="8"/>
  </r>
  <r>
    <s v="T00540"/>
    <s v="C0109"/>
    <x v="60"/>
    <s v="Grocery"/>
    <n v="12424"/>
    <m/>
    <x v="3"/>
  </r>
  <r>
    <s v="T00541"/>
    <s v="C0109"/>
    <x v="64"/>
    <s v="Fashion"/>
    <n v="13194"/>
    <m/>
    <x v="2"/>
  </r>
  <r>
    <s v="T00542"/>
    <s v="C0109"/>
    <x v="144"/>
    <s v="Fashion"/>
    <n v="22746"/>
    <m/>
    <x v="2"/>
  </r>
  <r>
    <s v="T00543"/>
    <s v="C0109"/>
    <x v="222"/>
    <s v="Electronics"/>
    <n v="21172"/>
    <m/>
    <x v="3"/>
  </r>
  <r>
    <s v="T00544"/>
    <s v="C0109"/>
    <x v="177"/>
    <s v="Fashion"/>
    <n v="2659"/>
    <m/>
    <x v="3"/>
  </r>
  <r>
    <s v="T00545"/>
    <s v="C0109"/>
    <x v="81"/>
    <s v="Electronics"/>
    <n v="18783"/>
    <m/>
    <x v="11"/>
  </r>
  <r>
    <s v="T00546"/>
    <s v="C0109"/>
    <x v="54"/>
    <s v="Beauty"/>
    <n v="9810"/>
    <m/>
    <x v="0"/>
  </r>
  <r>
    <s v="T00547"/>
    <s v="C0110"/>
    <x v="180"/>
    <s v="Sports"/>
    <n v="5427"/>
    <m/>
    <x v="0"/>
  </r>
  <r>
    <s v="T00548"/>
    <s v="C0110"/>
    <x v="269"/>
    <s v="Electronics"/>
    <n v="19595"/>
    <m/>
    <x v="11"/>
  </r>
  <r>
    <s v="T00549"/>
    <s v="C0110"/>
    <x v="270"/>
    <s v="Grocery"/>
    <n v="11962"/>
    <m/>
    <x v="0"/>
  </r>
  <r>
    <s v="T00550"/>
    <s v="C0110"/>
    <x v="148"/>
    <s v="Home Decor"/>
    <n v="23387"/>
    <m/>
    <x v="11"/>
  </r>
  <r>
    <s v="T00551"/>
    <s v="C0110"/>
    <x v="270"/>
    <s v="Beauty"/>
    <n v="4725"/>
    <m/>
    <x v="0"/>
  </r>
  <r>
    <s v="T00552"/>
    <s v="C0111"/>
    <x v="271"/>
    <s v="Electronics"/>
    <n v="10644"/>
    <m/>
    <x v="0"/>
  </r>
  <r>
    <s v="T00553"/>
    <s v="C0111"/>
    <x v="257"/>
    <s v="Beauty"/>
    <n v="21585"/>
    <m/>
    <x v="1"/>
  </r>
  <r>
    <s v="T00554"/>
    <s v="C0111"/>
    <x v="81"/>
    <s v="Grocery"/>
    <n v="22458"/>
    <m/>
    <x v="11"/>
  </r>
  <r>
    <s v="T00555"/>
    <s v="C0111"/>
    <x v="272"/>
    <s v="Home Decor"/>
    <n v="22959"/>
    <m/>
    <x v="0"/>
  </r>
  <r>
    <s v="T00556"/>
    <s v="C0111"/>
    <x v="150"/>
    <s v="Electronics"/>
    <n v="21668"/>
    <m/>
    <x v="4"/>
  </r>
  <r>
    <s v="T00557"/>
    <s v="C0111"/>
    <x v="273"/>
    <s v="Beauty"/>
    <n v="17162"/>
    <m/>
    <x v="0"/>
  </r>
  <r>
    <s v="T00558"/>
    <s v="C0111"/>
    <x v="5"/>
    <s v="Electronics"/>
    <n v="12381"/>
    <m/>
    <x v="2"/>
  </r>
  <r>
    <s v="T00559"/>
    <s v="C0111"/>
    <x v="148"/>
    <s v="Grocery"/>
    <n v="7518"/>
    <m/>
    <x v="11"/>
  </r>
  <r>
    <s v="T00560"/>
    <s v="C0111"/>
    <x v="274"/>
    <s v="Beauty"/>
    <n v="6791"/>
    <m/>
    <x v="11"/>
  </r>
  <r>
    <s v="T00561"/>
    <s v="C0111"/>
    <x v="61"/>
    <s v="Grocery"/>
    <n v="5577"/>
    <m/>
    <x v="9"/>
  </r>
  <r>
    <s v="T00562"/>
    <s v="C0112"/>
    <x v="50"/>
    <s v="Electronics"/>
    <n v="17135"/>
    <m/>
    <x v="5"/>
  </r>
  <r>
    <s v="T00563"/>
    <s v="C0112"/>
    <x v="71"/>
    <s v="Home Decor"/>
    <n v="17753"/>
    <m/>
    <x v="1"/>
  </r>
  <r>
    <s v="T00564"/>
    <s v="C0113"/>
    <x v="275"/>
    <s v="Fashion"/>
    <n v="20751"/>
    <m/>
    <x v="0"/>
  </r>
  <r>
    <s v="T00565"/>
    <s v="C0114"/>
    <x v="82"/>
    <s v="Beauty"/>
    <n v="5554"/>
    <m/>
    <x v="1"/>
  </r>
  <r>
    <s v="T00566"/>
    <s v="C0114"/>
    <x v="252"/>
    <s v="Grocery"/>
    <n v="23203"/>
    <m/>
    <x v="6"/>
  </r>
  <r>
    <s v="T00567"/>
    <s v="C0114"/>
    <x v="276"/>
    <s v="Grocery"/>
    <n v="24131"/>
    <m/>
    <x v="3"/>
  </r>
  <r>
    <s v="T00568"/>
    <s v="C0115"/>
    <x v="277"/>
    <s v="Beauty"/>
    <n v="12437"/>
    <m/>
    <x v="7"/>
  </r>
  <r>
    <s v="T00569"/>
    <s v="C0115"/>
    <x v="278"/>
    <s v="Home Decor"/>
    <n v="8283"/>
    <m/>
    <x v="0"/>
  </r>
  <r>
    <s v="T00570"/>
    <s v="C0115"/>
    <x v="94"/>
    <s v="Sports"/>
    <n v="9836"/>
    <m/>
    <x v="8"/>
  </r>
  <r>
    <s v="T00571"/>
    <s v="C0115"/>
    <x v="88"/>
    <s v="Grocery"/>
    <n v="17998"/>
    <m/>
    <x v="8"/>
  </r>
  <r>
    <s v="T00572"/>
    <s v="C0115"/>
    <x v="224"/>
    <s v="Fashion"/>
    <n v="15868"/>
    <m/>
    <x v="5"/>
  </r>
  <r>
    <s v="T00573"/>
    <s v="C0115"/>
    <x v="153"/>
    <s v="Fashion"/>
    <n v="22726"/>
    <m/>
    <x v="9"/>
  </r>
  <r>
    <s v="T00574"/>
    <s v="C0115"/>
    <x v="154"/>
    <s v="Beauty"/>
    <n v="15628"/>
    <m/>
    <x v="1"/>
  </r>
  <r>
    <s v="T00575"/>
    <s v="C0115"/>
    <x v="143"/>
    <s v="Beauty"/>
    <n v="16979"/>
    <m/>
    <x v="5"/>
  </r>
  <r>
    <s v="T00576"/>
    <s v="C0116"/>
    <x v="279"/>
    <s v="Grocery"/>
    <n v="7043"/>
    <m/>
    <x v="8"/>
  </r>
  <r>
    <s v="T00577"/>
    <s v="C0116"/>
    <x v="139"/>
    <s v="Grocery"/>
    <n v="8692"/>
    <m/>
    <x v="3"/>
  </r>
  <r>
    <s v="T00578"/>
    <s v="C0116"/>
    <x v="280"/>
    <s v="Home Decor"/>
    <n v="16247"/>
    <m/>
    <x v="7"/>
  </r>
  <r>
    <s v="T00579"/>
    <s v="C0116"/>
    <x v="64"/>
    <s v="Sports"/>
    <n v="3861"/>
    <m/>
    <x v="2"/>
  </r>
  <r>
    <s v="T00580"/>
    <s v="C0116"/>
    <x v="74"/>
    <s v="Sports"/>
    <n v="4585"/>
    <m/>
    <x v="0"/>
  </r>
  <r>
    <s v="T00581"/>
    <s v="C0116"/>
    <x v="281"/>
    <s v="Electronics"/>
    <n v="5753"/>
    <m/>
    <x v="5"/>
  </r>
  <r>
    <s v="T00582"/>
    <s v="C0116"/>
    <x v="15"/>
    <s v="Beauty"/>
    <n v="17321"/>
    <m/>
    <x v="5"/>
  </r>
  <r>
    <s v="T00583"/>
    <s v="C0116"/>
    <x v="95"/>
    <s v="Beauty"/>
    <n v="3505"/>
    <m/>
    <x v="6"/>
  </r>
  <r>
    <s v="T00584"/>
    <s v="C0116"/>
    <x v="90"/>
    <s v="Beauty"/>
    <n v="11955"/>
    <m/>
    <x v="9"/>
  </r>
  <r>
    <s v="T00585"/>
    <s v="C0117"/>
    <x v="19"/>
    <s v="Electronics"/>
    <n v="13491"/>
    <m/>
    <x v="2"/>
  </r>
  <r>
    <s v="T00586"/>
    <s v="C0118"/>
    <x v="159"/>
    <s v="Grocery"/>
    <n v="13153"/>
    <m/>
    <x v="2"/>
  </r>
  <r>
    <s v="T00587"/>
    <s v="C0118"/>
    <x v="147"/>
    <s v="Fashion"/>
    <n v="7857"/>
    <m/>
    <x v="10"/>
  </r>
  <r>
    <s v="T00588"/>
    <s v="C0118"/>
    <x v="10"/>
    <s v="Fashion"/>
    <n v="3746"/>
    <m/>
    <x v="7"/>
  </r>
  <r>
    <s v="T00589"/>
    <s v="C0118"/>
    <x v="156"/>
    <s v="Fashion"/>
    <n v="5285"/>
    <m/>
    <x v="3"/>
  </r>
  <r>
    <s v="T00590"/>
    <s v="C0118"/>
    <x v="160"/>
    <s v="Electronics"/>
    <n v="9900"/>
    <m/>
    <x v="6"/>
  </r>
  <r>
    <s v="T00591"/>
    <s v="C0118"/>
    <x v="235"/>
    <s v="Home Decor"/>
    <n v="5047"/>
    <m/>
    <x v="8"/>
  </r>
  <r>
    <s v="T00592"/>
    <s v="C0118"/>
    <x v="282"/>
    <s v="Beauty"/>
    <n v="15199"/>
    <m/>
    <x v="0"/>
  </r>
  <r>
    <s v="T00593"/>
    <s v="C0118"/>
    <x v="283"/>
    <s v="Electronics"/>
    <n v="3096"/>
    <m/>
    <x v="3"/>
  </r>
  <r>
    <s v="T00594"/>
    <s v="C0118"/>
    <x v="30"/>
    <s v="Fashion"/>
    <n v="7566"/>
    <m/>
    <x v="7"/>
  </r>
  <r>
    <s v="T00595"/>
    <s v="C0119"/>
    <x v="232"/>
    <s v="Home Decor"/>
    <n v="20451"/>
    <m/>
    <x v="1"/>
  </r>
  <r>
    <s v="T00596"/>
    <s v="C0119"/>
    <x v="155"/>
    <s v="Beauty"/>
    <n v="4143"/>
    <m/>
    <x v="4"/>
  </r>
  <r>
    <s v="T00597"/>
    <s v="C0119"/>
    <x v="37"/>
    <s v="Grocery"/>
    <n v="10368"/>
    <m/>
    <x v="5"/>
  </r>
  <r>
    <s v="T00598"/>
    <s v="C0120"/>
    <x v="129"/>
    <s v="Grocery"/>
    <n v="14256"/>
    <m/>
    <x v="7"/>
  </r>
  <r>
    <s v="T00599"/>
    <s v="C0120"/>
    <x v="107"/>
    <s v="Sports"/>
    <n v="15478"/>
    <m/>
    <x v="3"/>
  </r>
  <r>
    <s v="T00600"/>
    <s v="C0121"/>
    <x v="163"/>
    <s v="Beauty"/>
    <n v="20053"/>
    <m/>
    <x v="10"/>
  </r>
  <r>
    <s v="T00601"/>
    <s v="C0121"/>
    <x v="284"/>
    <s v="Electronics"/>
    <n v="21207"/>
    <m/>
    <x v="4"/>
  </r>
  <r>
    <s v="T00602"/>
    <s v="C0122"/>
    <x v="259"/>
    <s v="Grocery"/>
    <n v="24045"/>
    <m/>
    <x v="1"/>
  </r>
  <r>
    <s v="T00603"/>
    <s v="C0122"/>
    <x v="46"/>
    <s v="Fashion"/>
    <n v="14565"/>
    <m/>
    <x v="6"/>
  </r>
  <r>
    <s v="T00604"/>
    <s v="C0122"/>
    <x v="285"/>
    <s v="Sports"/>
    <n v="12061"/>
    <m/>
    <x v="7"/>
  </r>
  <r>
    <s v="T00605"/>
    <s v="C0122"/>
    <x v="22"/>
    <s v="Sports"/>
    <n v="14150"/>
    <m/>
    <x v="5"/>
  </r>
  <r>
    <s v="T00606"/>
    <s v="C0122"/>
    <x v="169"/>
    <s v="Home Decor"/>
    <n v="22396"/>
    <m/>
    <x v="9"/>
  </r>
  <r>
    <s v="T00607"/>
    <s v="C0122"/>
    <x v="268"/>
    <s v="Sports"/>
    <n v="12316"/>
    <m/>
    <x v="10"/>
  </r>
  <r>
    <s v="T00608"/>
    <s v="C0122"/>
    <x v="244"/>
    <s v="Sports"/>
    <n v="18328"/>
    <m/>
    <x v="10"/>
  </r>
  <r>
    <s v="T00609"/>
    <s v="C0122"/>
    <x v="286"/>
    <s v="Sports"/>
    <n v="18658"/>
    <m/>
    <x v="4"/>
  </r>
  <r>
    <s v="T00610"/>
    <s v="C0122"/>
    <x v="182"/>
    <s v="Beauty"/>
    <n v="15905"/>
    <m/>
    <x v="7"/>
  </r>
  <r>
    <s v="T00611"/>
    <s v="C0123"/>
    <x v="262"/>
    <s v="Beauty"/>
    <n v="12732"/>
    <m/>
    <x v="3"/>
  </r>
  <r>
    <s v="T00612"/>
    <s v="C0124"/>
    <x v="164"/>
    <s v="Fashion"/>
    <n v="2713"/>
    <m/>
    <x v="7"/>
  </r>
  <r>
    <s v="T00613"/>
    <s v="C0124"/>
    <x v="48"/>
    <s v="Grocery"/>
    <n v="24517"/>
    <m/>
    <x v="11"/>
  </r>
  <r>
    <s v="T00614"/>
    <s v="C0124"/>
    <x v="180"/>
    <s v="Home Decor"/>
    <n v="3896"/>
    <m/>
    <x v="0"/>
  </r>
  <r>
    <s v="T00615"/>
    <s v="C0124"/>
    <x v="266"/>
    <s v="Home Decor"/>
    <n v="11395"/>
    <m/>
    <x v="1"/>
  </r>
  <r>
    <s v="T00616"/>
    <s v="C0124"/>
    <x v="287"/>
    <s v="Electronics"/>
    <n v="12044"/>
    <m/>
    <x v="6"/>
  </r>
  <r>
    <s v="T00617"/>
    <s v="C0125"/>
    <x v="179"/>
    <s v="Home Decor"/>
    <n v="6237"/>
    <m/>
    <x v="11"/>
  </r>
  <r>
    <s v="T00618"/>
    <s v="C0125"/>
    <x v="87"/>
    <s v="Beauty"/>
    <n v="23286"/>
    <m/>
    <x v="0"/>
  </r>
  <r>
    <s v="T00619"/>
    <s v="C0125"/>
    <x v="245"/>
    <s v="Home Decor"/>
    <n v="6472"/>
    <m/>
    <x v="4"/>
  </r>
  <r>
    <s v="T00620"/>
    <s v="C0125"/>
    <x v="172"/>
    <s v="Electronics"/>
    <n v="23963"/>
    <m/>
    <x v="6"/>
  </r>
  <r>
    <s v="T00621"/>
    <s v="C0125"/>
    <x v="162"/>
    <s v="Electronics"/>
    <n v="10115"/>
    <m/>
    <x v="8"/>
  </r>
  <r>
    <s v="T00622"/>
    <s v="C0125"/>
    <x v="174"/>
    <s v="Electronics"/>
    <n v="7036"/>
    <m/>
    <x v="9"/>
  </r>
  <r>
    <s v="T00623"/>
    <s v="C0125"/>
    <x v="138"/>
    <s v="Fashion"/>
    <n v="10660"/>
    <m/>
    <x v="7"/>
  </r>
  <r>
    <s v="T00624"/>
    <s v="C0125"/>
    <x v="165"/>
    <s v="Beauty"/>
    <n v="18294"/>
    <m/>
    <x v="4"/>
  </r>
  <r>
    <s v="T00625"/>
    <s v="C0125"/>
    <x v="205"/>
    <s v="Fashion"/>
    <n v="1699"/>
    <m/>
    <x v="8"/>
  </r>
  <r>
    <s v="T00626"/>
    <s v="C0126"/>
    <x v="25"/>
    <s v="Fashion"/>
    <n v="2066"/>
    <m/>
    <x v="5"/>
  </r>
  <r>
    <s v="T00627"/>
    <s v="C0126"/>
    <x v="92"/>
    <s v="Fashion"/>
    <n v="9452"/>
    <m/>
    <x v="0"/>
  </r>
  <r>
    <s v="T00628"/>
    <s v="C0126"/>
    <x v="62"/>
    <s v="Fashion"/>
    <n v="14818"/>
    <m/>
    <x v="6"/>
  </r>
  <r>
    <s v="T00629"/>
    <s v="C0126"/>
    <x v="288"/>
    <s v="Home Decor"/>
    <n v="14909"/>
    <m/>
    <x v="2"/>
  </r>
  <r>
    <s v="T00630"/>
    <s v="C0127"/>
    <x v="179"/>
    <s v="Grocery"/>
    <n v="16759"/>
    <m/>
    <x v="11"/>
  </r>
  <r>
    <s v="T00631"/>
    <s v="C0127"/>
    <x v="289"/>
    <s v="Beauty"/>
    <n v="12537"/>
    <m/>
    <x v="0"/>
  </r>
  <r>
    <s v="T00632"/>
    <s v="C0127"/>
    <x v="18"/>
    <s v="Fashion"/>
    <n v="3207"/>
    <m/>
    <x v="4"/>
  </r>
  <r>
    <s v="T00633"/>
    <s v="C0127"/>
    <x v="49"/>
    <s v="Electronics"/>
    <n v="14610"/>
    <m/>
    <x v="8"/>
  </r>
  <r>
    <s v="T00634"/>
    <s v="C0127"/>
    <x v="217"/>
    <s v="Grocery"/>
    <n v="18374"/>
    <m/>
    <x v="3"/>
  </r>
  <r>
    <s v="T00635"/>
    <s v="C0127"/>
    <x v="20"/>
    <s v="Fashion"/>
    <n v="3861"/>
    <m/>
    <x v="5"/>
  </r>
  <r>
    <s v="T00636"/>
    <s v="C0127"/>
    <x v="44"/>
    <s v="Fashion"/>
    <n v="22157"/>
    <m/>
    <x v="10"/>
  </r>
  <r>
    <s v="T00637"/>
    <s v="C0128"/>
    <x v="290"/>
    <s v="Beauty"/>
    <n v="20246"/>
    <m/>
    <x v="11"/>
  </r>
  <r>
    <s v="T00638"/>
    <s v="C0128"/>
    <x v="228"/>
    <s v="Grocery"/>
    <n v="23102"/>
    <m/>
    <x v="8"/>
  </r>
  <r>
    <s v="T00639"/>
    <s v="C0128"/>
    <x v="94"/>
    <s v="Fashion"/>
    <n v="15151"/>
    <m/>
    <x v="8"/>
  </r>
  <r>
    <s v="T00640"/>
    <s v="C0128"/>
    <x v="138"/>
    <s v="Home Decor"/>
    <n v="12052"/>
    <m/>
    <x v="7"/>
  </r>
  <r>
    <s v="T00641"/>
    <s v="C0128"/>
    <x v="109"/>
    <s v="Beauty"/>
    <n v="9496"/>
    <m/>
    <x v="3"/>
  </r>
  <r>
    <s v="T00642"/>
    <s v="C0129"/>
    <x v="29"/>
    <s v="Home Decor"/>
    <n v="21390"/>
    <m/>
    <x v="10"/>
  </r>
  <r>
    <s v="T00643"/>
    <s v="C0130"/>
    <x v="57"/>
    <s v="Sports"/>
    <n v="22762"/>
    <m/>
    <x v="2"/>
  </r>
  <r>
    <s v="T00644"/>
    <s v="C0130"/>
    <x v="11"/>
    <s v="Electronics"/>
    <n v="5178"/>
    <m/>
    <x v="6"/>
  </r>
  <r>
    <s v="T00645"/>
    <s v="C0130"/>
    <x v="47"/>
    <s v="Home Decor"/>
    <n v="14858"/>
    <m/>
    <x v="3"/>
  </r>
  <r>
    <s v="T00646"/>
    <s v="C0130"/>
    <x v="167"/>
    <s v="Grocery"/>
    <n v="2703"/>
    <m/>
    <x v="7"/>
  </r>
  <r>
    <s v="T00647"/>
    <s v="C0130"/>
    <x v="229"/>
    <s v="Home Decor"/>
    <n v="12503"/>
    <m/>
    <x v="9"/>
  </r>
  <r>
    <s v="T00648"/>
    <s v="C0130"/>
    <x v="5"/>
    <s v="Beauty"/>
    <n v="19087"/>
    <m/>
    <x v="2"/>
  </r>
  <r>
    <s v="T00649"/>
    <s v="C0130"/>
    <x v="73"/>
    <s v="Sports"/>
    <n v="5527"/>
    <m/>
    <x v="7"/>
  </r>
  <r>
    <s v="T00650"/>
    <s v="C0131"/>
    <x v="291"/>
    <s v="Fashion"/>
    <n v="15047"/>
    <m/>
    <x v="2"/>
  </r>
  <r>
    <s v="T00651"/>
    <s v="C0131"/>
    <x v="102"/>
    <s v="Sports"/>
    <n v="5011"/>
    <m/>
    <x v="10"/>
  </r>
  <r>
    <s v="T00652"/>
    <s v="C0131"/>
    <x v="42"/>
    <s v="Fashion"/>
    <n v="13542"/>
    <m/>
    <x v="4"/>
  </r>
  <r>
    <s v="T00653"/>
    <s v="C0131"/>
    <x v="185"/>
    <s v="Home Decor"/>
    <n v="9632"/>
    <m/>
    <x v="11"/>
  </r>
  <r>
    <s v="T00654"/>
    <s v="C0131"/>
    <x v="292"/>
    <s v="Electronics"/>
    <n v="1349"/>
    <m/>
    <x v="5"/>
  </r>
  <r>
    <s v="T00655"/>
    <s v="C0131"/>
    <x v="169"/>
    <s v="Beauty"/>
    <n v="17465"/>
    <m/>
    <x v="9"/>
  </r>
  <r>
    <s v="T00656"/>
    <s v="C0131"/>
    <x v="171"/>
    <s v="Sports"/>
    <n v="4358"/>
    <m/>
    <x v="2"/>
  </r>
  <r>
    <s v="T00657"/>
    <s v="C0131"/>
    <x v="216"/>
    <s v="Fashion"/>
    <n v="23569"/>
    <m/>
    <x v="5"/>
  </r>
  <r>
    <s v="T00658"/>
    <s v="C0132"/>
    <x v="181"/>
    <s v="Sports"/>
    <n v="9857"/>
    <m/>
    <x v="9"/>
  </r>
  <r>
    <s v="T00659"/>
    <s v="C0132"/>
    <x v="293"/>
    <s v="Beauty"/>
    <n v="7059"/>
    <m/>
    <x v="0"/>
  </r>
  <r>
    <s v="T00660"/>
    <s v="C0132"/>
    <x v="189"/>
    <s v="Grocery"/>
    <n v="2926"/>
    <m/>
    <x v="6"/>
  </r>
  <r>
    <s v="T00661"/>
    <s v="C0132"/>
    <x v="89"/>
    <s v="Grocery"/>
    <n v="23875"/>
    <m/>
    <x v="8"/>
  </r>
  <r>
    <s v="T00662"/>
    <s v="C0132"/>
    <x v="94"/>
    <s v="Electronics"/>
    <n v="22845"/>
    <m/>
    <x v="8"/>
  </r>
  <r>
    <s v="T00663"/>
    <s v="C0132"/>
    <x v="200"/>
    <s v="Home Decor"/>
    <n v="11884"/>
    <m/>
    <x v="11"/>
  </r>
  <r>
    <s v="T00664"/>
    <s v="C0132"/>
    <x v="294"/>
    <s v="Electronics"/>
    <n v="18522"/>
    <m/>
    <x v="0"/>
  </r>
  <r>
    <s v="T00665"/>
    <s v="C0132"/>
    <x v="36"/>
    <s v="Fashion"/>
    <n v="10328"/>
    <m/>
    <x v="1"/>
  </r>
  <r>
    <s v="T00666"/>
    <s v="C0133"/>
    <x v="74"/>
    <s v="Home Decor"/>
    <n v="23444"/>
    <m/>
    <x v="0"/>
  </r>
  <r>
    <s v="T00667"/>
    <s v="C0133"/>
    <x v="4"/>
    <s v="Grocery"/>
    <n v="12345"/>
    <m/>
    <x v="3"/>
  </r>
  <r>
    <s v="T00668"/>
    <s v="C0133"/>
    <x v="295"/>
    <s v="Grocery"/>
    <n v="4476"/>
    <m/>
    <x v="4"/>
  </r>
  <r>
    <s v="T00669"/>
    <s v="C0134"/>
    <x v="161"/>
    <s v="Grocery"/>
    <n v="16688"/>
    <m/>
    <x v="6"/>
  </r>
  <r>
    <s v="T00670"/>
    <s v="C0134"/>
    <x v="296"/>
    <s v="Fashion"/>
    <n v="18654"/>
    <m/>
    <x v="7"/>
  </r>
  <r>
    <s v="T00671"/>
    <s v="C0134"/>
    <x v="297"/>
    <s v="Fashion"/>
    <n v="15815"/>
    <m/>
    <x v="1"/>
  </r>
  <r>
    <s v="T00672"/>
    <s v="C0134"/>
    <x v="195"/>
    <s v="Grocery"/>
    <n v="20552"/>
    <m/>
    <x v="1"/>
  </r>
  <r>
    <s v="T00673"/>
    <s v="C0135"/>
    <x v="298"/>
    <s v="Fashion"/>
    <n v="13546"/>
    <m/>
    <x v="10"/>
  </r>
  <r>
    <s v="T00674"/>
    <s v="C0135"/>
    <x v="245"/>
    <s v="Sports"/>
    <n v="13960"/>
    <m/>
    <x v="4"/>
  </r>
  <r>
    <s v="T00675"/>
    <s v="C0136"/>
    <x v="259"/>
    <s v="Electronics"/>
    <n v="4606"/>
    <m/>
    <x v="1"/>
  </r>
  <r>
    <s v="T00676"/>
    <s v="C0136"/>
    <x v="218"/>
    <s v="Home Decor"/>
    <n v="2930"/>
    <m/>
    <x v="11"/>
  </r>
  <r>
    <s v="T00677"/>
    <s v="C0136"/>
    <x v="299"/>
    <s v="Beauty"/>
    <n v="22785"/>
    <m/>
    <x v="8"/>
  </r>
  <r>
    <s v="T00678"/>
    <s v="C0136"/>
    <x v="193"/>
    <s v="Fashion"/>
    <n v="4705"/>
    <m/>
    <x v="4"/>
  </r>
  <r>
    <s v="T00679"/>
    <s v="C0136"/>
    <x v="195"/>
    <s v="Home Decor"/>
    <n v="19760"/>
    <m/>
    <x v="1"/>
  </r>
  <r>
    <s v="T00680"/>
    <s v="C0136"/>
    <x v="194"/>
    <s v="Grocery"/>
    <n v="14676"/>
    <m/>
    <x v="9"/>
  </r>
  <r>
    <s v="T00681"/>
    <s v="C0136"/>
    <x v="196"/>
    <s v="Electronics"/>
    <n v="4568"/>
    <m/>
    <x v="4"/>
  </r>
  <r>
    <s v="T00682"/>
    <s v="C0137"/>
    <x v="14"/>
    <s v="Fashion"/>
    <n v="5895"/>
    <m/>
    <x v="6"/>
  </r>
  <r>
    <s v="T00683"/>
    <s v="C0137"/>
    <x v="24"/>
    <s v="Fashion"/>
    <n v="23743"/>
    <m/>
    <x v="6"/>
  </r>
  <r>
    <s v="T00684"/>
    <s v="C0137"/>
    <x v="61"/>
    <s v="Fashion"/>
    <n v="17503"/>
    <m/>
    <x v="9"/>
  </r>
  <r>
    <s v="T00685"/>
    <s v="C0137"/>
    <x v="281"/>
    <s v="Electronics"/>
    <n v="8711"/>
    <m/>
    <x v="5"/>
  </r>
  <r>
    <s v="T00686"/>
    <s v="C0137"/>
    <x v="242"/>
    <s v="Home Decor"/>
    <n v="18549"/>
    <m/>
    <x v="9"/>
  </r>
  <r>
    <s v="T00687"/>
    <s v="C0137"/>
    <x v="219"/>
    <s v="Grocery"/>
    <n v="20980"/>
    <m/>
    <x v="5"/>
  </r>
  <r>
    <s v="T00688"/>
    <s v="C0137"/>
    <x v="134"/>
    <s v="Sports"/>
    <n v="17981"/>
    <m/>
    <x v="11"/>
  </r>
  <r>
    <s v="T00689"/>
    <s v="C0137"/>
    <x v="300"/>
    <s v="Sports"/>
    <n v="21503"/>
    <m/>
    <x v="10"/>
  </r>
  <r>
    <s v="T00690"/>
    <s v="C0137"/>
    <x v="131"/>
    <s v="Sports"/>
    <n v="19526"/>
    <m/>
    <x v="6"/>
  </r>
  <r>
    <s v="T00691"/>
    <s v="C0138"/>
    <x v="125"/>
    <s v="Home Decor"/>
    <n v="20962"/>
    <m/>
    <x v="6"/>
  </r>
  <r>
    <s v="T00692"/>
    <s v="C0138"/>
    <x v="139"/>
    <s v="Fashion"/>
    <n v="18968"/>
    <m/>
    <x v="3"/>
  </r>
  <r>
    <s v="T00693"/>
    <s v="C0138"/>
    <x v="138"/>
    <s v="Electronics"/>
    <n v="3161"/>
    <m/>
    <x v="7"/>
  </r>
  <r>
    <s v="T00694"/>
    <s v="C0139"/>
    <x v="301"/>
    <s v="Sports"/>
    <n v="9172"/>
    <m/>
    <x v="3"/>
  </r>
  <r>
    <s v="T00695"/>
    <s v="C0140"/>
    <x v="154"/>
    <s v="Beauty"/>
    <n v="20754"/>
    <m/>
    <x v="1"/>
  </r>
  <r>
    <s v="T00696"/>
    <s v="C0140"/>
    <x v="107"/>
    <s v="Electronics"/>
    <n v="16819"/>
    <m/>
    <x v="3"/>
  </r>
  <r>
    <s v="T00697"/>
    <s v="C0140"/>
    <x v="55"/>
    <s v="Sports"/>
    <n v="9991"/>
    <m/>
    <x v="3"/>
  </r>
  <r>
    <s v="T00698"/>
    <s v="C0140"/>
    <x v="301"/>
    <s v="Fashion"/>
    <n v="16325"/>
    <m/>
    <x v="3"/>
  </r>
  <r>
    <s v="T00699"/>
    <s v="C0141"/>
    <x v="87"/>
    <s v="Beauty"/>
    <n v="10246"/>
    <m/>
    <x v="0"/>
  </r>
  <r>
    <s v="T00700"/>
    <s v="C0141"/>
    <x v="114"/>
    <s v="Electronics"/>
    <n v="23064"/>
    <m/>
    <x v="8"/>
  </r>
  <r>
    <s v="T00701"/>
    <s v="C0141"/>
    <x v="32"/>
    <s v="Grocery"/>
    <n v="14904"/>
    <m/>
    <x v="10"/>
  </r>
  <r>
    <s v="T00702"/>
    <s v="C0141"/>
    <x v="19"/>
    <s v="Beauty"/>
    <n v="15718"/>
    <m/>
    <x v="2"/>
  </r>
  <r>
    <s v="T00703"/>
    <s v="C0142"/>
    <x v="274"/>
    <s v="Sports"/>
    <n v="5207"/>
    <m/>
    <x v="11"/>
  </r>
  <r>
    <s v="T00704"/>
    <s v="C0142"/>
    <x v="185"/>
    <s v="Home Decor"/>
    <n v="10963"/>
    <m/>
    <x v="11"/>
  </r>
  <r>
    <s v="T00705"/>
    <s v="C0142"/>
    <x v="48"/>
    <s v="Beauty"/>
    <n v="4784"/>
    <m/>
    <x v="11"/>
  </r>
  <r>
    <s v="T00706"/>
    <s v="C0142"/>
    <x v="291"/>
    <s v="Sports"/>
    <n v="18904"/>
    <m/>
    <x v="2"/>
  </r>
  <r>
    <s v="T00707"/>
    <s v="C0143"/>
    <x v="200"/>
    <s v="Grocery"/>
    <n v="15785"/>
    <m/>
    <x v="11"/>
  </r>
  <r>
    <s v="T00708"/>
    <s v="C0143"/>
    <x v="189"/>
    <s v="Fashion"/>
    <n v="15232"/>
    <m/>
    <x v="6"/>
  </r>
  <r>
    <s v="T00709"/>
    <s v="C0144"/>
    <x v="302"/>
    <s v="Electronics"/>
    <n v="2158"/>
    <m/>
    <x v="6"/>
  </r>
  <r>
    <s v="T00710"/>
    <s v="C0144"/>
    <x v="191"/>
    <s v="Beauty"/>
    <n v="20664"/>
    <m/>
    <x v="5"/>
  </r>
  <r>
    <s v="T00711"/>
    <s v="C0144"/>
    <x v="279"/>
    <s v="Grocery"/>
    <n v="5733"/>
    <m/>
    <x v="8"/>
  </r>
  <r>
    <s v="T00712"/>
    <s v="C0144"/>
    <x v="66"/>
    <s v="Sports"/>
    <n v="24129"/>
    <m/>
    <x v="11"/>
  </r>
  <r>
    <s v="T00713"/>
    <s v="C0145"/>
    <x v="28"/>
    <s v="Grocery"/>
    <n v="16827"/>
    <m/>
    <x v="9"/>
  </r>
  <r>
    <s v="T00714"/>
    <s v="C0145"/>
    <x v="165"/>
    <s v="Beauty"/>
    <n v="16843"/>
    <m/>
    <x v="4"/>
  </r>
  <r>
    <s v="T00715"/>
    <s v="C0145"/>
    <x v="119"/>
    <s v="Beauty"/>
    <n v="1259"/>
    <m/>
    <x v="11"/>
  </r>
  <r>
    <s v="T00716"/>
    <s v="C0145"/>
    <x v="38"/>
    <s v="Beauty"/>
    <n v="17062"/>
    <m/>
    <x v="10"/>
  </r>
  <r>
    <s v="T00717"/>
    <s v="C0145"/>
    <x v="162"/>
    <s v="Grocery"/>
    <n v="7549"/>
    <m/>
    <x v="8"/>
  </r>
  <r>
    <s v="T00718"/>
    <s v="C0145"/>
    <x v="303"/>
    <s v="Fashion"/>
    <n v="2094"/>
    <m/>
    <x v="1"/>
  </r>
  <r>
    <s v="T00719"/>
    <s v="C0146"/>
    <x v="143"/>
    <s v="Beauty"/>
    <n v="20079"/>
    <m/>
    <x v="5"/>
  </r>
  <r>
    <s v="T00720"/>
    <s v="C0147"/>
    <x v="25"/>
    <s v="Sports"/>
    <n v="767"/>
    <m/>
    <x v="5"/>
  </r>
  <r>
    <s v="T00721"/>
    <s v="C0147"/>
    <x v="304"/>
    <s v="Beauty"/>
    <n v="4888"/>
    <m/>
    <x v="10"/>
  </r>
  <r>
    <s v="T00722"/>
    <s v="C0147"/>
    <x v="305"/>
    <s v="Home Decor"/>
    <n v="12485"/>
    <m/>
    <x v="5"/>
  </r>
  <r>
    <s v="T00723"/>
    <s v="C0147"/>
    <x v="306"/>
    <s v="Fashion"/>
    <n v="1982"/>
    <m/>
    <x v="2"/>
  </r>
  <r>
    <s v="T00724"/>
    <s v="C0147"/>
    <x v="3"/>
    <s v="Electronics"/>
    <n v="19186"/>
    <m/>
    <x v="2"/>
  </r>
  <r>
    <s v="T00725"/>
    <s v="C0147"/>
    <x v="108"/>
    <s v="Grocery"/>
    <n v="12379"/>
    <m/>
    <x v="1"/>
  </r>
  <r>
    <s v="T00726"/>
    <s v="C0147"/>
    <x v="137"/>
    <s v="Fashion"/>
    <n v="2909"/>
    <m/>
    <x v="1"/>
  </r>
  <r>
    <s v="T00727"/>
    <s v="C0147"/>
    <x v="158"/>
    <s v="Sports"/>
    <n v="15257"/>
    <m/>
    <x v="2"/>
  </r>
  <r>
    <s v="T00728"/>
    <s v="C0148"/>
    <x v="307"/>
    <s v="Sports"/>
    <n v="22795"/>
    <m/>
    <x v="5"/>
  </r>
  <r>
    <s v="T00729"/>
    <s v="C0148"/>
    <x v="60"/>
    <s v="Electronics"/>
    <n v="4716"/>
    <m/>
    <x v="3"/>
  </r>
  <r>
    <s v="T00730"/>
    <s v="C0148"/>
    <x v="308"/>
    <s v="Beauty"/>
    <n v="12728"/>
    <m/>
    <x v="10"/>
  </r>
  <r>
    <s v="T00731"/>
    <s v="C0148"/>
    <x v="179"/>
    <s v="Sports"/>
    <n v="12480"/>
    <m/>
    <x v="11"/>
  </r>
  <r>
    <s v="T00732"/>
    <s v="C0148"/>
    <x v="46"/>
    <s v="Grocery"/>
    <n v="20241"/>
    <m/>
    <x v="6"/>
  </r>
  <r>
    <s v="T00733"/>
    <s v="C0148"/>
    <x v="295"/>
    <s v="Beauty"/>
    <n v="16886"/>
    <m/>
    <x v="4"/>
  </r>
  <r>
    <s v="T00734"/>
    <s v="C0148"/>
    <x v="56"/>
    <s v="Electronics"/>
    <n v="1775"/>
    <m/>
    <x v="7"/>
  </r>
  <r>
    <s v="T00735"/>
    <s v="C0148"/>
    <x v="160"/>
    <s v="Home Decor"/>
    <n v="11413"/>
    <m/>
    <x v="6"/>
  </r>
  <r>
    <s v="T00736"/>
    <s v="C0148"/>
    <x v="205"/>
    <s v="Sports"/>
    <n v="15474"/>
    <m/>
    <x v="8"/>
  </r>
  <r>
    <s v="T00737"/>
    <s v="C0149"/>
    <x v="210"/>
    <s v="Sports"/>
    <n v="5080"/>
    <m/>
    <x v="3"/>
  </r>
  <r>
    <s v="T00738"/>
    <s v="C0149"/>
    <x v="66"/>
    <s v="Sports"/>
    <n v="10937"/>
    <m/>
    <x v="11"/>
  </r>
  <r>
    <s v="T00739"/>
    <s v="C0149"/>
    <x v="252"/>
    <s v="Beauty"/>
    <n v="20701"/>
    <m/>
    <x v="6"/>
  </r>
  <r>
    <s v="T00740"/>
    <s v="C0150"/>
    <x v="309"/>
    <s v="Fashion"/>
    <n v="17123"/>
    <m/>
    <x v="1"/>
  </r>
  <r>
    <s v="T00741"/>
    <s v="C0150"/>
    <x v="295"/>
    <s v="Sports"/>
    <n v="16551"/>
    <m/>
    <x v="4"/>
  </r>
  <r>
    <s v="T00742"/>
    <s v="C0150"/>
    <x v="271"/>
    <s v="Sports"/>
    <n v="10323"/>
    <m/>
    <x v="0"/>
  </r>
  <r>
    <s v="T00743"/>
    <s v="C0150"/>
    <x v="209"/>
    <s v="Electronics"/>
    <n v="12570"/>
    <m/>
    <x v="8"/>
  </r>
  <r>
    <s v="T00744"/>
    <s v="C0150"/>
    <x v="215"/>
    <s v="Home Decor"/>
    <n v="4091"/>
    <m/>
    <x v="11"/>
  </r>
  <r>
    <s v="T00745"/>
    <s v="C0151"/>
    <x v="303"/>
    <s v="Fashion"/>
    <n v="24267"/>
    <m/>
    <x v="1"/>
  </r>
  <r>
    <s v="T00746"/>
    <s v="C0151"/>
    <x v="149"/>
    <s v="Home Decor"/>
    <n v="1373"/>
    <m/>
    <x v="0"/>
  </r>
  <r>
    <s v="T00747"/>
    <s v="C0151"/>
    <x v="82"/>
    <s v="Beauty"/>
    <n v="9200"/>
    <m/>
    <x v="1"/>
  </r>
  <r>
    <s v="T00748"/>
    <s v="C0151"/>
    <x v="92"/>
    <s v="Sports"/>
    <n v="19427"/>
    <m/>
    <x v="0"/>
  </r>
  <r>
    <s v="T00749"/>
    <s v="C0151"/>
    <x v="310"/>
    <s v="Home Decor"/>
    <n v="2182"/>
    <m/>
    <x v="9"/>
  </r>
  <r>
    <s v="T00750"/>
    <s v="C0151"/>
    <x v="303"/>
    <s v="Beauty"/>
    <n v="6087"/>
    <m/>
    <x v="1"/>
  </r>
  <r>
    <s v="T00751"/>
    <s v="C0151"/>
    <x v="142"/>
    <s v="Home Decor"/>
    <n v="24131"/>
    <m/>
    <x v="4"/>
  </r>
  <r>
    <s v="T00752"/>
    <s v="C0152"/>
    <x v="2"/>
    <s v="Grocery"/>
    <n v="22806"/>
    <m/>
    <x v="2"/>
  </r>
  <r>
    <s v="T00753"/>
    <s v="C0152"/>
    <x v="78"/>
    <s v="Electronics"/>
    <n v="19261"/>
    <m/>
    <x v="5"/>
  </r>
  <r>
    <s v="T00754"/>
    <s v="C0152"/>
    <x v="99"/>
    <s v="Electronics"/>
    <n v="6751"/>
    <m/>
    <x v="0"/>
  </r>
  <r>
    <s v="T00755"/>
    <s v="C0152"/>
    <x v="30"/>
    <s v="Beauty"/>
    <n v="10779"/>
    <m/>
    <x v="7"/>
  </r>
  <r>
    <s v="T00756"/>
    <s v="C0152"/>
    <x v="279"/>
    <s v="Grocery"/>
    <n v="14031"/>
    <m/>
    <x v="8"/>
  </r>
  <r>
    <s v="T00757"/>
    <s v="C0152"/>
    <x v="311"/>
    <s v="Grocery"/>
    <n v="13947"/>
    <m/>
    <x v="0"/>
  </r>
  <r>
    <s v="T00758"/>
    <s v="C0152"/>
    <x v="312"/>
    <s v="Sports"/>
    <n v="15953"/>
    <m/>
    <x v="4"/>
  </r>
  <r>
    <s v="T00759"/>
    <s v="C0152"/>
    <x v="230"/>
    <s v="Home Decor"/>
    <n v="5024"/>
    <m/>
    <x v="10"/>
  </r>
  <r>
    <s v="T00760"/>
    <s v="C0152"/>
    <x v="18"/>
    <s v="Grocery"/>
    <n v="18879"/>
    <m/>
    <x v="4"/>
  </r>
  <r>
    <s v="T00761"/>
    <s v="C0152"/>
    <x v="41"/>
    <s v="Home Decor"/>
    <n v="16175"/>
    <m/>
    <x v="11"/>
  </r>
  <r>
    <s v="T00762"/>
    <s v="C0153"/>
    <x v="237"/>
    <s v="Fashion"/>
    <n v="6174"/>
    <m/>
    <x v="2"/>
  </r>
  <r>
    <s v="T00763"/>
    <s v="C0153"/>
    <x v="126"/>
    <s v="Sports"/>
    <n v="11717"/>
    <m/>
    <x v="8"/>
  </r>
  <r>
    <s v="T00764"/>
    <s v="C0153"/>
    <x v="226"/>
    <s v="Fashion"/>
    <n v="22646"/>
    <m/>
    <x v="1"/>
  </r>
  <r>
    <s v="T00765"/>
    <s v="C0153"/>
    <x v="58"/>
    <s v="Home Decor"/>
    <n v="23218"/>
    <m/>
    <x v="0"/>
  </r>
  <r>
    <s v="T00766"/>
    <s v="C0153"/>
    <x v="305"/>
    <s v="Sports"/>
    <n v="16365"/>
    <m/>
    <x v="5"/>
  </r>
  <r>
    <s v="T00767"/>
    <s v="C0153"/>
    <x v="227"/>
    <s v="Grocery"/>
    <n v="9642"/>
    <m/>
    <x v="9"/>
  </r>
  <r>
    <s v="T00768"/>
    <s v="C0153"/>
    <x v="35"/>
    <s v="Fashion"/>
    <n v="7868"/>
    <m/>
    <x v="1"/>
  </r>
  <r>
    <s v="T00769"/>
    <s v="C0153"/>
    <x v="33"/>
    <s v="Fashion"/>
    <n v="23598"/>
    <m/>
    <x v="5"/>
  </r>
  <r>
    <s v="T00770"/>
    <s v="C0153"/>
    <x v="80"/>
    <s v="Home Decor"/>
    <n v="23601"/>
    <m/>
    <x v="9"/>
  </r>
  <r>
    <s v="T00771"/>
    <s v="C0154"/>
    <x v="218"/>
    <s v="Beauty"/>
    <n v="11929"/>
    <m/>
    <x v="11"/>
  </r>
  <r>
    <s v="T00772"/>
    <s v="C0154"/>
    <x v="257"/>
    <s v="Home Decor"/>
    <n v="9460"/>
    <m/>
    <x v="1"/>
  </r>
  <r>
    <s v="T00773"/>
    <s v="C0154"/>
    <x v="37"/>
    <s v="Electronics"/>
    <n v="19291"/>
    <m/>
    <x v="5"/>
  </r>
  <r>
    <s v="T00774"/>
    <s v="C0154"/>
    <x v="278"/>
    <s v="Sports"/>
    <n v="12941"/>
    <m/>
    <x v="0"/>
  </r>
  <r>
    <s v="T00775"/>
    <s v="C0154"/>
    <x v="260"/>
    <s v="Fashion"/>
    <n v="5299"/>
    <m/>
    <x v="2"/>
  </r>
  <r>
    <s v="T00776"/>
    <s v="C0154"/>
    <x v="191"/>
    <s v="Electronics"/>
    <n v="9925"/>
    <m/>
    <x v="5"/>
  </r>
  <r>
    <s v="T00777"/>
    <s v="C0154"/>
    <x v="44"/>
    <s v="Fashion"/>
    <n v="14995"/>
    <m/>
    <x v="10"/>
  </r>
  <r>
    <s v="T00778"/>
    <s v="C0154"/>
    <x v="92"/>
    <s v="Fashion"/>
    <n v="24988"/>
    <m/>
    <x v="0"/>
  </r>
  <r>
    <s v="T00779"/>
    <s v="C0155"/>
    <x v="181"/>
    <s v="Grocery"/>
    <n v="18148"/>
    <m/>
    <x v="9"/>
  </r>
  <r>
    <s v="T00780"/>
    <s v="C0155"/>
    <x v="313"/>
    <s v="Sports"/>
    <n v="23312"/>
    <m/>
    <x v="5"/>
  </r>
  <r>
    <s v="T00781"/>
    <s v="C0155"/>
    <x v="15"/>
    <s v="Grocery"/>
    <n v="4079"/>
    <m/>
    <x v="5"/>
  </r>
  <r>
    <s v="T00782"/>
    <s v="C0155"/>
    <x v="283"/>
    <s v="Home Decor"/>
    <n v="19729"/>
    <m/>
    <x v="3"/>
  </r>
  <r>
    <s v="T00783"/>
    <s v="C0155"/>
    <x v="224"/>
    <s v="Grocery"/>
    <n v="2163"/>
    <m/>
    <x v="5"/>
  </r>
  <r>
    <s v="T00784"/>
    <s v="C0155"/>
    <x v="98"/>
    <s v="Sports"/>
    <n v="7894"/>
    <m/>
    <x v="0"/>
  </r>
  <r>
    <s v="T00785"/>
    <s v="C0155"/>
    <x v="4"/>
    <s v="Grocery"/>
    <n v="2220"/>
    <m/>
    <x v="3"/>
  </r>
  <r>
    <s v="T00786"/>
    <s v="C0155"/>
    <x v="39"/>
    <s v="Beauty"/>
    <n v="11323"/>
    <m/>
    <x v="10"/>
  </r>
  <r>
    <s v="T00787"/>
    <s v="C0156"/>
    <x v="39"/>
    <s v="Home Decor"/>
    <n v="5004"/>
    <m/>
    <x v="10"/>
  </r>
  <r>
    <s v="T00788"/>
    <s v="C0156"/>
    <x v="314"/>
    <s v="Sports"/>
    <n v="5675"/>
    <m/>
    <x v="7"/>
  </r>
  <r>
    <s v="T00789"/>
    <s v="C0156"/>
    <x v="315"/>
    <s v="Home Decor"/>
    <n v="16087"/>
    <m/>
    <x v="2"/>
  </r>
  <r>
    <s v="T00790"/>
    <s v="C0156"/>
    <x v="316"/>
    <s v="Home Decor"/>
    <n v="7035"/>
    <m/>
    <x v="4"/>
  </r>
  <r>
    <s v="T00791"/>
    <s v="C0156"/>
    <x v="37"/>
    <s v="Fashion"/>
    <n v="9852"/>
    <m/>
    <x v="5"/>
  </r>
  <r>
    <s v="T00792"/>
    <s v="C0156"/>
    <x v="136"/>
    <s v="Electronics"/>
    <n v="3431"/>
    <m/>
    <x v="3"/>
  </r>
  <r>
    <s v="T00793"/>
    <s v="C0156"/>
    <x v="233"/>
    <s v="Sports"/>
    <n v="8109"/>
    <m/>
    <x v="3"/>
  </r>
  <r>
    <s v="T00794"/>
    <s v="C0156"/>
    <x v="317"/>
    <s v="Home Decor"/>
    <n v="24195"/>
    <m/>
    <x v="4"/>
  </r>
  <r>
    <s v="T00795"/>
    <s v="C0157"/>
    <x v="225"/>
    <s v="Beauty"/>
    <n v="6260"/>
    <m/>
    <x v="6"/>
  </r>
  <r>
    <s v="T00796"/>
    <s v="C0158"/>
    <x v="76"/>
    <s v="Beauty"/>
    <n v="6605"/>
    <m/>
    <x v="2"/>
  </r>
  <r>
    <s v="T00797"/>
    <s v="C0159"/>
    <x v="69"/>
    <s v="Electronics"/>
    <n v="10277"/>
    <m/>
    <x v="7"/>
  </r>
  <r>
    <s v="T00798"/>
    <s v="C0159"/>
    <x v="318"/>
    <s v="Sports"/>
    <n v="4016"/>
    <m/>
    <x v="1"/>
  </r>
  <r>
    <s v="T00799"/>
    <s v="C0159"/>
    <x v="145"/>
    <s v="Fashion"/>
    <n v="15388"/>
    <m/>
    <x v="11"/>
  </r>
  <r>
    <s v="T00800"/>
    <s v="C0159"/>
    <x v="301"/>
    <s v="Sports"/>
    <n v="17680"/>
    <m/>
    <x v="3"/>
  </r>
  <r>
    <s v="T00801"/>
    <s v="C0159"/>
    <x v="70"/>
    <s v="Grocery"/>
    <n v="17022"/>
    <m/>
    <x v="4"/>
  </r>
  <r>
    <s v="T00802"/>
    <s v="C0160"/>
    <x v="15"/>
    <s v="Grocery"/>
    <n v="4191"/>
    <m/>
    <x v="5"/>
  </r>
  <r>
    <s v="T00803"/>
    <s v="C0160"/>
    <x v="215"/>
    <s v="Grocery"/>
    <n v="24457"/>
    <m/>
    <x v="11"/>
  </r>
  <r>
    <s v="T00804"/>
    <s v="C0160"/>
    <x v="162"/>
    <s v="Home Decor"/>
    <n v="8930"/>
    <m/>
    <x v="8"/>
  </r>
  <r>
    <s v="T00805"/>
    <s v="C0160"/>
    <x v="169"/>
    <s v="Electronics"/>
    <n v="24637"/>
    <m/>
    <x v="9"/>
  </r>
  <r>
    <s v="T00806"/>
    <s v="C0160"/>
    <x v="208"/>
    <s v="Fashion"/>
    <n v="19105"/>
    <m/>
    <x v="11"/>
  </r>
  <r>
    <s v="T00807"/>
    <s v="C0160"/>
    <x v="319"/>
    <s v="Grocery"/>
    <n v="6250"/>
    <m/>
    <x v="0"/>
  </r>
  <r>
    <s v="T00808"/>
    <s v="C0160"/>
    <x v="60"/>
    <s v="Home Decor"/>
    <n v="13787"/>
    <m/>
    <x v="3"/>
  </r>
  <r>
    <s v="T00809"/>
    <s v="C0160"/>
    <x v="228"/>
    <s v="Sports"/>
    <n v="11245"/>
    <m/>
    <x v="8"/>
  </r>
  <r>
    <s v="T00810"/>
    <s v="C0161"/>
    <x v="3"/>
    <s v="Home Decor"/>
    <n v="3625"/>
    <m/>
    <x v="2"/>
  </r>
  <r>
    <s v="T00811"/>
    <s v="C0161"/>
    <x v="112"/>
    <s v="Grocery"/>
    <n v="16145"/>
    <m/>
    <x v="9"/>
  </r>
  <r>
    <s v="T00812"/>
    <s v="C0162"/>
    <x v="292"/>
    <s v="Electronics"/>
    <n v="9045"/>
    <m/>
    <x v="5"/>
  </r>
  <r>
    <s v="T00813"/>
    <s v="C0162"/>
    <x v="256"/>
    <s v="Grocery"/>
    <n v="15138"/>
    <m/>
    <x v="2"/>
  </r>
  <r>
    <s v="T00814"/>
    <s v="C0162"/>
    <x v="7"/>
    <s v="Fashion"/>
    <n v="10394"/>
    <m/>
    <x v="5"/>
  </r>
  <r>
    <s v="T00815"/>
    <s v="C0162"/>
    <x v="303"/>
    <s v="Home Decor"/>
    <n v="19272"/>
    <m/>
    <x v="1"/>
  </r>
  <r>
    <s v="T00816"/>
    <s v="C0162"/>
    <x v="320"/>
    <s v="Fashion"/>
    <n v="21919"/>
    <m/>
    <x v="7"/>
  </r>
  <r>
    <s v="T00817"/>
    <s v="C0162"/>
    <x v="168"/>
    <s v="Home Decor"/>
    <n v="8243"/>
    <m/>
    <x v="2"/>
  </r>
  <r>
    <s v="T00818"/>
    <s v="C0163"/>
    <x v="321"/>
    <s v="Electronics"/>
    <n v="15750"/>
    <m/>
    <x v="0"/>
  </r>
  <r>
    <s v="T00819"/>
    <s v="C0164"/>
    <x v="11"/>
    <s v="Beauty"/>
    <n v="22981"/>
    <m/>
    <x v="6"/>
  </r>
  <r>
    <s v="T00820"/>
    <s v="C0164"/>
    <x v="196"/>
    <s v="Home Decor"/>
    <n v="10690"/>
    <m/>
    <x v="4"/>
  </r>
  <r>
    <s v="T00821"/>
    <s v="C0164"/>
    <x v="311"/>
    <s v="Electronics"/>
    <n v="21429"/>
    <m/>
    <x v="0"/>
  </r>
  <r>
    <s v="T00822"/>
    <s v="C0164"/>
    <x v="50"/>
    <s v="Fashion"/>
    <n v="20640"/>
    <m/>
    <x v="5"/>
  </r>
  <r>
    <s v="T00823"/>
    <s v="C0164"/>
    <x v="90"/>
    <s v="Grocery"/>
    <n v="4876"/>
    <m/>
    <x v="9"/>
  </r>
  <r>
    <s v="T00824"/>
    <s v="C0165"/>
    <x v="14"/>
    <s v="Beauty"/>
    <n v="20348"/>
    <m/>
    <x v="6"/>
  </r>
  <r>
    <s v="T00825"/>
    <s v="C0165"/>
    <x v="159"/>
    <s v="Beauty"/>
    <n v="23501"/>
    <m/>
    <x v="2"/>
  </r>
  <r>
    <s v="T00826"/>
    <s v="C0165"/>
    <x v="322"/>
    <s v="Beauty"/>
    <n v="18113"/>
    <m/>
    <x v="1"/>
  </r>
  <r>
    <s v="T00827"/>
    <s v="C0165"/>
    <x v="184"/>
    <s v="Grocery"/>
    <n v="8608"/>
    <m/>
    <x v="0"/>
  </r>
  <r>
    <s v="T00828"/>
    <s v="C0165"/>
    <x v="58"/>
    <s v="Sports"/>
    <n v="3182"/>
    <m/>
    <x v="0"/>
  </r>
  <r>
    <s v="T00829"/>
    <s v="C0165"/>
    <x v="150"/>
    <s v="Beauty"/>
    <n v="17807"/>
    <m/>
    <x v="4"/>
  </r>
  <r>
    <s v="T00830"/>
    <s v="C0165"/>
    <x v="124"/>
    <s v="Fashion"/>
    <n v="3059"/>
    <m/>
    <x v="0"/>
  </r>
  <r>
    <s v="T00831"/>
    <s v="C0165"/>
    <x v="97"/>
    <s v="Electronics"/>
    <n v="2523"/>
    <m/>
    <x v="1"/>
  </r>
  <r>
    <s v="T00832"/>
    <s v="C0166"/>
    <x v="140"/>
    <s v="Grocery"/>
    <n v="19266"/>
    <m/>
    <x v="4"/>
  </r>
  <r>
    <s v="T00833"/>
    <s v="C0166"/>
    <x v="284"/>
    <s v="Grocery"/>
    <n v="5891"/>
    <m/>
    <x v="4"/>
  </r>
  <r>
    <s v="T00834"/>
    <s v="C0166"/>
    <x v="66"/>
    <s v="Sports"/>
    <n v="14978"/>
    <m/>
    <x v="11"/>
  </r>
  <r>
    <s v="T00835"/>
    <s v="C0166"/>
    <x v="26"/>
    <s v="Home Decor"/>
    <n v="7230"/>
    <m/>
    <x v="10"/>
  </r>
  <r>
    <s v="T00836"/>
    <s v="C0166"/>
    <x v="303"/>
    <s v="Beauty"/>
    <n v="3479"/>
    <m/>
    <x v="1"/>
  </r>
  <r>
    <s v="T00837"/>
    <s v="C0166"/>
    <x v="261"/>
    <s v="Beauty"/>
    <n v="2323"/>
    <m/>
    <x v="4"/>
  </r>
  <r>
    <s v="T00838"/>
    <s v="C0166"/>
    <x v="114"/>
    <s v="Grocery"/>
    <n v="17318"/>
    <m/>
    <x v="8"/>
  </r>
  <r>
    <s v="T00839"/>
    <s v="C0166"/>
    <x v="19"/>
    <s v="Beauty"/>
    <n v="18978"/>
    <m/>
    <x v="2"/>
  </r>
  <r>
    <s v="T00840"/>
    <s v="C0166"/>
    <x v="264"/>
    <s v="Sports"/>
    <n v="15651"/>
    <m/>
    <x v="7"/>
  </r>
  <r>
    <s v="T00841"/>
    <s v="C0167"/>
    <x v="234"/>
    <s v="Beauty"/>
    <n v="8838"/>
    <m/>
    <x v="7"/>
  </r>
  <r>
    <s v="T00842"/>
    <s v="C0167"/>
    <x v="204"/>
    <s v="Home Decor"/>
    <n v="7640"/>
    <m/>
    <x v="7"/>
  </r>
  <r>
    <s v="T00843"/>
    <s v="C0167"/>
    <x v="59"/>
    <s v="Electronics"/>
    <n v="1984"/>
    <m/>
    <x v="1"/>
  </r>
  <r>
    <s v="T00844"/>
    <s v="C0167"/>
    <x v="104"/>
    <s v="Fashion"/>
    <n v="23450"/>
    <m/>
    <x v="8"/>
  </r>
  <r>
    <s v="T00845"/>
    <s v="C0167"/>
    <x v="323"/>
    <s v="Sports"/>
    <n v="2474"/>
    <m/>
    <x v="10"/>
  </r>
  <r>
    <s v="T00846"/>
    <s v="C0168"/>
    <x v="235"/>
    <s v="Electronics"/>
    <n v="9907"/>
    <m/>
    <x v="8"/>
  </r>
  <r>
    <s v="T00847"/>
    <s v="C0168"/>
    <x v="144"/>
    <s v="Grocery"/>
    <n v="4937"/>
    <m/>
    <x v="2"/>
  </r>
  <r>
    <s v="T00848"/>
    <s v="C0169"/>
    <x v="159"/>
    <s v="Beauty"/>
    <n v="15197"/>
    <m/>
    <x v="2"/>
  </r>
  <r>
    <s v="T00849"/>
    <s v="C0169"/>
    <x v="324"/>
    <s v="Beauty"/>
    <n v="3129"/>
    <m/>
    <x v="2"/>
  </r>
  <r>
    <s v="T00850"/>
    <s v="C0169"/>
    <x v="213"/>
    <s v="Home Decor"/>
    <n v="18171"/>
    <m/>
    <x v="0"/>
  </r>
  <r>
    <s v="T00851"/>
    <s v="C0169"/>
    <x v="287"/>
    <s v="Home Decor"/>
    <n v="11895"/>
    <m/>
    <x v="6"/>
  </r>
  <r>
    <s v="T00852"/>
    <s v="C0169"/>
    <x v="190"/>
    <s v="Grocery"/>
    <n v="18104"/>
    <m/>
    <x v="10"/>
  </r>
  <r>
    <s v="T00853"/>
    <s v="C0169"/>
    <x v="239"/>
    <s v="Sports"/>
    <n v="4672"/>
    <m/>
    <x v="2"/>
  </r>
  <r>
    <s v="T00854"/>
    <s v="C0169"/>
    <x v="21"/>
    <s v="Electronics"/>
    <n v="1244"/>
    <m/>
    <x v="9"/>
  </r>
  <r>
    <s v="T00855"/>
    <s v="C0170"/>
    <x v="67"/>
    <s v="Home Decor"/>
    <n v="24063"/>
    <m/>
    <x v="8"/>
  </r>
  <r>
    <s v="T00856"/>
    <s v="C0170"/>
    <x v="250"/>
    <s v="Beauty"/>
    <n v="17930"/>
    <m/>
    <x v="1"/>
  </r>
  <r>
    <s v="T00857"/>
    <s v="C0170"/>
    <x v="2"/>
    <s v="Grocery"/>
    <n v="8610"/>
    <m/>
    <x v="2"/>
  </r>
  <r>
    <s v="T00858"/>
    <s v="C0170"/>
    <x v="126"/>
    <s v="Fashion"/>
    <n v="5583"/>
    <m/>
    <x v="8"/>
  </r>
  <r>
    <s v="T00859"/>
    <s v="C0170"/>
    <x v="325"/>
    <s v="Grocery"/>
    <n v="24257"/>
    <m/>
    <x v="5"/>
  </r>
  <r>
    <s v="T00860"/>
    <s v="C0171"/>
    <x v="73"/>
    <s v="Home Decor"/>
    <n v="14237"/>
    <m/>
    <x v="7"/>
  </r>
  <r>
    <s v="T00861"/>
    <s v="C0171"/>
    <x v="109"/>
    <s v="Electronics"/>
    <n v="8386"/>
    <m/>
    <x v="3"/>
  </r>
  <r>
    <s v="T00862"/>
    <s v="C0172"/>
    <x v="244"/>
    <s v="Electronics"/>
    <n v="19962"/>
    <m/>
    <x v="10"/>
  </r>
  <r>
    <s v="T00863"/>
    <s v="C0172"/>
    <x v="167"/>
    <s v="Beauty"/>
    <n v="20088"/>
    <m/>
    <x v="7"/>
  </r>
  <r>
    <s v="T00864"/>
    <s v="C0172"/>
    <x v="326"/>
    <s v="Home Decor"/>
    <n v="2095"/>
    <m/>
    <x v="0"/>
  </r>
  <r>
    <s v="T00865"/>
    <s v="C0172"/>
    <x v="327"/>
    <s v="Home Decor"/>
    <n v="1949"/>
    <m/>
    <x v="5"/>
  </r>
  <r>
    <s v="T00866"/>
    <s v="C0173"/>
    <x v="141"/>
    <s v="Grocery"/>
    <n v="18186"/>
    <m/>
    <x v="8"/>
  </r>
  <r>
    <s v="T00867"/>
    <s v="C0173"/>
    <x v="231"/>
    <s v="Electronics"/>
    <n v="5091"/>
    <m/>
    <x v="9"/>
  </r>
  <r>
    <s v="T00868"/>
    <s v="C0173"/>
    <x v="196"/>
    <s v="Fashion"/>
    <n v="8173"/>
    <m/>
    <x v="4"/>
  </r>
  <r>
    <s v="T00869"/>
    <s v="C0173"/>
    <x v="259"/>
    <s v="Fashion"/>
    <n v="19422"/>
    <m/>
    <x v="1"/>
  </r>
  <r>
    <s v="T00870"/>
    <s v="C0173"/>
    <x v="222"/>
    <s v="Home Decor"/>
    <n v="11007"/>
    <m/>
    <x v="3"/>
  </r>
  <r>
    <s v="T00871"/>
    <s v="C0173"/>
    <x v="27"/>
    <s v="Fashion"/>
    <n v="5194"/>
    <m/>
    <x v="9"/>
  </r>
  <r>
    <s v="T00872"/>
    <s v="C0173"/>
    <x v="275"/>
    <s v="Sports"/>
    <n v="7743"/>
    <m/>
    <x v="0"/>
  </r>
  <r>
    <s v="T00873"/>
    <s v="C0174"/>
    <x v="207"/>
    <s v="Fashion"/>
    <n v="2497"/>
    <m/>
    <x v="11"/>
  </r>
  <r>
    <s v="T00874"/>
    <s v="C0174"/>
    <x v="35"/>
    <s v="Sports"/>
    <n v="24591"/>
    <m/>
    <x v="1"/>
  </r>
  <r>
    <s v="T00875"/>
    <s v="C0174"/>
    <x v="225"/>
    <s v="Home Decor"/>
    <n v="22741"/>
    <m/>
    <x v="6"/>
  </r>
  <r>
    <s v="T00876"/>
    <s v="C0174"/>
    <x v="228"/>
    <s v="Sports"/>
    <n v="16740"/>
    <m/>
    <x v="8"/>
  </r>
  <r>
    <s v="T00877"/>
    <s v="C0174"/>
    <x v="129"/>
    <s v="Fashion"/>
    <n v="21580"/>
    <m/>
    <x v="7"/>
  </r>
  <r>
    <s v="T00878"/>
    <s v="C0174"/>
    <x v="273"/>
    <s v="Beauty"/>
    <n v="17685"/>
    <m/>
    <x v="0"/>
  </r>
  <r>
    <s v="T00879"/>
    <s v="C0174"/>
    <x v="200"/>
    <s v="Home Decor"/>
    <n v="14142"/>
    <m/>
    <x v="11"/>
  </r>
  <r>
    <s v="T00880"/>
    <s v="C0175"/>
    <x v="146"/>
    <s v="Fashion"/>
    <n v="12835"/>
    <m/>
    <x v="6"/>
  </r>
  <r>
    <s v="T00881"/>
    <s v="C0175"/>
    <x v="112"/>
    <s v="Sports"/>
    <n v="16016"/>
    <m/>
    <x v="9"/>
  </r>
  <r>
    <s v="T00882"/>
    <s v="C0175"/>
    <x v="22"/>
    <s v="Grocery"/>
    <n v="10354"/>
    <m/>
    <x v="5"/>
  </r>
  <r>
    <s v="T00883"/>
    <s v="C0175"/>
    <x v="271"/>
    <s v="Grocery"/>
    <n v="15672"/>
    <m/>
    <x v="0"/>
  </r>
  <r>
    <s v="T00884"/>
    <s v="C0175"/>
    <x v="264"/>
    <s v="Sports"/>
    <n v="14022"/>
    <m/>
    <x v="7"/>
  </r>
  <r>
    <s v="T00885"/>
    <s v="C0175"/>
    <x v="198"/>
    <s v="Sports"/>
    <n v="17866"/>
    <m/>
    <x v="2"/>
  </r>
  <r>
    <s v="T00886"/>
    <s v="C0175"/>
    <x v="287"/>
    <s v="Beauty"/>
    <n v="8457"/>
    <m/>
    <x v="6"/>
  </r>
  <r>
    <s v="T00887"/>
    <s v="C0176"/>
    <x v="121"/>
    <s v="Fashion"/>
    <n v="21691"/>
    <m/>
    <x v="9"/>
  </r>
  <r>
    <s v="T00888"/>
    <s v="C0176"/>
    <x v="44"/>
    <s v="Beauty"/>
    <n v="12659"/>
    <m/>
    <x v="10"/>
  </r>
  <r>
    <s v="T00889"/>
    <s v="C0176"/>
    <x v="300"/>
    <s v="Sports"/>
    <n v="24243"/>
    <m/>
    <x v="10"/>
  </r>
  <r>
    <s v="T00890"/>
    <s v="C0176"/>
    <x v="28"/>
    <s v="Electronics"/>
    <n v="9296"/>
    <m/>
    <x v="9"/>
  </r>
  <r>
    <s v="T00891"/>
    <s v="C0176"/>
    <x v="324"/>
    <s v="Home Decor"/>
    <n v="20323"/>
    <m/>
    <x v="2"/>
  </r>
  <r>
    <s v="T00892"/>
    <s v="C0177"/>
    <x v="56"/>
    <s v="Electronics"/>
    <n v="6665"/>
    <m/>
    <x v="7"/>
  </r>
  <r>
    <s v="T00893"/>
    <s v="C0177"/>
    <x v="251"/>
    <s v="Home Decor"/>
    <n v="22502"/>
    <m/>
    <x v="1"/>
  </r>
  <r>
    <s v="T00894"/>
    <s v="C0177"/>
    <x v="257"/>
    <s v="Grocery"/>
    <n v="16208"/>
    <m/>
    <x v="1"/>
  </r>
  <r>
    <s v="T00895"/>
    <s v="C0177"/>
    <x v="80"/>
    <s v="Fashion"/>
    <n v="10434"/>
    <m/>
    <x v="9"/>
  </r>
  <r>
    <s v="T00896"/>
    <s v="C0177"/>
    <x v="12"/>
    <s v="Grocery"/>
    <n v="6726"/>
    <m/>
    <x v="7"/>
  </r>
  <r>
    <s v="T00897"/>
    <s v="C0177"/>
    <x v="190"/>
    <s v="Home Decor"/>
    <n v="16193"/>
    <m/>
    <x v="10"/>
  </r>
  <r>
    <s v="T00898"/>
    <s v="C0177"/>
    <x v="78"/>
    <s v="Home Decor"/>
    <n v="20305"/>
    <m/>
    <x v="5"/>
  </r>
  <r>
    <s v="T00899"/>
    <s v="C0177"/>
    <x v="124"/>
    <s v="Grocery"/>
    <n v="13496"/>
    <m/>
    <x v="0"/>
  </r>
  <r>
    <s v="T00900"/>
    <s v="C0177"/>
    <x v="224"/>
    <s v="Sports"/>
    <n v="11038"/>
    <m/>
    <x v="5"/>
  </r>
  <r>
    <s v="T00901"/>
    <s v="C0177"/>
    <x v="143"/>
    <s v="Beauty"/>
    <n v="15778"/>
    <m/>
    <x v="5"/>
  </r>
  <r>
    <s v="T00902"/>
    <s v="C0178"/>
    <x v="156"/>
    <s v="Fashion"/>
    <n v="10606"/>
    <m/>
    <x v="3"/>
  </r>
  <r>
    <s v="T00903"/>
    <s v="C0178"/>
    <x v="187"/>
    <s v="Fashion"/>
    <n v="17303"/>
    <m/>
    <x v="5"/>
  </r>
  <r>
    <s v="T00904"/>
    <s v="C0178"/>
    <x v="123"/>
    <s v="Beauty"/>
    <n v="3731"/>
    <m/>
    <x v="4"/>
  </r>
  <r>
    <s v="T00905"/>
    <s v="C0178"/>
    <x v="328"/>
    <s v="Fashion"/>
    <n v="7156"/>
    <m/>
    <x v="8"/>
  </r>
  <r>
    <s v="T00906"/>
    <s v="C0178"/>
    <x v="291"/>
    <s v="Fashion"/>
    <n v="14063"/>
    <m/>
    <x v="2"/>
  </r>
  <r>
    <s v="T00907"/>
    <s v="C0178"/>
    <x v="201"/>
    <s v="Sports"/>
    <n v="7750"/>
    <m/>
    <x v="7"/>
  </r>
  <r>
    <s v="T00908"/>
    <s v="C0178"/>
    <x v="17"/>
    <s v="Electronics"/>
    <n v="9045"/>
    <m/>
    <x v="6"/>
  </r>
  <r>
    <s v="T00909"/>
    <s v="C0178"/>
    <x v="137"/>
    <s v="Sports"/>
    <n v="19477"/>
    <m/>
    <x v="1"/>
  </r>
  <r>
    <s v="T00910"/>
    <s v="C0178"/>
    <x v="198"/>
    <s v="Fashion"/>
    <n v="5494"/>
    <m/>
    <x v="2"/>
  </r>
  <r>
    <s v="T00911"/>
    <s v="C0179"/>
    <x v="81"/>
    <s v="Grocery"/>
    <n v="12946"/>
    <m/>
    <x v="11"/>
  </r>
  <r>
    <s v="T00912"/>
    <s v="C0179"/>
    <x v="329"/>
    <s v="Grocery"/>
    <n v="16861"/>
    <m/>
    <x v="1"/>
  </r>
  <r>
    <s v="T00913"/>
    <s v="C0179"/>
    <x v="322"/>
    <s v="Home Decor"/>
    <n v="22941"/>
    <m/>
    <x v="1"/>
  </r>
  <r>
    <s v="T00914"/>
    <s v="C0179"/>
    <x v="208"/>
    <s v="Fashion"/>
    <n v="16511"/>
    <m/>
    <x v="11"/>
  </r>
  <r>
    <s v="T00915"/>
    <s v="C0180"/>
    <x v="126"/>
    <s v="Grocery"/>
    <n v="24511"/>
    <m/>
    <x v="8"/>
  </r>
  <r>
    <s v="T00916"/>
    <s v="C0180"/>
    <x v="53"/>
    <s v="Grocery"/>
    <n v="5086"/>
    <m/>
    <x v="11"/>
  </r>
  <r>
    <s v="T00917"/>
    <s v="C0180"/>
    <x v="226"/>
    <s v="Beauty"/>
    <n v="6530"/>
    <m/>
    <x v="1"/>
  </r>
  <r>
    <s v="T00918"/>
    <s v="C0180"/>
    <x v="36"/>
    <s v="Home Decor"/>
    <n v="2424"/>
    <m/>
    <x v="1"/>
  </r>
  <r>
    <s v="T00919"/>
    <s v="C0180"/>
    <x v="142"/>
    <s v="Electronics"/>
    <n v="2935"/>
    <m/>
    <x v="4"/>
  </r>
  <r>
    <s v="T00920"/>
    <s v="C0180"/>
    <x v="98"/>
    <s v="Electronics"/>
    <n v="709"/>
    <m/>
    <x v="0"/>
  </r>
  <r>
    <s v="T00921"/>
    <s v="C0180"/>
    <x v="330"/>
    <s v="Grocery"/>
    <n v="21166"/>
    <m/>
    <x v="2"/>
  </r>
  <r>
    <s v="T00922"/>
    <s v="C0180"/>
    <x v="253"/>
    <s v="Electronics"/>
    <n v="23672"/>
    <m/>
    <x v="9"/>
  </r>
  <r>
    <s v="T00923"/>
    <s v="C0181"/>
    <x v="51"/>
    <s v="Grocery"/>
    <n v="17071"/>
    <m/>
    <x v="7"/>
  </r>
  <r>
    <s v="T00924"/>
    <s v="C0181"/>
    <x v="206"/>
    <s v="Fashion"/>
    <n v="2480"/>
    <m/>
    <x v="8"/>
  </r>
  <r>
    <s v="T00925"/>
    <s v="C0181"/>
    <x v="128"/>
    <s v="Home Decor"/>
    <n v="22348"/>
    <m/>
    <x v="3"/>
  </r>
  <r>
    <s v="T00926"/>
    <s v="C0182"/>
    <x v="16"/>
    <s v="Home Decor"/>
    <n v="16486"/>
    <m/>
    <x v="4"/>
  </r>
  <r>
    <s v="T00927"/>
    <s v="C0182"/>
    <x v="164"/>
    <s v="Electronics"/>
    <n v="17939"/>
    <m/>
    <x v="7"/>
  </r>
  <r>
    <s v="T00928"/>
    <s v="C0182"/>
    <x v="195"/>
    <s v="Beauty"/>
    <n v="888"/>
    <m/>
    <x v="1"/>
  </r>
  <r>
    <s v="T00929"/>
    <s v="C0182"/>
    <x v="164"/>
    <s v="Sports"/>
    <n v="24164"/>
    <m/>
    <x v="7"/>
  </r>
  <r>
    <s v="T00930"/>
    <s v="C0182"/>
    <x v="219"/>
    <s v="Sports"/>
    <n v="9894"/>
    <m/>
    <x v="5"/>
  </r>
  <r>
    <s v="T00931"/>
    <s v="C0182"/>
    <x v="164"/>
    <s v="Sports"/>
    <n v="23367"/>
    <m/>
    <x v="7"/>
  </r>
  <r>
    <s v="T00932"/>
    <s v="C0182"/>
    <x v="319"/>
    <s v="Beauty"/>
    <n v="6374"/>
    <m/>
    <x v="0"/>
  </r>
  <r>
    <s v="T00933"/>
    <s v="C0182"/>
    <x v="249"/>
    <s v="Electronics"/>
    <n v="17683"/>
    <m/>
    <x v="10"/>
  </r>
  <r>
    <s v="T00934"/>
    <s v="C0182"/>
    <x v="146"/>
    <s v="Grocery"/>
    <n v="6789"/>
    <m/>
    <x v="6"/>
  </r>
  <r>
    <s v="T00935"/>
    <s v="C0182"/>
    <x v="65"/>
    <s v="Sports"/>
    <n v="8771"/>
    <m/>
    <x v="3"/>
  </r>
  <r>
    <s v="T00936"/>
    <s v="C0183"/>
    <x v="7"/>
    <s v="Beauty"/>
    <n v="3089"/>
    <m/>
    <x v="5"/>
  </r>
  <r>
    <s v="T00937"/>
    <s v="C0183"/>
    <x v="159"/>
    <s v="Beauty"/>
    <n v="15540"/>
    <m/>
    <x v="2"/>
  </r>
  <r>
    <s v="T00938"/>
    <s v="C0183"/>
    <x v="43"/>
    <s v="Grocery"/>
    <n v="23347"/>
    <m/>
    <x v="1"/>
  </r>
  <r>
    <s v="T00939"/>
    <s v="C0183"/>
    <x v="61"/>
    <s v="Fashion"/>
    <n v="22914"/>
    <m/>
    <x v="9"/>
  </r>
  <r>
    <s v="T00940"/>
    <s v="C0183"/>
    <x v="147"/>
    <s v="Home Decor"/>
    <n v="21795"/>
    <m/>
    <x v="10"/>
  </r>
  <r>
    <s v="T00941"/>
    <s v="C0183"/>
    <x v="73"/>
    <s v="Electronics"/>
    <n v="13780"/>
    <m/>
    <x v="7"/>
  </r>
  <r>
    <s v="T00942"/>
    <s v="C0184"/>
    <x v="324"/>
    <s v="Sports"/>
    <n v="16097"/>
    <m/>
    <x v="2"/>
  </r>
  <r>
    <s v="T00943"/>
    <s v="C0184"/>
    <x v="120"/>
    <s v="Home Decor"/>
    <n v="809"/>
    <m/>
    <x v="7"/>
  </r>
  <r>
    <s v="T00944"/>
    <s v="C0184"/>
    <x v="272"/>
    <s v="Grocery"/>
    <n v="3209"/>
    <m/>
    <x v="0"/>
  </r>
  <r>
    <s v="T00945"/>
    <s v="C0184"/>
    <x v="6"/>
    <s v="Beauty"/>
    <n v="21632"/>
    <m/>
    <x v="4"/>
  </r>
  <r>
    <s v="T00946"/>
    <s v="C0184"/>
    <x v="215"/>
    <s v="Sports"/>
    <n v="3624"/>
    <m/>
    <x v="11"/>
  </r>
  <r>
    <s v="T00947"/>
    <s v="C0184"/>
    <x v="155"/>
    <s v="Electronics"/>
    <n v="8028"/>
    <m/>
    <x v="4"/>
  </r>
  <r>
    <s v="T00948"/>
    <s v="C0184"/>
    <x v="77"/>
    <s v="Home Decor"/>
    <n v="19072"/>
    <m/>
    <x v="9"/>
  </r>
  <r>
    <s v="T00949"/>
    <s v="C0185"/>
    <x v="313"/>
    <s v="Electronics"/>
    <n v="2936"/>
    <m/>
    <x v="5"/>
  </r>
  <r>
    <s v="T00950"/>
    <s v="C0185"/>
    <x v="87"/>
    <s v="Fashion"/>
    <n v="18294"/>
    <m/>
    <x v="0"/>
  </r>
  <r>
    <s v="T00951"/>
    <s v="C0185"/>
    <x v="97"/>
    <s v="Home Decor"/>
    <n v="1578"/>
    <m/>
    <x v="1"/>
  </r>
  <r>
    <s v="T00952"/>
    <s v="C0185"/>
    <x v="238"/>
    <s v="Fashion"/>
    <n v="1013"/>
    <m/>
    <x v="9"/>
  </r>
  <r>
    <s v="T00953"/>
    <s v="C0185"/>
    <x v="80"/>
    <s v="Sports"/>
    <n v="5224"/>
    <m/>
    <x v="9"/>
  </r>
  <r>
    <s v="T00954"/>
    <s v="C0185"/>
    <x v="74"/>
    <s v="Beauty"/>
    <n v="3021"/>
    <m/>
    <x v="0"/>
  </r>
  <r>
    <s v="T00955"/>
    <s v="C0185"/>
    <x v="207"/>
    <s v="Grocery"/>
    <n v="18979"/>
    <m/>
    <x v="11"/>
  </r>
  <r>
    <s v="T00956"/>
    <s v="C0185"/>
    <x v="22"/>
    <s v="Sports"/>
    <n v="13251"/>
    <m/>
    <x v="5"/>
  </r>
  <r>
    <s v="T00957"/>
    <s v="C0186"/>
    <x v="215"/>
    <s v="Beauty"/>
    <n v="24739"/>
    <m/>
    <x v="11"/>
  </r>
  <r>
    <s v="T00958"/>
    <s v="C0186"/>
    <x v="161"/>
    <s v="Home Decor"/>
    <n v="24229"/>
    <m/>
    <x v="6"/>
  </r>
  <r>
    <s v="T00959"/>
    <s v="C0186"/>
    <x v="44"/>
    <s v="Sports"/>
    <n v="24927"/>
    <m/>
    <x v="10"/>
  </r>
  <r>
    <s v="T00960"/>
    <s v="C0186"/>
    <x v="220"/>
    <s v="Electronics"/>
    <n v="3700"/>
    <m/>
    <x v="11"/>
  </r>
  <r>
    <s v="T00961"/>
    <s v="C0186"/>
    <x v="127"/>
    <s v="Grocery"/>
    <n v="2990"/>
    <m/>
    <x v="8"/>
  </r>
  <r>
    <s v="T00962"/>
    <s v="C0186"/>
    <x v="274"/>
    <s v="Sports"/>
    <n v="20615"/>
    <m/>
    <x v="11"/>
  </r>
  <r>
    <s v="T00963"/>
    <s v="C0186"/>
    <x v="265"/>
    <s v="Beauty"/>
    <n v="11194"/>
    <m/>
    <x v="1"/>
  </r>
  <r>
    <s v="T00964"/>
    <s v="C0186"/>
    <x v="202"/>
    <s v="Home Decor"/>
    <n v="9456"/>
    <m/>
    <x v="7"/>
  </r>
  <r>
    <s v="T00965"/>
    <s v="C0186"/>
    <x v="299"/>
    <s v="Beauty"/>
    <n v="7975"/>
    <m/>
    <x v="8"/>
  </r>
  <r>
    <s v="T00966"/>
    <s v="C0187"/>
    <x v="137"/>
    <s v="Beauty"/>
    <n v="14650"/>
    <m/>
    <x v="1"/>
  </r>
  <r>
    <s v="T00967"/>
    <s v="C0187"/>
    <x v="169"/>
    <s v="Home Decor"/>
    <n v="19697"/>
    <m/>
    <x v="9"/>
  </r>
  <r>
    <s v="T00968"/>
    <s v="C0187"/>
    <x v="275"/>
    <s v="Beauty"/>
    <n v="3308"/>
    <m/>
    <x v="0"/>
  </r>
  <r>
    <s v="T00969"/>
    <s v="C0187"/>
    <x v="128"/>
    <s v="Fashion"/>
    <n v="8575"/>
    <m/>
    <x v="3"/>
  </r>
  <r>
    <s v="T00970"/>
    <s v="C0187"/>
    <x v="331"/>
    <s v="Electronics"/>
    <n v="9280"/>
    <m/>
    <x v="10"/>
  </r>
  <r>
    <s v="T00971"/>
    <s v="C0187"/>
    <x v="14"/>
    <s v="Beauty"/>
    <n v="23820"/>
    <m/>
    <x v="6"/>
  </r>
  <r>
    <s v="T00972"/>
    <s v="C0188"/>
    <x v="332"/>
    <s v="Fashion"/>
    <n v="12319"/>
    <m/>
    <x v="2"/>
  </r>
  <r>
    <s v="T00973"/>
    <s v="C0188"/>
    <x v="249"/>
    <s v="Electronics"/>
    <n v="670"/>
    <m/>
    <x v="10"/>
  </r>
  <r>
    <s v="T00974"/>
    <s v="C0188"/>
    <x v="119"/>
    <s v="Beauty"/>
    <n v="12293"/>
    <m/>
    <x v="11"/>
  </r>
  <r>
    <s v="T00975"/>
    <s v="C0189"/>
    <x v="267"/>
    <s v="Grocery"/>
    <n v="3360"/>
    <m/>
    <x v="10"/>
  </r>
  <r>
    <s v="T00976"/>
    <s v="C0189"/>
    <x v="169"/>
    <s v="Beauty"/>
    <n v="15207"/>
    <m/>
    <x v="9"/>
  </r>
  <r>
    <s v="T00977"/>
    <s v="C0189"/>
    <x v="35"/>
    <s v="Sports"/>
    <n v="17291"/>
    <m/>
    <x v="1"/>
  </r>
  <r>
    <s v="T00978"/>
    <s v="C0189"/>
    <x v="315"/>
    <s v="Electronics"/>
    <n v="1360"/>
    <m/>
    <x v="2"/>
  </r>
  <r>
    <s v="T00979"/>
    <s v="C0189"/>
    <x v="333"/>
    <s v="Fashion"/>
    <n v="18660"/>
    <m/>
    <x v="10"/>
  </r>
  <r>
    <s v="T00980"/>
    <s v="C0190"/>
    <x v="82"/>
    <s v="Sports"/>
    <n v="11130"/>
    <m/>
    <x v="1"/>
  </r>
  <r>
    <s v="T00981"/>
    <s v="C0190"/>
    <x v="158"/>
    <s v="Electronics"/>
    <n v="10063"/>
    <m/>
    <x v="2"/>
  </r>
  <r>
    <s v="T00982"/>
    <s v="C0191"/>
    <x v="171"/>
    <s v="Electronics"/>
    <n v="24251"/>
    <m/>
    <x v="2"/>
  </r>
  <r>
    <s v="T00983"/>
    <s v="C0191"/>
    <x v="257"/>
    <s v="Grocery"/>
    <n v="19241"/>
    <m/>
    <x v="1"/>
  </r>
  <r>
    <s v="T00984"/>
    <s v="C0191"/>
    <x v="91"/>
    <s v="Grocery"/>
    <n v="22956"/>
    <m/>
    <x v="4"/>
  </r>
  <r>
    <s v="T00985"/>
    <s v="C0191"/>
    <x v="2"/>
    <s v="Grocery"/>
    <n v="5049"/>
    <m/>
    <x v="2"/>
  </r>
  <r>
    <s v="T00986"/>
    <s v="C0191"/>
    <x v="255"/>
    <s v="Fashion"/>
    <n v="9295"/>
    <m/>
    <x v="5"/>
  </r>
  <r>
    <s v="T00987"/>
    <s v="C0191"/>
    <x v="70"/>
    <s v="Grocery"/>
    <n v="2573"/>
    <m/>
    <x v="4"/>
  </r>
  <r>
    <s v="T00988"/>
    <s v="C0191"/>
    <x v="40"/>
    <s v="Beauty"/>
    <n v="9542"/>
    <m/>
    <x v="6"/>
  </r>
  <r>
    <s v="T00989"/>
    <s v="C0192"/>
    <x v="207"/>
    <s v="Beauty"/>
    <n v="3020"/>
    <m/>
    <x v="11"/>
  </r>
  <r>
    <s v="T00990"/>
    <s v="C0192"/>
    <x v="168"/>
    <s v="Fashion"/>
    <n v="8580"/>
    <m/>
    <x v="2"/>
  </r>
  <r>
    <s v="T00991"/>
    <s v="C0192"/>
    <x v="334"/>
    <s v="Beauty"/>
    <n v="19957"/>
    <m/>
    <x v="3"/>
  </r>
  <r>
    <s v="T00992"/>
    <s v="C0192"/>
    <x v="283"/>
    <s v="Grocery"/>
    <n v="15503"/>
    <m/>
    <x v="3"/>
  </r>
  <r>
    <s v="T00993"/>
    <s v="C0192"/>
    <x v="249"/>
    <s v="Grocery"/>
    <n v="10483"/>
    <m/>
    <x v="10"/>
  </r>
  <r>
    <s v="T00994"/>
    <s v="C0192"/>
    <x v="335"/>
    <s v="Beauty"/>
    <n v="11386"/>
    <m/>
    <x v="7"/>
  </r>
  <r>
    <s v="T00995"/>
    <s v="C0192"/>
    <x v="65"/>
    <s v="Beauty"/>
    <n v="11298"/>
    <m/>
    <x v="3"/>
  </r>
  <r>
    <s v="T00996"/>
    <s v="C0193"/>
    <x v="145"/>
    <s v="Beauty"/>
    <n v="21833"/>
    <m/>
    <x v="11"/>
  </r>
  <r>
    <s v="T00997"/>
    <s v="C0193"/>
    <x v="265"/>
    <s v="Grocery"/>
    <n v="10344"/>
    <m/>
    <x v="1"/>
  </r>
  <r>
    <s v="T00998"/>
    <s v="C0193"/>
    <x v="247"/>
    <s v="Sports"/>
    <n v="23283"/>
    <m/>
    <x v="11"/>
  </r>
  <r>
    <s v="T00999"/>
    <s v="C0193"/>
    <x v="100"/>
    <s v="Beauty"/>
    <n v="10795"/>
    <m/>
    <x v="9"/>
  </r>
  <r>
    <s v="T01000"/>
    <s v="C0193"/>
    <x v="183"/>
    <s v="Beauty"/>
    <n v="10957"/>
    <m/>
    <x v="6"/>
  </r>
  <r>
    <s v="T01001"/>
    <s v="C0193"/>
    <x v="336"/>
    <s v="Home Decor"/>
    <n v="23272"/>
    <m/>
    <x v="5"/>
  </r>
  <r>
    <s v="T01002"/>
    <s v="C0193"/>
    <x v="113"/>
    <s v="Beauty"/>
    <n v="19370"/>
    <m/>
    <x v="3"/>
  </r>
  <r>
    <s v="T01003"/>
    <s v="C0193"/>
    <x v="78"/>
    <s v="Fashion"/>
    <n v="12822"/>
    <m/>
    <x v="5"/>
  </r>
  <r>
    <s v="T01004"/>
    <s v="C0194"/>
    <x v="239"/>
    <s v="Fashion"/>
    <n v="4231"/>
    <m/>
    <x v="2"/>
  </r>
  <r>
    <s v="T01005"/>
    <s v="C0194"/>
    <x v="97"/>
    <s v="Grocery"/>
    <n v="19906"/>
    <m/>
    <x v="1"/>
  </r>
  <r>
    <s v="T01006"/>
    <s v="C0194"/>
    <x v="226"/>
    <s v="Grocery"/>
    <n v="22838"/>
    <m/>
    <x v="1"/>
  </r>
  <r>
    <s v="T01007"/>
    <s v="C0194"/>
    <x v="322"/>
    <s v="Electronics"/>
    <n v="24329"/>
    <m/>
    <x v="1"/>
  </r>
  <r>
    <s v="T01008"/>
    <s v="C0194"/>
    <x v="13"/>
    <s v="Home Decor"/>
    <n v="7369"/>
    <m/>
    <x v="8"/>
  </r>
  <r>
    <s v="T01009"/>
    <s v="C0195"/>
    <x v="336"/>
    <s v="Home Decor"/>
    <n v="2766"/>
    <m/>
    <x v="5"/>
  </r>
  <r>
    <s v="T01010"/>
    <s v="C0195"/>
    <x v="144"/>
    <s v="Home Decor"/>
    <n v="16861"/>
    <m/>
    <x v="2"/>
  </r>
  <r>
    <s v="T01011"/>
    <s v="C0195"/>
    <x v="161"/>
    <s v="Home Decor"/>
    <n v="10423"/>
    <m/>
    <x v="6"/>
  </r>
  <r>
    <s v="T01012"/>
    <s v="C0195"/>
    <x v="22"/>
    <s v="Fashion"/>
    <n v="22083"/>
    <m/>
    <x v="5"/>
  </r>
  <r>
    <s v="T01013"/>
    <s v="C0195"/>
    <x v="14"/>
    <s v="Home Decor"/>
    <n v="14365"/>
    <m/>
    <x v="6"/>
  </r>
  <r>
    <s v="T01014"/>
    <s v="C0195"/>
    <x v="324"/>
    <s v="Electronics"/>
    <n v="15215"/>
    <m/>
    <x v="2"/>
  </r>
  <r>
    <s v="T01015"/>
    <s v="C0195"/>
    <x v="222"/>
    <s v="Beauty"/>
    <n v="19578"/>
    <m/>
    <x v="3"/>
  </r>
  <r>
    <s v="T01016"/>
    <s v="C0195"/>
    <x v="3"/>
    <s v="Sports"/>
    <n v="17100"/>
    <m/>
    <x v="2"/>
  </r>
  <r>
    <s v="T01017"/>
    <s v="C0196"/>
    <x v="250"/>
    <s v="Electronics"/>
    <n v="12281"/>
    <m/>
    <x v="1"/>
  </r>
  <r>
    <s v="T01018"/>
    <s v="C0196"/>
    <x v="272"/>
    <s v="Sports"/>
    <n v="19958"/>
    <m/>
    <x v="0"/>
  </r>
  <r>
    <s v="T01019"/>
    <s v="C0196"/>
    <x v="4"/>
    <s v="Electronics"/>
    <n v="4083"/>
    <m/>
    <x v="3"/>
  </r>
  <r>
    <s v="T01020"/>
    <s v="C0196"/>
    <x v="292"/>
    <s v="Home Decor"/>
    <n v="22280"/>
    <m/>
    <x v="5"/>
  </r>
  <r>
    <s v="T01021"/>
    <s v="C0196"/>
    <x v="103"/>
    <s v="Grocery"/>
    <n v="21700"/>
    <m/>
    <x v="11"/>
  </r>
  <r>
    <s v="T01022"/>
    <s v="C0196"/>
    <x v="337"/>
    <s v="Electronics"/>
    <n v="18955"/>
    <m/>
    <x v="3"/>
  </r>
  <r>
    <s v="T01023"/>
    <s v="C0196"/>
    <x v="136"/>
    <s v="Home Decor"/>
    <n v="21692"/>
    <m/>
    <x v="3"/>
  </r>
  <r>
    <s v="T01024"/>
    <s v="C0197"/>
    <x v="215"/>
    <s v="Beauty"/>
    <n v="3971"/>
    <m/>
    <x v="11"/>
  </r>
  <r>
    <s v="T01025"/>
    <s v="C0197"/>
    <x v="320"/>
    <s v="Electronics"/>
    <n v="8978"/>
    <m/>
    <x v="7"/>
  </r>
  <r>
    <s v="T01026"/>
    <s v="C0197"/>
    <x v="90"/>
    <s v="Sports"/>
    <n v="24972"/>
    <m/>
    <x v="9"/>
  </r>
  <r>
    <s v="T01027"/>
    <s v="C0197"/>
    <x v="18"/>
    <s v="Sports"/>
    <n v="19522"/>
    <m/>
    <x v="4"/>
  </r>
  <r>
    <s v="T01028"/>
    <s v="C0197"/>
    <x v="149"/>
    <s v="Sports"/>
    <n v="7742"/>
    <m/>
    <x v="0"/>
  </r>
  <r>
    <s v="T01029"/>
    <s v="C0197"/>
    <x v="188"/>
    <s v="Fashion"/>
    <n v="13316"/>
    <m/>
    <x v="8"/>
  </r>
  <r>
    <s v="T01030"/>
    <s v="C0197"/>
    <x v="67"/>
    <s v="Home Decor"/>
    <n v="19786"/>
    <m/>
    <x v="8"/>
  </r>
  <r>
    <s v="T01031"/>
    <s v="C0198"/>
    <x v="133"/>
    <s v="Fashion"/>
    <n v="1304"/>
    <m/>
    <x v="6"/>
  </r>
  <r>
    <s v="T01032"/>
    <s v="C0198"/>
    <x v="16"/>
    <s v="Electronics"/>
    <n v="10180"/>
    <m/>
    <x v="4"/>
  </r>
  <r>
    <s v="T01033"/>
    <s v="C0198"/>
    <x v="19"/>
    <s v="Electronics"/>
    <n v="4303"/>
    <m/>
    <x v="2"/>
  </r>
  <r>
    <s v="T01034"/>
    <s v="C0198"/>
    <x v="302"/>
    <s v="Fashion"/>
    <n v="10720"/>
    <m/>
    <x v="6"/>
  </r>
  <r>
    <s v="T01035"/>
    <s v="C0198"/>
    <x v="338"/>
    <s v="Beauty"/>
    <n v="7278"/>
    <m/>
    <x v="11"/>
  </r>
  <r>
    <s v="T01036"/>
    <s v="C0198"/>
    <x v="91"/>
    <s v="Beauty"/>
    <n v="11913"/>
    <m/>
    <x v="4"/>
  </r>
  <r>
    <s v="T01037"/>
    <s v="C0198"/>
    <x v="209"/>
    <s v="Electronics"/>
    <n v="14857"/>
    <m/>
    <x v="8"/>
  </r>
  <r>
    <s v="T01038"/>
    <s v="C0198"/>
    <x v="223"/>
    <s v="Beauty"/>
    <n v="10950"/>
    <m/>
    <x v="0"/>
  </r>
  <r>
    <s v="T01039"/>
    <s v="C0198"/>
    <x v="244"/>
    <s v="Fashion"/>
    <n v="1964"/>
    <m/>
    <x v="10"/>
  </r>
  <r>
    <s v="T01040"/>
    <s v="C0199"/>
    <x v="234"/>
    <s v="Fashion"/>
    <n v="21732"/>
    <m/>
    <x v="7"/>
  </r>
  <r>
    <s v="T01041"/>
    <s v="C0199"/>
    <x v="304"/>
    <s v="Home Decor"/>
    <n v="5885"/>
    <m/>
    <x v="10"/>
  </r>
  <r>
    <s v="T01042"/>
    <s v="C0200"/>
    <x v="193"/>
    <s v="Grocery"/>
    <n v="18584"/>
    <m/>
    <x v="4"/>
  </r>
  <r>
    <s v="T01043"/>
    <s v="C0200"/>
    <x v="11"/>
    <s v="Fashion"/>
    <n v="18845"/>
    <m/>
    <x v="6"/>
  </r>
  <r>
    <s v="T01044"/>
    <s v="C0200"/>
    <x v="228"/>
    <s v="Beauty"/>
    <n v="8097"/>
    <m/>
    <x v="8"/>
  </r>
  <r>
    <s v="T01045"/>
    <s v="C0200"/>
    <x v="199"/>
    <s v="Home Decor"/>
    <n v="6544"/>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9C6F0-6B27-4712-B5D5-ABE5744D31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1:D85" firstHeaderRow="0" firstDataRow="1" firstDataCol="1"/>
  <pivotFields count="20">
    <pivotField dataField="1" showAll="0"/>
    <pivotField showAll="0"/>
    <pivotField showAll="0"/>
    <pivotField showAll="0"/>
    <pivotField axis="axisRow" showAll="0">
      <items count="24">
        <item x="7"/>
        <item x="1"/>
        <item x="8"/>
        <item x="4"/>
        <item x="12"/>
        <item x="11"/>
        <item x="20"/>
        <item x="13"/>
        <item x="19"/>
        <item x="17"/>
        <item x="6"/>
        <item x="2"/>
        <item x="3"/>
        <item x="18"/>
        <item x="5"/>
        <item x="9"/>
        <item x="15"/>
        <item x="16"/>
        <item x="0"/>
        <item x="21"/>
        <item x="14"/>
        <item x="10"/>
        <item x="22"/>
        <item t="default"/>
      </items>
    </pivotField>
    <pivotField showAll="0"/>
    <pivotField showAll="0"/>
    <pivotField showAll="0"/>
    <pivotField showAll="0">
      <items count="6">
        <item x="1"/>
        <item x="4"/>
        <item x="0"/>
        <item x="2"/>
        <item x="3"/>
        <item t="default"/>
      </items>
    </pivotField>
    <pivotField showAll="0"/>
    <pivotField showAll="0">
      <items count="3">
        <item x="1"/>
        <item x="0"/>
        <item t="default"/>
      </items>
    </pivotField>
    <pivotField numFmtId="3" showAll="0"/>
    <pivotField numFmtId="3" showAll="0"/>
    <pivotField dataField="1" numFmtId="3" showAll="0"/>
    <pivotField showAll="0"/>
    <pivotField showAll="0"/>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Count of CustomerID" fld="0" subtotal="count" baseField="0" baseItem="0"/>
    <dataField name="Sum of RFM_Monetar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8A991F-165F-42E2-B742-028DBB11362F}" name="Region-wis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4:C278" firstHeaderRow="0" firstDataRow="1" firstDataCol="1"/>
  <pivotFields count="20">
    <pivotField dataField="1" showAll="0"/>
    <pivotField showAll="0"/>
    <pivotField showAll="0"/>
    <pivotField showAll="0"/>
    <pivotField axis="axisRow" showAll="0">
      <items count="24">
        <item x="7"/>
        <item x="1"/>
        <item x="8"/>
        <item x="4"/>
        <item x="12"/>
        <item x="11"/>
        <item x="20"/>
        <item x="13"/>
        <item x="19"/>
        <item x="17"/>
        <item x="6"/>
        <item x="2"/>
        <item x="3"/>
        <item x="18"/>
        <item x="5"/>
        <item x="9"/>
        <item x="15"/>
        <item x="16"/>
        <item x="0"/>
        <item x="21"/>
        <item x="14"/>
        <item x="10"/>
        <item x="22"/>
        <item t="default"/>
      </items>
    </pivotField>
    <pivotField showAll="0"/>
    <pivotField showAll="0"/>
    <pivotField showAll="0"/>
    <pivotField showAll="0">
      <items count="6">
        <item x="1"/>
        <item x="4"/>
        <item x="0"/>
        <item x="2"/>
        <item x="3"/>
        <item t="default"/>
      </items>
    </pivotField>
    <pivotField showAll="0"/>
    <pivotField showAll="0">
      <items count="3">
        <item x="1"/>
        <item x="0"/>
        <item t="default"/>
      </items>
    </pivotField>
    <pivotField numFmtId="3" showAll="0"/>
    <pivotField numFmtId="3" showAll="0"/>
    <pivotField dataField="1" numFmtId="3" showAll="0"/>
    <pivotField showAll="0"/>
    <pivotField showAll="0"/>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Count of CustomerID" fld="0" subtotal="count" baseField="0" baseItem="0"/>
    <dataField name="Sum of RFM_Monetar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257472-F76C-4B30-9698-194A747ADE4D}" name="Customer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5:B230" firstHeaderRow="1" firstDataRow="1" firstDataCol="1"/>
  <pivotFields count="20">
    <pivotField dataField="1" showAll="0"/>
    <pivotField showAll="0"/>
    <pivotField showAll="0"/>
    <pivotField axis="axisRow" showAll="0">
      <items count="5">
        <item x="3"/>
        <item x="2"/>
        <item x="1"/>
        <item x="0"/>
        <item t="default"/>
      </items>
    </pivotField>
    <pivotField showAll="0">
      <items count="24">
        <item x="7"/>
        <item x="1"/>
        <item x="8"/>
        <item x="4"/>
        <item x="12"/>
        <item x="11"/>
        <item x="20"/>
        <item x="13"/>
        <item x="19"/>
        <item x="17"/>
        <item x="6"/>
        <item x="2"/>
        <item x="3"/>
        <item x="18"/>
        <item x="5"/>
        <item x="9"/>
        <item x="15"/>
        <item x="16"/>
        <item x="0"/>
        <item x="21"/>
        <item x="14"/>
        <item x="10"/>
        <item x="22"/>
        <item t="default"/>
      </items>
    </pivotField>
    <pivotField showAll="0"/>
    <pivotField showAll="0"/>
    <pivotField showAll="0"/>
    <pivotField showAll="0">
      <items count="6">
        <item x="1"/>
        <item x="4"/>
        <item x="0"/>
        <item x="2"/>
        <item x="3"/>
        <item t="default"/>
      </items>
    </pivotField>
    <pivotField showAll="0"/>
    <pivotField showAll="0">
      <items count="3">
        <item x="1"/>
        <item x="0"/>
        <item t="default"/>
      </items>
    </pivotField>
    <pivotField numFmtId="3" showAll="0"/>
    <pivotField numFmtId="3" showAll="0"/>
    <pivotField numFmtId="3"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CustomerID" fld="0" subtotal="count" baseField="0" baseItem="0"/>
  </dataField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 chart="2" format="13">
      <pivotArea type="data" outline="0" fieldPosition="0">
        <references count="2">
          <reference field="4294967294" count="1" selected="0">
            <x v="0"/>
          </reference>
          <reference field="3" count="1" selected="0">
            <x v="1"/>
          </reference>
        </references>
      </pivotArea>
    </chartFormat>
    <chartFormat chart="2" format="14">
      <pivotArea type="data" outline="0" fieldPosition="0">
        <references count="2">
          <reference field="4294967294" count="1" selected="0">
            <x v="0"/>
          </reference>
          <reference field="3" count="1" selected="0">
            <x v="2"/>
          </reference>
        </references>
      </pivotArea>
    </chartFormat>
    <chartFormat chart="2" format="1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8DBD11-6266-40B0-AE74-575A307B8613}" name="Revenue by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5:B221" firstHeaderRow="1" firstDataRow="1" firstDataCol="1"/>
  <pivotFields count="20">
    <pivotField showAll="0"/>
    <pivotField showAll="0"/>
    <pivotField showAll="0"/>
    <pivotField showAll="0"/>
    <pivotField showAll="0">
      <items count="24">
        <item x="7"/>
        <item x="1"/>
        <item x="8"/>
        <item x="4"/>
        <item x="12"/>
        <item x="11"/>
        <item x="20"/>
        <item x="13"/>
        <item x="19"/>
        <item x="17"/>
        <item x="6"/>
        <item x="2"/>
        <item x="3"/>
        <item x="18"/>
        <item x="5"/>
        <item x="9"/>
        <item x="15"/>
        <item x="16"/>
        <item x="0"/>
        <item x="21"/>
        <item x="14"/>
        <item x="10"/>
        <item x="22"/>
        <item t="default"/>
      </items>
    </pivotField>
    <pivotField showAll="0"/>
    <pivotField showAll="0"/>
    <pivotField showAll="0"/>
    <pivotField axis="axisRow" showAll="0">
      <items count="6">
        <item x="1"/>
        <item x="4"/>
        <item x="0"/>
        <item x="2"/>
        <item x="3"/>
        <item t="default"/>
      </items>
    </pivotField>
    <pivotField showAll="0"/>
    <pivotField showAll="0">
      <items count="3">
        <item x="1"/>
        <item x="0"/>
        <item t="default"/>
      </items>
    </pivotField>
    <pivotField numFmtId="3" showAll="0"/>
    <pivotField numFmtId="3" showAll="0"/>
    <pivotField dataField="1" numFmtId="3"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Sum of RFM_Monetary" fld="13"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DAFD70-66D5-439F-A2BB-1B453D389899}" name="Customers by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5:B211" firstHeaderRow="1" firstDataRow="1" firstDataCol="1"/>
  <pivotFields count="20">
    <pivotField dataField="1" showAll="0"/>
    <pivotField showAll="0"/>
    <pivotField showAll="0"/>
    <pivotField showAll="0"/>
    <pivotField showAll="0">
      <items count="24">
        <item x="7"/>
        <item x="1"/>
        <item x="8"/>
        <item x="4"/>
        <item x="12"/>
        <item x="11"/>
        <item x="20"/>
        <item x="13"/>
        <item x="19"/>
        <item x="17"/>
        <item x="6"/>
        <item x="2"/>
        <item x="3"/>
        <item x="18"/>
        <item x="5"/>
        <item x="9"/>
        <item x="15"/>
        <item x="16"/>
        <item x="0"/>
        <item x="21"/>
        <item x="14"/>
        <item x="10"/>
        <item x="22"/>
        <item t="default"/>
      </items>
    </pivotField>
    <pivotField showAll="0"/>
    <pivotField showAll="0"/>
    <pivotField showAll="0"/>
    <pivotField axis="axisRow" showAll="0">
      <items count="6">
        <item x="1"/>
        <item x="4"/>
        <item x="0"/>
        <item x="2"/>
        <item x="3"/>
        <item t="default"/>
      </items>
    </pivotField>
    <pivotField showAll="0"/>
    <pivotField showAll="0">
      <items count="3">
        <item x="1"/>
        <item x="0"/>
        <item t="default"/>
      </items>
    </pivotField>
    <pivotField numFmtId="3" showAll="0"/>
    <pivotField numFmtId="3" showAll="0"/>
    <pivotField numFmtId="3"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CustomerID"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128DC3-DC31-4F13-B8FE-DF4E47953640}"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38:B251" firstHeaderRow="1" firstDataRow="1" firstDataCol="1"/>
  <pivotFields count="7">
    <pivotField showAll="0"/>
    <pivotField showAll="0"/>
    <pivotField numFmtId="165" showAll="0">
      <items count="340">
        <item x="285"/>
        <item x="204"/>
        <item x="314"/>
        <item x="335"/>
        <item x="51"/>
        <item x="320"/>
        <item x="12"/>
        <item x="164"/>
        <item x="30"/>
        <item x="182"/>
        <item x="234"/>
        <item x="203"/>
        <item x="296"/>
        <item x="10"/>
        <item x="202"/>
        <item x="73"/>
        <item x="167"/>
        <item x="173"/>
        <item x="69"/>
        <item x="56"/>
        <item x="138"/>
        <item x="277"/>
        <item x="201"/>
        <item x="129"/>
        <item x="31"/>
        <item x="280"/>
        <item x="120"/>
        <item x="264"/>
        <item x="32"/>
        <item x="230"/>
        <item x="323"/>
        <item x="298"/>
        <item x="244"/>
        <item x="79"/>
        <item x="258"/>
        <item x="331"/>
        <item x="29"/>
        <item x="102"/>
        <item x="44"/>
        <item x="147"/>
        <item x="268"/>
        <item x="130"/>
        <item x="333"/>
        <item x="38"/>
        <item x="300"/>
        <item x="243"/>
        <item x="308"/>
        <item x="72"/>
        <item x="39"/>
        <item x="267"/>
        <item x="249"/>
        <item x="304"/>
        <item x="163"/>
        <item x="117"/>
        <item x="26"/>
        <item x="190"/>
        <item x="189"/>
        <item x="62"/>
        <item x="96"/>
        <item x="101"/>
        <item x="83"/>
        <item x="8"/>
        <item x="287"/>
        <item x="172"/>
        <item x="160"/>
        <item x="161"/>
        <item x="302"/>
        <item x="46"/>
        <item x="17"/>
        <item x="95"/>
        <item x="146"/>
        <item x="133"/>
        <item x="14"/>
        <item x="115"/>
        <item x="11"/>
        <item x="24"/>
        <item x="252"/>
        <item x="241"/>
        <item x="40"/>
        <item x="131"/>
        <item x="125"/>
        <item x="132"/>
        <item x="225"/>
        <item x="183"/>
        <item x="238"/>
        <item x="110"/>
        <item x="194"/>
        <item x="112"/>
        <item x="169"/>
        <item x="23"/>
        <item x="28"/>
        <item x="227"/>
        <item x="153"/>
        <item x="242"/>
        <item x="100"/>
        <item x="174"/>
        <item x="121"/>
        <item x="214"/>
        <item x="80"/>
        <item x="77"/>
        <item x="181"/>
        <item x="231"/>
        <item x="90"/>
        <item x="21"/>
        <item x="61"/>
        <item x="310"/>
        <item x="52"/>
        <item x="253"/>
        <item x="152"/>
        <item x="229"/>
        <item x="27"/>
        <item x="224"/>
        <item x="22"/>
        <item x="78"/>
        <item x="327"/>
        <item x="292"/>
        <item x="84"/>
        <item x="176"/>
        <item x="187"/>
        <item x="216"/>
        <item x="305"/>
        <item x="7"/>
        <item x="255"/>
        <item x="313"/>
        <item x="15"/>
        <item x="219"/>
        <item x="325"/>
        <item x="186"/>
        <item x="307"/>
        <item x="143"/>
        <item x="281"/>
        <item x="25"/>
        <item x="37"/>
        <item x="191"/>
        <item x="336"/>
        <item x="20"/>
        <item x="50"/>
        <item x="33"/>
        <item x="207"/>
        <item x="68"/>
        <item x="134"/>
        <item x="290"/>
        <item x="119"/>
        <item x="148"/>
        <item x="185"/>
        <item x="175"/>
        <item x="218"/>
        <item x="200"/>
        <item x="247"/>
        <item x="86"/>
        <item x="41"/>
        <item x="66"/>
        <item x="81"/>
        <item x="215"/>
        <item x="269"/>
        <item x="145"/>
        <item x="208"/>
        <item x="179"/>
        <item x="274"/>
        <item x="338"/>
        <item x="48"/>
        <item x="220"/>
        <item x="157"/>
        <item x="111"/>
        <item x="53"/>
        <item x="103"/>
        <item x="254"/>
        <item x="75"/>
        <item x="168"/>
        <item x="5"/>
        <item x="57"/>
        <item x="170"/>
        <item x="63"/>
        <item x="291"/>
        <item x="64"/>
        <item x="159"/>
        <item x="237"/>
        <item x="324"/>
        <item x="2"/>
        <item x="45"/>
        <item x="256"/>
        <item x="158"/>
        <item x="171"/>
        <item x="332"/>
        <item x="239"/>
        <item x="260"/>
        <item x="76"/>
        <item x="288"/>
        <item x="3"/>
        <item x="306"/>
        <item x="199"/>
        <item x="315"/>
        <item x="144"/>
        <item x="248"/>
        <item x="330"/>
        <item x="19"/>
        <item x="198"/>
        <item x="279"/>
        <item x="236"/>
        <item x="104"/>
        <item x="49"/>
        <item x="228"/>
        <item x="166"/>
        <item x="127"/>
        <item x="141"/>
        <item x="178"/>
        <item x="263"/>
        <item x="94"/>
        <item x="188"/>
        <item x="88"/>
        <item x="299"/>
        <item x="89"/>
        <item x="114"/>
        <item x="206"/>
        <item x="162"/>
        <item x="126"/>
        <item x="13"/>
        <item x="67"/>
        <item x="192"/>
        <item x="328"/>
        <item x="235"/>
        <item x="205"/>
        <item x="209"/>
        <item x="316"/>
        <item x="245"/>
        <item x="106"/>
        <item x="16"/>
        <item x="9"/>
        <item x="118"/>
        <item x="93"/>
        <item x="70"/>
        <item x="123"/>
        <item x="6"/>
        <item x="312"/>
        <item x="196"/>
        <item x="140"/>
        <item x="286"/>
        <item x="295"/>
        <item x="261"/>
        <item x="122"/>
        <item x="165"/>
        <item x="193"/>
        <item x="18"/>
        <item x="91"/>
        <item x="142"/>
        <item x="150"/>
        <item x="155"/>
        <item x="42"/>
        <item x="240"/>
        <item x="317"/>
        <item x="284"/>
        <item x="221"/>
        <item x="71"/>
        <item x="36"/>
        <item x="250"/>
        <item x="226"/>
        <item x="232"/>
        <item x="322"/>
        <item x="195"/>
        <item x="137"/>
        <item x="34"/>
        <item x="35"/>
        <item x="257"/>
        <item x="108"/>
        <item x="97"/>
        <item x="43"/>
        <item x="318"/>
        <item x="329"/>
        <item x="154"/>
        <item x="297"/>
        <item x="259"/>
        <item x="1"/>
        <item x="59"/>
        <item x="266"/>
        <item x="303"/>
        <item x="251"/>
        <item x="135"/>
        <item x="309"/>
        <item x="265"/>
        <item x="82"/>
        <item x="222"/>
        <item x="105"/>
        <item x="217"/>
        <item x="139"/>
        <item x="210"/>
        <item x="47"/>
        <item x="60"/>
        <item x="337"/>
        <item x="109"/>
        <item x="283"/>
        <item x="128"/>
        <item x="65"/>
        <item x="197"/>
        <item x="276"/>
        <item x="334"/>
        <item x="55"/>
        <item x="212"/>
        <item x="151"/>
        <item x="113"/>
        <item x="262"/>
        <item x="4"/>
        <item x="107"/>
        <item x="301"/>
        <item x="116"/>
        <item x="136"/>
        <item x="177"/>
        <item x="156"/>
        <item x="233"/>
        <item x="246"/>
        <item x="92"/>
        <item x="180"/>
        <item x="0"/>
        <item x="275"/>
        <item x="270"/>
        <item x="184"/>
        <item x="321"/>
        <item x="98"/>
        <item x="273"/>
        <item x="326"/>
        <item x="319"/>
        <item x="278"/>
        <item x="54"/>
        <item x="58"/>
        <item x="213"/>
        <item x="87"/>
        <item x="211"/>
        <item x="149"/>
        <item x="311"/>
        <item x="289"/>
        <item x="293"/>
        <item x="223"/>
        <item x="85"/>
        <item x="99"/>
        <item x="272"/>
        <item x="124"/>
        <item x="282"/>
        <item x="271"/>
        <item x="294"/>
        <item x="74"/>
        <item t="default"/>
      </items>
    </pivotField>
    <pivotField showAll="0"/>
    <pivotField dataField="1" showAll="0"/>
    <pivotField showAll="0"/>
    <pivotField axis="axisRow" showAll="0" sortType="ascending">
      <items count="25">
        <item x="7"/>
        <item x="10"/>
        <item x="6"/>
        <item x="9"/>
        <item x="5"/>
        <item x="11"/>
        <item x="2"/>
        <item x="8"/>
        <item x="4"/>
        <item x="1"/>
        <item x="3"/>
        <item x="0"/>
        <item m="1" x="12"/>
        <item m="1" x="18"/>
        <item m="1" x="15"/>
        <item m="1" x="22"/>
        <item m="1" x="21"/>
        <item m="1" x="17"/>
        <item m="1" x="19"/>
        <item m="1" x="13"/>
        <item m="1" x="20"/>
        <item m="1" x="14"/>
        <item m="1" x="16"/>
        <item m="1" x="2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Amount (INR)" fld="4" baseField="0" baseItem="0"/>
  </dataField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Region" xr10:uid="{C7A66D0B-DA89-49B6-81E0-E8DB9D4C9F90}" sourceName="City/Region">
  <pivotTables>
    <pivotTable tabId="6" name="Revenue by Segment"/>
    <pivotTable tabId="1" name="PivotTable2"/>
    <pivotTable tabId="6" name="Customer Distribution"/>
    <pivotTable tabId="6" name="Customers by Segment"/>
    <pivotTable tabId="6" name="Region-wise Analysis"/>
  </pivotTables>
  <data>
    <tabular pivotCacheId="2034540651">
      <items count="23">
        <i x="7" s="1"/>
        <i x="1" s="1"/>
        <i x="8" s="1"/>
        <i x="4" s="1"/>
        <i x="12" s="1"/>
        <i x="11" s="1"/>
        <i x="20" s="1"/>
        <i x="13" s="1"/>
        <i x="19" s="1"/>
        <i x="17" s="1"/>
        <i x="6" s="1"/>
        <i x="2" s="1"/>
        <i x="3" s="1"/>
        <i x="18" s="1"/>
        <i x="5" s="1"/>
        <i x="9" s="1"/>
        <i x="15" s="1"/>
        <i x="16" s="1"/>
        <i x="0" s="1"/>
        <i x="21" s="1"/>
        <i x="14" s="1"/>
        <i x="10" s="1"/>
        <i x="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167B992C-F414-4C73-8F1F-6C377AD966A1}" sourceName="CustomerSegment">
  <pivotTables>
    <pivotTable tabId="6" name="Revenue by Segment"/>
    <pivotTable tabId="1" name="PivotTable2"/>
    <pivotTable tabId="6" name="Customer Distribution"/>
    <pivotTable tabId="6" name="Customers by Segment"/>
    <pivotTable tabId="6" name="Region-wise Analysis"/>
  </pivotTables>
  <data>
    <tabular pivotCacheId="2034540651">
      <items count="5">
        <i x="1"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Channel" xr10:uid="{D584E718-9DEF-40EA-8C4D-2CD0051A6383}" sourceName="PurchaseChannel">
  <pivotTables>
    <pivotTable tabId="6" name="Revenue by Segment"/>
    <pivotTable tabId="1" name="PivotTable2"/>
    <pivotTable tabId="6" name="Customer Distribution"/>
    <pivotTable tabId="6" name="Customers by Segment"/>
    <pivotTable tabId="6" name="Region-wise Analysis"/>
  </pivotTables>
  <data>
    <tabular pivotCacheId="20345406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Region" xr10:uid="{25A6855F-83BA-431C-ADC6-E96A31F8E368}" cache="Slicer_City_Region" caption="City/Region" startItem="6" rowHeight="234950"/>
  <slicer name="CustomerSegment" xr10:uid="{EB0AEFB2-555F-44FD-9DB5-D436F8584F7C}" cache="Slicer_CustomerSegment" caption="CustomerSegment" rowHeight="234950"/>
  <slicer name="PurchaseChannel" xr10:uid="{3C44280C-72D3-4474-8971-B05FA7F91BFC}" cache="Slicer_PurchaseChannel" caption="Purchase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Customers" displayName="tblCustomers" ref="A2:N202" totalsRowShown="0">
  <autoFilter ref="A2:N202" xr:uid="{00000000-0009-0000-0100-000002000000}"/>
  <tableColumns count="14">
    <tableColumn id="1" xr3:uid="{00000000-0010-0000-0000-000001000000}" name="CustomerID"/>
    <tableColumn id="2" xr3:uid="{00000000-0010-0000-0000-000002000000}" name="Name"/>
    <tableColumn id="3" xr3:uid="{00000000-0010-0000-0000-000003000000}" name="Gender"/>
    <tableColumn id="4" xr3:uid="{00000000-0010-0000-0000-000004000000}" name="Age"/>
    <tableColumn id="5" xr3:uid="{00000000-0010-0000-0000-000005000000}" name="City/Region"/>
    <tableColumn id="6" xr3:uid="{00000000-0010-0000-0000-000006000000}" name="IncomeRange"/>
    <tableColumn id="7" xr3:uid="{00000000-0010-0000-0000-000007000000}" name="Occupation"/>
    <tableColumn id="8" xr3:uid="{00000000-0010-0000-0000-000008000000}" name="JoinDate"/>
    <tableColumn id="9" xr3:uid="{00000000-0010-0000-0000-000009000000}" name="PurchaseChannel"/>
    <tableColumn id="10" xr3:uid="{00000000-0010-0000-0000-00000A000000}" name="CustomerType"/>
    <tableColumn id="11" xr3:uid="{00000000-0010-0000-0000-00000B000000}" name="EngagementLevel"/>
    <tableColumn id="12" xr3:uid="{00000000-0010-0000-0000-00000C000000}" name="DiscountSensitivity"/>
    <tableColumn id="13" xr3:uid="{00000000-0010-0000-0000-00000D000000}" name="LastPurchaseDate"/>
    <tableColumn id="14" xr3:uid="{B2138FC7-7C4F-426A-903B-0C127D4AF867}" name="—"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blSurvey" displayName="tblSurvey" ref="V2:Z202" totalsRowShown="0">
  <autoFilter ref="V2:Z202" xr:uid="{00000000-0009-0000-0100-000006000000}"/>
  <tableColumns count="5">
    <tableColumn id="1" xr3:uid="{00000000-0010-0000-0100-000001000000}" name="SurveyID"/>
    <tableColumn id="2" xr3:uid="{00000000-0010-0000-0100-000002000000}" name="CustomerID"/>
    <tableColumn id="3" xr3:uid="{00000000-0010-0000-0100-000003000000}" name="Satisfaction"/>
    <tableColumn id="4" xr3:uid="{00000000-0010-0000-0100-000004000000}" name="PreferredChannel"/>
    <tableColumn id="5" xr3:uid="{00000000-0010-0000-0100-000005000000}" name="RecommendationLikelihood"/>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blTransactions" displayName="tblTransactions" ref="O2:U1046" totalsRowShown="0">
  <autoFilter ref="O2:U1046" xr:uid="{00000000-0009-0000-0100-000007000000}"/>
  <tableColumns count="7">
    <tableColumn id="1" xr3:uid="{00000000-0010-0000-0200-000001000000}" name="TransactionID"/>
    <tableColumn id="2" xr3:uid="{00000000-0010-0000-0200-000002000000}" name="CustomerID"/>
    <tableColumn id="3" xr3:uid="{00000000-0010-0000-0200-000003000000}" name="Date"/>
    <tableColumn id="4" xr3:uid="{00000000-0010-0000-0200-000004000000}" name="ProductCategory"/>
    <tableColumn id="5" xr3:uid="{00000000-0010-0000-0200-000005000000}" name="Amount (INR)"/>
    <tableColumn id="6" xr3:uid="{272BC72C-5924-4BDE-9068-A8D66FB087CE}" name="—" dataDxfId="7"/>
    <tableColumn id="7" xr3:uid="{19905909-B177-4A52-8BA6-40D5289130B0}" name="TxnMonth" dataDxfId="6">
      <calculatedColumnFormula>TEXT(tblTransactions[[#This Row],[Date]],"YYYY-MM")</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blClean" displayName="tblClean" ref="A2:S202" totalsRowShown="0">
  <autoFilter ref="A2:S202" xr:uid="{00000000-0009-0000-0100-000001000000}"/>
  <tableColumns count="19">
    <tableColumn id="1" xr3:uid="{00000000-0010-0000-0300-000001000000}" name="CustomerID"/>
    <tableColumn id="2" xr3:uid="{00000000-0010-0000-0300-000002000000}" name="Name (Cleaned)"/>
    <tableColumn id="3" xr3:uid="{00000000-0010-0000-0300-000003000000}" name="Gender"/>
    <tableColumn id="4" xr3:uid="{00000000-0010-0000-0300-000004000000}" name="Age"/>
    <tableColumn id="5" xr3:uid="{00000000-0010-0000-0300-000005000000}" name="City/Region (Cleaned)"/>
    <tableColumn id="6" xr3:uid="{00000000-0010-0000-0300-000006000000}" name="IncomeRange"/>
    <tableColumn id="7" xr3:uid="{00000000-0010-0000-0300-000007000000}" name="Occupation (Cleaned)"/>
    <tableColumn id="8" xr3:uid="{00000000-0010-0000-0300-000008000000}" name="JoinDate"/>
    <tableColumn id="9" xr3:uid="{00000000-0010-0000-0300-000009000000}" name="PurchaseChannel"/>
    <tableColumn id="10" xr3:uid="{00000000-0010-0000-0300-00000A000000}" name="CustomerType"/>
    <tableColumn id="11" xr3:uid="{00000000-0010-0000-0300-00000B000000}" name="EngagementLevel"/>
    <tableColumn id="12" xr3:uid="{00000000-0010-0000-0300-00000C000000}" name="DiscountSensitivity"/>
    <tableColumn id="13" xr3:uid="{00000000-0010-0000-0300-00000D000000}" name="LastPurchaseDate"/>
    <tableColumn id="14" xr3:uid="{00000000-0010-0000-0300-00000E000000}" name="AgeGroup"/>
    <tableColumn id="15" xr3:uid="{00000000-0010-0000-0300-00000F000000}" name="IncomeBracket"/>
    <tableColumn id="16" xr3:uid="{00000000-0010-0000-0300-000010000000}" name="DayOfJoin"/>
    <tableColumn id="17" xr3:uid="{00000000-0010-0000-0300-000011000000}" name="IsWeekend_Join"/>
    <tableColumn id="18" xr3:uid="{00000000-0010-0000-0300-000012000000}" name="MonthsAsCustomer"/>
    <tableColumn id="19" xr3:uid="{00000000-0010-0000-0300-000013000000}" name="DataFlag"/>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blRFM" displayName="tblRFM" ref="A2:U202" totalsRowShown="0">
  <autoFilter ref="A2:U202" xr:uid="{00000000-0009-0000-0100-000004000000}"/>
  <tableColumns count="21">
    <tableColumn id="1" xr3:uid="{00000000-0010-0000-0400-000001000000}" name="CustomerID"/>
    <tableColumn id="2" xr3:uid="{00000000-0010-0000-0400-000002000000}" name="Name"/>
    <tableColumn id="3" xr3:uid="{00000000-0010-0000-0400-000003000000}" name="City/Region"/>
    <tableColumn id="4" xr3:uid="{00000000-0010-0000-0400-000004000000}" name="CustomerType"/>
    <tableColumn id="5" xr3:uid="{00000000-0010-0000-0400-000005000000}" name="EngagementLevel"/>
    <tableColumn id="6" xr3:uid="{00000000-0010-0000-0400-000006000000}" name="RFM_Recency"/>
    <tableColumn id="7" xr3:uid="{00000000-0010-0000-0400-000007000000}" name="RFM_Frequency"/>
    <tableColumn id="8" xr3:uid="{00000000-0010-0000-0400-000008000000}" name="RFM_Monetary"/>
    <tableColumn id="9" xr3:uid="{00000000-0010-0000-0400-000009000000}" name="R_Score"/>
    <tableColumn id="10" xr3:uid="{00000000-0010-0000-0400-00000A000000}" name="F_Score"/>
    <tableColumn id="11" xr3:uid="{00000000-0010-0000-0400-00000B000000}" name="M_Score"/>
    <tableColumn id="12" xr3:uid="{00000000-0010-0000-0400-00000C000000}" name="RFM_Score"/>
    <tableColumn id="13" xr3:uid="{00000000-0010-0000-0400-00000D000000}" name="Satisfaction"/>
    <tableColumn id="14" xr3:uid="{00000000-0010-0000-0400-00000E000000}" name="RecommendationLikelihood"/>
    <tableColumn id="15" xr3:uid="{00000000-0010-0000-0400-00000F000000}" name="SatisfactionIndex"/>
    <tableColumn id="16" xr3:uid="{00000000-0010-0000-0400-000010000000}" name="AgeGroup"/>
    <tableColumn id="17" xr3:uid="{00000000-0010-0000-0400-000011000000}" name="IncomeBracket"/>
    <tableColumn id="18" xr3:uid="{00000000-0010-0000-0400-000012000000}" name="EngagementFlag"/>
    <tableColumn id="19" xr3:uid="{00000000-0010-0000-0400-000013000000}" name="ValueFlag"/>
    <tableColumn id="20" xr3:uid="{00000000-0010-0000-0400-000014000000}" name="CustomerSegment"/>
    <tableColumn id="21" xr3:uid="{00000000-0010-0000-0400-000015000000}" name="ProductPreferenc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blFinal" displayName="tblFinal" ref="A2:T202" totalsRowShown="0">
  <autoFilter ref="A2:T202" xr:uid="{00000000-0009-0000-0100-000003000000}"/>
  <tableColumns count="20">
    <tableColumn id="1" xr3:uid="{00000000-0010-0000-0500-000001000000}" name="CustomerID"/>
    <tableColumn id="2" xr3:uid="{00000000-0010-0000-0500-000002000000}" name="Name"/>
    <tableColumn id="3" xr3:uid="{00000000-0010-0000-0500-000003000000}" name="Gender"/>
    <tableColumn id="4" xr3:uid="{00000000-0010-0000-0500-000004000000}" name="AgeGroup"/>
    <tableColumn id="5" xr3:uid="{00000000-0010-0000-0500-000005000000}" name="City/Region"/>
    <tableColumn id="6" xr3:uid="{00000000-0010-0000-0500-000006000000}" name="IncomeBracket"/>
    <tableColumn id="7" xr3:uid="{00000000-0010-0000-0500-000007000000}" name="CustomerType"/>
    <tableColumn id="8" xr3:uid="{00000000-0010-0000-0500-000008000000}" name="EngagementLevel"/>
    <tableColumn id="9" xr3:uid="{00000000-0010-0000-0500-000009000000}" name="CustomerSegment"/>
    <tableColumn id="10" xr3:uid="{00000000-0010-0000-0500-00000A000000}" name="ProductPreference"/>
    <tableColumn id="11" xr3:uid="{00000000-0010-0000-0500-00000B000000}" name="PurchaseChannel"/>
    <tableColumn id="12" xr3:uid="{00000000-0010-0000-0500-00000C000000}" name="RFM_Recency"/>
    <tableColumn id="13" xr3:uid="{00000000-0010-0000-0500-00000D000000}" name="RFM_Frequency"/>
    <tableColumn id="14" xr3:uid="{00000000-0010-0000-0500-00000E000000}" name="RFM_Monetary"/>
    <tableColumn id="15" xr3:uid="{00000000-0010-0000-0500-00000F000000}" name="RFM_Score"/>
    <tableColumn id="16" xr3:uid="{00000000-0010-0000-0500-000010000000}" name="SatisfactionIndex"/>
    <tableColumn id="17" xr3:uid="{00000000-0010-0000-0500-000011000000}" name="Satisfaction"/>
    <tableColumn id="18" xr3:uid="{00000000-0010-0000-0500-000012000000}" name="RecommendationLikelihood"/>
    <tableColumn id="19" xr3:uid="{00000000-0010-0000-0500-000013000000}" name="TotalTransactions"/>
    <tableColumn id="20" xr3:uid="{00000000-0010-0000-0500-000014000000}" name="DiscountSensitivity"/>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tblSegments" displayName="tblSegments" ref="A2:C7" totalsRowShown="0">
  <autoFilter ref="A2:C7" xr:uid="{00000000-0009-0000-0100-000005000000}"/>
  <tableColumns count="3">
    <tableColumn id="1" xr3:uid="{00000000-0010-0000-0600-000001000000}" name="SegmentName"/>
    <tableColumn id="2" xr3:uid="{00000000-0010-0000-0600-000002000000}" name="CriteriaDescription"/>
    <tableColumn id="3" xr3:uid="{00000000-0010-0000-0600-000003000000}" name="Color Cod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FBA627B-EE09-4A54-B6F4-FEABF02BB8C6}" sourceName="Date">
  <pivotTables>
    <pivotTable tabId="6" name="PivotTable1"/>
  </pivotTables>
  <state minimalRefreshVersion="6" lastRefreshVersion="6" pivotCacheId="211789184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0A38D8F-8DD9-4806-812A-C8DDCFFE8FB0}" cache="NativeTimeline_Date" caption="Date" level="2" selectionLevel="2" scrollPosition="2025-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E6BBC92-0A20-4D5A-82C8-AEAD026614E9}">
  <we:reference id="wa200009404" version="1.0.0.8" store="en-US" storeType="OMEX"/>
  <we:alternateReferences>
    <we:reference id="wa200009404" version="1.0.0.8" store="" storeType="OMEX"/>
  </we:alternateReferences>
  <we:properties>
    <we:property name="claude.fileId" value="&quot;9ae2f461-12f2-487d-8f66-22aa823088d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table" Target="../tables/table6.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S85"/>
  <sheetViews>
    <sheetView showGridLines="0" tabSelected="1" topLeftCell="A5" zoomScale="70" zoomScaleNormal="70" workbookViewId="0">
      <selection activeCell="U36" sqref="U36"/>
    </sheetView>
  </sheetViews>
  <sheetFormatPr defaultColWidth="8.6640625" defaultRowHeight="14.4" x14ac:dyDescent="0.3"/>
  <cols>
    <col min="1" max="1" width="2" style="1" customWidth="1"/>
    <col min="2" max="2" width="14.44140625" style="1" bestFit="1" customWidth="1"/>
    <col min="3" max="3" width="18.88671875" style="1" bestFit="1" customWidth="1"/>
    <col min="4" max="4" width="21.109375" style="1" bestFit="1" customWidth="1"/>
    <col min="5" max="15" width="14" style="1" customWidth="1"/>
    <col min="16" max="16" width="2" style="1" customWidth="1"/>
    <col min="17" max="19" width="14" style="1" customWidth="1"/>
  </cols>
  <sheetData>
    <row r="1" spans="2:15" ht="6" customHeight="1" x14ac:dyDescent="0.3"/>
    <row r="2" spans="2:15" ht="36" customHeight="1" x14ac:dyDescent="0.3">
      <c r="B2" s="73" t="s">
        <v>0</v>
      </c>
      <c r="C2" s="73"/>
      <c r="D2" s="73"/>
      <c r="E2" s="73"/>
      <c r="F2" s="73"/>
      <c r="G2" s="73"/>
      <c r="H2" s="73"/>
      <c r="I2" s="73"/>
      <c r="J2" s="73"/>
      <c r="K2" s="73"/>
      <c r="L2" s="73"/>
      <c r="M2" s="73"/>
      <c r="N2" s="73"/>
      <c r="O2" s="73"/>
    </row>
    <row r="3" spans="2:15" ht="6" customHeight="1" x14ac:dyDescent="0.3"/>
    <row r="4" spans="2:15" ht="13.5" customHeight="1" x14ac:dyDescent="0.3">
      <c r="B4" s="74" t="s">
        <v>1</v>
      </c>
      <c r="C4" s="74"/>
      <c r="D4" s="74" t="s">
        <v>2</v>
      </c>
      <c r="E4" s="74"/>
      <c r="F4" s="75" t="s">
        <v>3</v>
      </c>
      <c r="G4" s="75"/>
      <c r="H4" s="76" t="s">
        <v>4</v>
      </c>
      <c r="I4" s="76"/>
      <c r="J4" s="77" t="s">
        <v>5</v>
      </c>
      <c r="K4" s="77"/>
      <c r="L4" s="78" t="s">
        <v>6</v>
      </c>
      <c r="M4" s="78"/>
      <c r="N4" s="79" t="s">
        <v>7</v>
      </c>
      <c r="O4" s="79"/>
    </row>
    <row r="5" spans="2:15" ht="39.75" customHeight="1" x14ac:dyDescent="0.3">
      <c r="B5" s="68">
        <f>'KPI Summary'!B3</f>
        <v>200</v>
      </c>
      <c r="C5" s="68"/>
      <c r="D5" s="69">
        <f>'KPI Summary'!B11</f>
        <v>10038773</v>
      </c>
      <c r="E5" s="69"/>
      <c r="F5" s="70">
        <f>'KPI Summary'!B12</f>
        <v>9615.6829501915709</v>
      </c>
      <c r="G5" s="70"/>
      <c r="H5" s="71">
        <f>'KPI Summary'!B24</f>
        <v>0.57499999999999996</v>
      </c>
      <c r="I5" s="71"/>
      <c r="J5" s="94">
        <f ca="1">'KPI Summary'!B33</f>
        <v>38</v>
      </c>
      <c r="K5" s="94"/>
      <c r="L5" s="93">
        <f ca="1">'KPI Summary'!B27</f>
        <v>17</v>
      </c>
      <c r="M5" s="93"/>
      <c r="N5" s="80">
        <f>'KPI Summary'!B42</f>
        <v>3.1862499999999998</v>
      </c>
      <c r="O5" s="80"/>
    </row>
    <row r="6" spans="2:15" ht="30" customHeight="1" x14ac:dyDescent="0.3">
      <c r="B6" s="81"/>
      <c r="C6" s="81"/>
      <c r="D6" s="81"/>
      <c r="E6" s="81"/>
      <c r="F6" s="82"/>
      <c r="G6" s="82"/>
      <c r="H6" s="83"/>
      <c r="I6" s="83"/>
      <c r="J6" s="84"/>
      <c r="K6" s="84"/>
      <c r="L6" s="66"/>
      <c r="M6" s="66"/>
      <c r="N6" s="67"/>
      <c r="O6" s="67"/>
    </row>
    <row r="7" spans="2:15" ht="9.75" customHeight="1" x14ac:dyDescent="0.3"/>
    <row r="8" spans="2:15" ht="9.75" customHeight="1" x14ac:dyDescent="0.3"/>
    <row r="9" spans="2:15" ht="21.75" customHeight="1" x14ac:dyDescent="0.3">
      <c r="B9" s="60" t="s">
        <v>8</v>
      </c>
      <c r="C9" s="60"/>
      <c r="D9" s="60"/>
      <c r="E9" s="60"/>
      <c r="F9" s="60"/>
      <c r="G9" s="60"/>
      <c r="H9" s="60"/>
      <c r="I9" s="60"/>
      <c r="J9" s="60"/>
      <c r="K9" s="60"/>
      <c r="L9" s="60"/>
      <c r="M9" s="60"/>
      <c r="N9" s="60"/>
      <c r="O9" s="60"/>
    </row>
    <row r="10" spans="2:15" ht="18" customHeight="1" x14ac:dyDescent="0.3">
      <c r="B10" s="61" t="s">
        <v>9</v>
      </c>
      <c r="C10" s="61"/>
      <c r="D10" s="61"/>
      <c r="E10" s="61"/>
      <c r="F10" s="61"/>
      <c r="G10" s="61"/>
      <c r="H10" s="61"/>
      <c r="I10" s="61" t="s">
        <v>10</v>
      </c>
      <c r="J10" s="61"/>
      <c r="K10" s="61"/>
      <c r="L10" s="61"/>
      <c r="M10" s="61"/>
      <c r="N10" s="61"/>
      <c r="O10" s="61"/>
    </row>
    <row r="11" spans="2:15" ht="18" customHeight="1" x14ac:dyDescent="0.3">
      <c r="B11" s="61"/>
      <c r="C11" s="61"/>
      <c r="D11" s="61"/>
      <c r="E11" s="61"/>
      <c r="F11" s="61"/>
      <c r="G11" s="61"/>
      <c r="H11" s="61"/>
      <c r="I11" s="61"/>
      <c r="J11" s="61"/>
      <c r="K11" s="61"/>
      <c r="L11" s="61"/>
      <c r="M11" s="61"/>
      <c r="N11" s="61"/>
      <c r="O11" s="61"/>
    </row>
    <row r="12" spans="2:15" ht="18" customHeight="1" x14ac:dyDescent="0.3">
      <c r="B12" s="61"/>
      <c r="C12" s="61"/>
      <c r="D12" s="61"/>
      <c r="E12" s="61"/>
      <c r="F12" s="61"/>
      <c r="G12" s="61"/>
      <c r="H12" s="61"/>
      <c r="I12" s="61"/>
      <c r="J12" s="61"/>
      <c r="K12" s="61"/>
      <c r="L12" s="61"/>
      <c r="M12" s="61"/>
      <c r="N12" s="61"/>
      <c r="O12" s="61"/>
    </row>
    <row r="13" spans="2:15" ht="18" customHeight="1" x14ac:dyDescent="0.3">
      <c r="B13" s="61"/>
      <c r="C13" s="61"/>
      <c r="D13" s="61"/>
      <c r="E13" s="61"/>
      <c r="F13" s="61"/>
      <c r="G13" s="61"/>
      <c r="H13" s="61"/>
      <c r="I13" s="61"/>
      <c r="J13" s="61"/>
      <c r="K13" s="61"/>
      <c r="L13" s="61"/>
      <c r="M13" s="61"/>
      <c r="N13" s="61"/>
      <c r="O13" s="61"/>
    </row>
    <row r="14" spans="2:15" ht="18" customHeight="1" x14ac:dyDescent="0.3">
      <c r="B14" s="61"/>
      <c r="C14" s="61"/>
      <c r="D14" s="61"/>
      <c r="E14" s="61"/>
      <c r="F14" s="61"/>
      <c r="G14" s="61"/>
      <c r="H14" s="61"/>
      <c r="I14" s="61"/>
      <c r="J14" s="61"/>
      <c r="K14" s="61"/>
      <c r="L14" s="61"/>
      <c r="M14" s="61"/>
      <c r="N14" s="61"/>
      <c r="O14" s="61"/>
    </row>
    <row r="15" spans="2:15" ht="18" customHeight="1" x14ac:dyDescent="0.3">
      <c r="B15" s="61"/>
      <c r="C15" s="61"/>
      <c r="D15" s="61"/>
      <c r="E15" s="61"/>
      <c r="F15" s="61"/>
      <c r="G15" s="61"/>
      <c r="H15" s="61"/>
      <c r="I15" s="61"/>
      <c r="J15" s="61"/>
      <c r="K15" s="61"/>
      <c r="L15" s="61"/>
      <c r="M15" s="61"/>
      <c r="N15" s="61"/>
      <c r="O15" s="61"/>
    </row>
    <row r="16" spans="2:15" ht="18" customHeight="1" x14ac:dyDescent="0.3">
      <c r="B16" s="61"/>
      <c r="C16" s="61"/>
      <c r="D16" s="61"/>
      <c r="E16" s="61"/>
      <c r="F16" s="61"/>
      <c r="G16" s="61"/>
      <c r="H16" s="61"/>
      <c r="I16" s="61"/>
      <c r="J16" s="61"/>
      <c r="K16" s="61"/>
      <c r="L16" s="61"/>
      <c r="M16" s="61"/>
      <c r="N16" s="61"/>
      <c r="O16" s="61"/>
    </row>
    <row r="17" spans="2:18" ht="18" customHeight="1" x14ac:dyDescent="0.3">
      <c r="B17" s="61"/>
      <c r="C17" s="61"/>
      <c r="D17" s="61"/>
      <c r="E17" s="61"/>
      <c r="F17" s="61"/>
      <c r="G17" s="61"/>
      <c r="H17" s="61"/>
      <c r="I17" s="61"/>
      <c r="J17" s="61"/>
      <c r="K17" s="61"/>
      <c r="L17" s="61"/>
      <c r="M17" s="61"/>
      <c r="N17" s="61"/>
      <c r="O17" s="61"/>
    </row>
    <row r="18" spans="2:18" ht="18" customHeight="1" x14ac:dyDescent="0.3">
      <c r="B18" s="61"/>
      <c r="C18" s="61"/>
      <c r="D18" s="61"/>
      <c r="E18" s="61"/>
      <c r="F18" s="61"/>
      <c r="G18" s="61"/>
      <c r="H18" s="61"/>
      <c r="I18" s="61"/>
      <c r="J18" s="61"/>
      <c r="K18" s="61"/>
      <c r="L18" s="61"/>
      <c r="M18" s="61"/>
      <c r="N18" s="61"/>
      <c r="O18" s="61"/>
    </row>
    <row r="19" spans="2:18" ht="18" customHeight="1" x14ac:dyDescent="0.3">
      <c r="B19" s="61"/>
      <c r="C19" s="61"/>
      <c r="D19" s="61"/>
      <c r="E19" s="61"/>
      <c r="F19" s="61"/>
      <c r="G19" s="61"/>
      <c r="H19" s="61"/>
      <c r="I19" s="61"/>
      <c r="J19" s="61"/>
      <c r="K19" s="61"/>
      <c r="L19" s="61"/>
      <c r="M19" s="61"/>
      <c r="N19" s="61"/>
      <c r="O19" s="61"/>
    </row>
    <row r="20" spans="2:18" ht="18" customHeight="1" x14ac:dyDescent="0.3">
      <c r="B20" s="61"/>
      <c r="C20" s="61"/>
      <c r="D20" s="61"/>
      <c r="E20" s="61"/>
      <c r="F20" s="61"/>
      <c r="G20" s="61"/>
      <c r="H20" s="61"/>
      <c r="I20" s="61"/>
      <c r="J20" s="61"/>
      <c r="K20" s="61"/>
      <c r="L20" s="61"/>
      <c r="M20" s="61"/>
      <c r="N20" s="61"/>
      <c r="O20" s="61"/>
    </row>
    <row r="21" spans="2:18" ht="18" customHeight="1" x14ac:dyDescent="0.3">
      <c r="B21" s="61"/>
      <c r="C21" s="61"/>
      <c r="D21" s="61"/>
      <c r="E21" s="61"/>
      <c r="F21" s="61"/>
      <c r="G21" s="61"/>
      <c r="H21" s="61"/>
      <c r="I21" s="61"/>
      <c r="J21" s="61"/>
      <c r="K21" s="61"/>
      <c r="L21" s="61"/>
      <c r="M21" s="61"/>
      <c r="N21" s="61"/>
      <c r="O21" s="61"/>
    </row>
    <row r="22" spans="2:18" ht="18" customHeight="1" x14ac:dyDescent="0.3">
      <c r="B22" s="61"/>
      <c r="C22" s="61"/>
      <c r="D22" s="61"/>
      <c r="E22" s="61"/>
      <c r="F22" s="61"/>
      <c r="G22" s="61"/>
      <c r="H22" s="61"/>
      <c r="I22" s="61"/>
      <c r="J22" s="61"/>
      <c r="K22" s="61"/>
      <c r="L22" s="61"/>
      <c r="M22" s="61"/>
      <c r="N22" s="61"/>
      <c r="O22" s="61"/>
    </row>
    <row r="23" spans="2:18" ht="18" customHeight="1" x14ac:dyDescent="0.3">
      <c r="B23" s="61"/>
      <c r="C23" s="61"/>
      <c r="D23" s="61"/>
      <c r="E23" s="61"/>
      <c r="F23" s="61"/>
      <c r="G23" s="61"/>
      <c r="H23" s="61"/>
      <c r="I23" s="61"/>
      <c r="J23" s="61"/>
      <c r="K23" s="61"/>
      <c r="L23" s="61"/>
      <c r="M23" s="61"/>
      <c r="N23" s="61"/>
      <c r="O23" s="61"/>
    </row>
    <row r="24" spans="2:18" ht="18" customHeight="1" x14ac:dyDescent="0.3">
      <c r="B24" s="61"/>
      <c r="C24" s="61"/>
      <c r="D24" s="61"/>
      <c r="E24" s="61"/>
      <c r="F24" s="61"/>
      <c r="G24" s="61"/>
      <c r="H24" s="61"/>
      <c r="I24" s="61"/>
      <c r="J24" s="61"/>
      <c r="K24" s="61"/>
      <c r="L24" s="61"/>
      <c r="M24" s="61"/>
      <c r="N24" s="61"/>
      <c r="O24" s="61"/>
    </row>
    <row r="25" spans="2:18" ht="9.75" customHeight="1" x14ac:dyDescent="0.3">
      <c r="R25" s="1" t="s">
        <v>1967</v>
      </c>
    </row>
    <row r="26" spans="2:18" ht="21.75" customHeight="1" x14ac:dyDescent="0.3">
      <c r="B26" s="60" t="s">
        <v>11</v>
      </c>
      <c r="C26" s="60"/>
      <c r="D26" s="60"/>
      <c r="E26" s="60"/>
      <c r="F26" s="60"/>
      <c r="G26" s="60"/>
      <c r="H26" s="60"/>
      <c r="I26" s="60"/>
      <c r="J26" s="60"/>
      <c r="K26" s="60"/>
      <c r="L26" s="60"/>
      <c r="M26" s="60"/>
      <c r="N26" s="60"/>
      <c r="O26" s="60"/>
    </row>
    <row r="27" spans="2:18" ht="18" customHeight="1" x14ac:dyDescent="0.3">
      <c r="B27" s="62" t="s">
        <v>12</v>
      </c>
      <c r="C27" s="62"/>
      <c r="D27" s="62"/>
      <c r="E27" s="62"/>
      <c r="F27" s="63" t="s">
        <v>13</v>
      </c>
      <c r="G27" s="63"/>
      <c r="H27" s="63"/>
      <c r="I27" s="63"/>
      <c r="J27" s="64" t="s">
        <v>14</v>
      </c>
      <c r="K27" s="64"/>
      <c r="L27" s="64"/>
      <c r="M27" s="64"/>
      <c r="N27" s="65" t="s">
        <v>15</v>
      </c>
      <c r="O27" s="65"/>
    </row>
    <row r="28" spans="2:18" ht="18" customHeight="1" x14ac:dyDescent="0.3">
      <c r="B28" s="62"/>
      <c r="C28" s="62"/>
      <c r="D28" s="62"/>
      <c r="E28" s="62"/>
      <c r="F28" s="63"/>
      <c r="G28" s="63"/>
      <c r="H28" s="63"/>
      <c r="I28" s="63"/>
      <c r="J28" s="64"/>
      <c r="K28" s="64"/>
      <c r="L28" s="64"/>
      <c r="M28" s="64"/>
      <c r="N28" s="65"/>
      <c r="O28" s="65"/>
    </row>
    <row r="29" spans="2:18" ht="18" customHeight="1" x14ac:dyDescent="0.3">
      <c r="B29" s="62"/>
      <c r="C29" s="62"/>
      <c r="D29" s="62"/>
      <c r="E29" s="62"/>
      <c r="F29" s="63"/>
      <c r="G29" s="63"/>
      <c r="H29" s="63"/>
      <c r="I29" s="63"/>
      <c r="J29" s="64"/>
      <c r="K29" s="64"/>
      <c r="L29" s="64"/>
      <c r="M29" s="64"/>
      <c r="N29" s="65"/>
      <c r="O29" s="65"/>
    </row>
    <row r="30" spans="2:18" ht="18" customHeight="1" x14ac:dyDescent="0.3">
      <c r="B30" s="62"/>
      <c r="C30" s="62"/>
      <c r="D30" s="62"/>
      <c r="E30" s="62"/>
      <c r="F30" s="63"/>
      <c r="G30" s="63"/>
      <c r="H30" s="63"/>
      <c r="I30" s="63"/>
      <c r="J30" s="64"/>
      <c r="K30" s="64"/>
      <c r="L30" s="64"/>
      <c r="M30" s="64"/>
      <c r="N30" s="65"/>
      <c r="O30" s="65"/>
    </row>
    <row r="31" spans="2:18" ht="18" customHeight="1" x14ac:dyDescent="0.3">
      <c r="B31" s="62"/>
      <c r="C31" s="62"/>
      <c r="D31" s="62"/>
      <c r="E31" s="62"/>
      <c r="F31" s="63"/>
      <c r="G31" s="63"/>
      <c r="H31" s="63"/>
      <c r="I31" s="63"/>
      <c r="J31" s="64"/>
      <c r="K31" s="64"/>
      <c r="L31" s="64"/>
      <c r="M31" s="64"/>
      <c r="N31" s="65"/>
      <c r="O31" s="65"/>
    </row>
    <row r="32" spans="2:18" ht="18" customHeight="1" x14ac:dyDescent="0.3">
      <c r="B32" s="62"/>
      <c r="C32" s="62"/>
      <c r="D32" s="62"/>
      <c r="E32" s="62"/>
      <c r="F32" s="63"/>
      <c r="G32" s="63"/>
      <c r="H32" s="63"/>
      <c r="I32" s="63"/>
      <c r="J32" s="64"/>
      <c r="K32" s="64"/>
      <c r="L32" s="64"/>
      <c r="M32" s="64"/>
      <c r="N32" s="65"/>
      <c r="O32" s="65"/>
    </row>
    <row r="33" spans="2:15" ht="18" customHeight="1" x14ac:dyDescent="0.3">
      <c r="B33" s="62"/>
      <c r="C33" s="62"/>
      <c r="D33" s="62"/>
      <c r="E33" s="62"/>
      <c r="F33" s="63"/>
      <c r="G33" s="63"/>
      <c r="H33" s="63"/>
      <c r="I33" s="63"/>
      <c r="J33" s="64"/>
      <c r="K33" s="64"/>
      <c r="L33" s="64"/>
      <c r="M33" s="64"/>
      <c r="N33" s="65"/>
      <c r="O33" s="65"/>
    </row>
    <row r="34" spans="2:15" ht="18" customHeight="1" x14ac:dyDescent="0.3">
      <c r="B34" s="62"/>
      <c r="C34" s="62"/>
      <c r="D34" s="62"/>
      <c r="E34" s="62"/>
      <c r="F34" s="63"/>
      <c r="G34" s="63"/>
      <c r="H34" s="63"/>
      <c r="I34" s="63"/>
      <c r="J34" s="64"/>
      <c r="K34" s="64"/>
      <c r="L34" s="64"/>
      <c r="M34" s="64"/>
      <c r="N34" s="65"/>
      <c r="O34" s="65"/>
    </row>
    <row r="35" spans="2:15" ht="18" customHeight="1" x14ac:dyDescent="0.3">
      <c r="B35" s="62"/>
      <c r="C35" s="62"/>
      <c r="D35" s="62"/>
      <c r="E35" s="62"/>
      <c r="F35" s="63"/>
      <c r="G35" s="63"/>
      <c r="H35" s="63"/>
      <c r="I35" s="63"/>
      <c r="J35" s="64"/>
      <c r="K35" s="64"/>
      <c r="L35" s="64"/>
      <c r="M35" s="64"/>
      <c r="N35" s="65"/>
      <c r="O35" s="65"/>
    </row>
    <row r="36" spans="2:15" ht="18" customHeight="1" x14ac:dyDescent="0.3">
      <c r="B36" s="62"/>
      <c r="C36" s="62"/>
      <c r="D36" s="62"/>
      <c r="E36" s="62"/>
      <c r="F36" s="63"/>
      <c r="G36" s="63"/>
      <c r="H36" s="63"/>
      <c r="I36" s="63"/>
      <c r="J36" s="64"/>
      <c r="K36" s="64"/>
      <c r="L36" s="64"/>
      <c r="M36" s="64"/>
      <c r="N36" s="65"/>
      <c r="O36" s="65"/>
    </row>
    <row r="37" spans="2:15" ht="18" customHeight="1" x14ac:dyDescent="0.3">
      <c r="B37" s="62"/>
      <c r="C37" s="62"/>
      <c r="D37" s="62"/>
      <c r="E37" s="62"/>
      <c r="F37" s="63"/>
      <c r="G37" s="63"/>
      <c r="H37" s="63"/>
      <c r="I37" s="63"/>
      <c r="J37" s="64"/>
      <c r="K37" s="64"/>
      <c r="L37" s="64"/>
      <c r="M37" s="64"/>
      <c r="N37" s="65"/>
      <c r="O37" s="65"/>
    </row>
    <row r="38" spans="2:15" ht="18" customHeight="1" x14ac:dyDescent="0.3">
      <c r="B38" s="62"/>
      <c r="C38" s="62"/>
      <c r="D38" s="62"/>
      <c r="E38" s="62"/>
      <c r="F38" s="63"/>
      <c r="G38" s="63"/>
      <c r="H38" s="63"/>
      <c r="I38" s="63"/>
      <c r="J38" s="64"/>
      <c r="K38" s="64"/>
      <c r="L38" s="64"/>
      <c r="M38" s="64"/>
      <c r="N38" s="65"/>
      <c r="O38" s="65"/>
    </row>
    <row r="39" spans="2:15" ht="18" customHeight="1" x14ac:dyDescent="0.3">
      <c r="B39" s="62"/>
      <c r="C39" s="62"/>
      <c r="D39" s="62"/>
      <c r="E39" s="62"/>
      <c r="F39" s="63"/>
      <c r="G39" s="63"/>
      <c r="H39" s="63"/>
      <c r="I39" s="63"/>
      <c r="J39" s="64"/>
      <c r="K39" s="64"/>
      <c r="L39" s="64"/>
      <c r="M39" s="64"/>
      <c r="N39" s="65"/>
      <c r="O39" s="65"/>
    </row>
    <row r="40" spans="2:15" ht="9.75" customHeight="1" x14ac:dyDescent="0.3"/>
    <row r="41" spans="2:15" ht="21.75" customHeight="1" x14ac:dyDescent="0.3">
      <c r="B41" s="59" t="s">
        <v>16</v>
      </c>
      <c r="C41" s="59"/>
      <c r="D41" s="59"/>
      <c r="E41" s="59"/>
      <c r="F41" s="59"/>
      <c r="G41" s="59"/>
      <c r="H41" s="59"/>
      <c r="I41" s="59"/>
      <c r="J41" s="59"/>
      <c r="K41" s="59"/>
      <c r="L41" s="59"/>
      <c r="M41" s="59"/>
      <c r="N41" s="59"/>
      <c r="O41" s="59"/>
    </row>
    <row r="42" spans="2:15" ht="18" customHeight="1" x14ac:dyDescent="0.3">
      <c r="B42" s="2" t="s">
        <v>17</v>
      </c>
      <c r="C42" s="2" t="s">
        <v>18</v>
      </c>
      <c r="D42" s="2" t="s">
        <v>17</v>
      </c>
      <c r="E42" s="2" t="s">
        <v>18</v>
      </c>
      <c r="F42" s="2" t="s">
        <v>17</v>
      </c>
      <c r="G42" s="2" t="s">
        <v>18</v>
      </c>
      <c r="H42" s="2" t="s">
        <v>17</v>
      </c>
      <c r="I42" s="2" t="s">
        <v>18</v>
      </c>
    </row>
    <row r="43" spans="2:15" ht="18" customHeight="1" x14ac:dyDescent="0.3">
      <c r="B43" s="3" t="s">
        <v>19</v>
      </c>
      <c r="C43" s="4">
        <f>'KPI Summary'!B3</f>
        <v>200</v>
      </c>
      <c r="D43" s="3" t="s">
        <v>20</v>
      </c>
      <c r="E43" s="4">
        <f>'KPI Summary'!B4</f>
        <v>1044</v>
      </c>
      <c r="F43" s="3" t="s">
        <v>21</v>
      </c>
      <c r="G43" s="5">
        <f>'KPI Summary'!B11</f>
        <v>10038773</v>
      </c>
      <c r="H43" s="3" t="s">
        <v>22</v>
      </c>
      <c r="I43" s="5">
        <f>'KPI Summary'!B12</f>
        <v>9615.6829501915709</v>
      </c>
    </row>
    <row r="44" spans="2:15" ht="18" customHeight="1" x14ac:dyDescent="0.3">
      <c r="B44" s="3" t="s">
        <v>23</v>
      </c>
      <c r="C44" s="6">
        <f>'KPI Summary'!B24</f>
        <v>0.57499999999999996</v>
      </c>
      <c r="D44" s="3" t="s">
        <v>24</v>
      </c>
      <c r="E44" s="7">
        <f ca="1">'KPI Summary'!B27</f>
        <v>17</v>
      </c>
      <c r="F44" s="3" t="s">
        <v>25</v>
      </c>
      <c r="G44" s="7">
        <f ca="1">'KPI Summary'!B33</f>
        <v>38</v>
      </c>
      <c r="H44" s="3" t="s">
        <v>26</v>
      </c>
      <c r="I44" s="7">
        <f>'KPI Summary'!B42</f>
        <v>3.1862499999999998</v>
      </c>
    </row>
    <row r="45" spans="2:15" ht="18" customHeight="1" x14ac:dyDescent="0.3">
      <c r="B45" s="3" t="s">
        <v>27</v>
      </c>
      <c r="C45" s="6">
        <f ca="1">'KPI Summary'!B25</f>
        <v>74</v>
      </c>
      <c r="D45" s="3" t="s">
        <v>28</v>
      </c>
      <c r="E45" s="6">
        <f>'KPI Summary'!B15</f>
        <v>0.47186254734517852</v>
      </c>
      <c r="F45" s="3" t="s">
        <v>29</v>
      </c>
      <c r="G45" s="4">
        <f ca="1">'KPI Summary'!B22</f>
        <v>78</v>
      </c>
      <c r="H45" s="3" t="s">
        <v>30</v>
      </c>
      <c r="I45" s="6">
        <f>'KPI Summary'!B35</f>
        <v>57</v>
      </c>
    </row>
    <row r="46" spans="2:15" ht="18" customHeight="1" x14ac:dyDescent="0.3"/>
    <row r="47" spans="2:15" ht="9.75" customHeight="1" x14ac:dyDescent="0.3"/>
    <row r="48" spans="2:15" ht="21.75" customHeight="1" x14ac:dyDescent="0.3">
      <c r="B48" s="59" t="s">
        <v>31</v>
      </c>
      <c r="C48" s="59"/>
      <c r="D48" s="59"/>
      <c r="E48" s="59"/>
      <c r="F48" s="59"/>
      <c r="G48" s="59"/>
      <c r="H48" s="59"/>
      <c r="I48" s="59"/>
      <c r="J48" s="59"/>
      <c r="K48" s="59"/>
      <c r="L48" s="59"/>
      <c r="M48" s="59"/>
      <c r="N48" s="59"/>
      <c r="O48" s="59"/>
    </row>
    <row r="49" spans="2:15" ht="18" customHeight="1" x14ac:dyDescent="0.3">
      <c r="B49" s="2" t="s">
        <v>32</v>
      </c>
      <c r="C49" s="2" t="s">
        <v>33</v>
      </c>
      <c r="E49" s="2" t="s">
        <v>21</v>
      </c>
      <c r="G49" s="2" t="s">
        <v>34</v>
      </c>
      <c r="I49" s="2" t="s">
        <v>35</v>
      </c>
      <c r="K49" s="2" t="s">
        <v>36</v>
      </c>
      <c r="M49"/>
      <c r="N49"/>
    </row>
    <row r="50" spans="2:15" ht="18" customHeight="1" x14ac:dyDescent="0.3">
      <c r="B50" s="8" t="s">
        <v>37</v>
      </c>
      <c r="C50" s="56">
        <f ca="1">COUNTIFS(tblFinal[CustomerSegment],B50)</f>
        <v>17</v>
      </c>
      <c r="D50" s="56"/>
      <c r="E50" s="57" t="str">
        <f ca="1">TEXT(IFERROR(SUMIFS(tblFinal[RFM_Monetary],tblFinal[CustomerSegment],B50),0),"#,##0")</f>
        <v>15,25,892</v>
      </c>
      <c r="F50" s="57"/>
      <c r="G50" s="56" t="str" cm="1">
        <f t="array" aca="1" ref="G50" ca="1">TEXT(IFERROR(SUMPRODUCT((tblFinal[CustomerSegment]=B50)*SUMIFS(tblTransactions[Amount (INR)],tblTransactions[CustomerID],tblFinal[CustomerID]))/SUM(tblTransactions[Amount (INR)]),0),"0.0%")</f>
        <v>15.2%</v>
      </c>
      <c r="H50" s="56"/>
      <c r="I50" s="57" t="str" cm="1">
        <f t="array" aca="1" ref="I50" ca="1">TEXT(IFERROR(SUMPRODUCT((tblFinal[CustomerSegment]=B50)*SUMIFS(tblTransactions[Amount (INR)],tblTransactions[CustomerID],tblFinal[CustomerID]))/COUNTIFS(tblFinal[CustomerSegment],B50),0),"#,##0")</f>
        <v>89,758</v>
      </c>
      <c r="J50" s="57"/>
      <c r="K50" s="58" t="s">
        <v>38</v>
      </c>
      <c r="L50" s="58"/>
      <c r="M50"/>
      <c r="N50"/>
    </row>
    <row r="51" spans="2:15" ht="18" customHeight="1" x14ac:dyDescent="0.3">
      <c r="B51" s="9" t="s">
        <v>39</v>
      </c>
      <c r="C51" s="56">
        <f ca="1">COUNTIFS(tblFinal[CustomerSegment],B51)</f>
        <v>74</v>
      </c>
      <c r="D51" s="56"/>
      <c r="E51" s="57" t="str">
        <f ca="1">TEXT(IFERROR(SUMIFS(tblFinal[RFM_Monetary],tblFinal[CustomerSegment],B51),0),"#,##0")</f>
        <v>66,07,484</v>
      </c>
      <c r="F51" s="57"/>
      <c r="G51" s="56" t="str" cm="1">
        <f t="array" aca="1" ref="G51" ca="1">TEXT(IFERROR(SUMPRODUCT((tblFinal[CustomerSegment]=B51)*SUMIFS(tblTransactions[Amount (INR)],tblTransactions[CustomerID],tblFinal[CustomerID]))/SUM(tblTransactions[Amount (INR)]),0),"0.0%")</f>
        <v>65.8%</v>
      </c>
      <c r="H51" s="56"/>
      <c r="I51" s="57" t="str" cm="1">
        <f t="array" aca="1" ref="I51" ca="1">TEXT(IFERROR(SUMPRODUCT((tblFinal[CustomerSegment]=B51)*SUMIFS(tblTransactions[Amount (INR)],tblTransactions[CustomerID],tblFinal[CustomerID]))/COUNTIFS(tblFinal[CustomerSegment],B51),0),"#,##0")</f>
        <v>89,290</v>
      </c>
      <c r="J51" s="57"/>
      <c r="K51" s="58" t="s">
        <v>40</v>
      </c>
      <c r="L51" s="58"/>
      <c r="M51"/>
      <c r="N51"/>
    </row>
    <row r="52" spans="2:15" ht="18" customHeight="1" x14ac:dyDescent="0.3">
      <c r="B52" s="10" t="s">
        <v>41</v>
      </c>
      <c r="C52" s="56">
        <f ca="1">COUNTIFS(tblFinal[CustomerSegment],B52)</f>
        <v>38</v>
      </c>
      <c r="D52" s="56"/>
      <c r="E52" s="57" t="str">
        <f ca="1">TEXT(IFERROR(SUMIFS(tblFinal[RFM_Monetary],tblFinal[CustomerSegment],B52),0),"#,##0")</f>
        <v>5,37,567</v>
      </c>
      <c r="F52" s="57"/>
      <c r="G52" s="56" t="str" cm="1">
        <f t="array" aca="1" ref="G52" ca="1">TEXT(IFERROR(SUMPRODUCT((tblFinal[CustomerSegment]=B52)*SUMIFS(tblTransactions[Amount (INR)],tblTransactions[CustomerID],tblFinal[CustomerID]))/SUM(tblTransactions[Amount (INR)]),0),"0.0%")</f>
        <v>5.4%</v>
      </c>
      <c r="H52" s="56"/>
      <c r="I52" s="57" t="str" cm="1">
        <f t="array" aca="1" ref="I52" ca="1">TEXT(IFERROR(SUMPRODUCT((tblFinal[CustomerSegment]=B52)*SUMIFS(tblTransactions[Amount (INR)],tblTransactions[CustomerID],tblFinal[CustomerID]))/COUNTIFS(tblFinal[CustomerSegment],B52),0),"#,##0")</f>
        <v>14,147</v>
      </c>
      <c r="J52" s="57"/>
      <c r="K52" s="58" t="s">
        <v>42</v>
      </c>
      <c r="L52" s="58"/>
      <c r="M52"/>
      <c r="N52"/>
    </row>
    <row r="53" spans="2:15" ht="18" customHeight="1" x14ac:dyDescent="0.3">
      <c r="B53" s="11" t="s">
        <v>43</v>
      </c>
      <c r="C53" s="56">
        <f ca="1">COUNTIFS(tblFinal[CustomerSegment],B53)</f>
        <v>8</v>
      </c>
      <c r="D53" s="56"/>
      <c r="E53" s="57" t="str">
        <f ca="1">TEXT(IFERROR(SUMIFS(tblFinal[RFM_Monetary],tblFinal[CustomerSegment],B53),0),"#,##0")</f>
        <v>1,84,330</v>
      </c>
      <c r="F53" s="57"/>
      <c r="G53" s="56" t="str" cm="1">
        <f t="array" aca="1" ref="G53" ca="1">TEXT(IFERROR(SUMPRODUCT((tblFinal[CustomerSegment]=B53)*SUMIFS(tblTransactions[Amount (INR)],tblTransactions[CustomerID],tblFinal[CustomerID]))/SUM(tblTransactions[Amount (INR)]),0),"0.0%")</f>
        <v>1.8%</v>
      </c>
      <c r="H53" s="56"/>
      <c r="I53" s="57" t="str" cm="1">
        <f t="array" aca="1" ref="I53" ca="1">TEXT(IFERROR(SUMPRODUCT((tblFinal[CustomerSegment]=B53)*SUMIFS(tblTransactions[Amount (INR)],tblTransactions[CustomerID],tblFinal[CustomerID]))/COUNTIFS(tblFinal[CustomerSegment],B53),0),"#,##0")</f>
        <v>23,041</v>
      </c>
      <c r="J53" s="57"/>
      <c r="K53" s="58" t="s">
        <v>44</v>
      </c>
      <c r="L53" s="58"/>
      <c r="M53"/>
      <c r="N53"/>
    </row>
    <row r="54" spans="2:15" ht="18" customHeight="1" x14ac:dyDescent="0.3">
      <c r="B54" s="12" t="s">
        <v>45</v>
      </c>
      <c r="C54" s="56">
        <f ca="1">COUNTIFS(tblFinal[CustomerSegment],B54)</f>
        <v>63</v>
      </c>
      <c r="D54" s="56"/>
      <c r="E54" s="57" t="str">
        <f ca="1">TEXT(IFERROR(SUMIFS(tblFinal[RFM_Monetary],tblFinal[CustomerSegment],B54),0),"#,##0")</f>
        <v>11,83,500</v>
      </c>
      <c r="F54" s="57"/>
      <c r="G54" s="56" t="str" cm="1">
        <f t="array" aca="1" ref="G54" ca="1">TEXT(IFERROR(SUMPRODUCT((tblFinal[CustomerSegment]=B54)*SUMIFS(tblTransactions[Amount (INR)],tblTransactions[CustomerID],tblFinal[CustomerID]))/SUM(tblTransactions[Amount (INR)]),0),"0.0%")</f>
        <v>11.8%</v>
      </c>
      <c r="H54" s="56"/>
      <c r="I54" s="57" t="str" cm="1">
        <f t="array" aca="1" ref="I54" ca="1">TEXT(IFERROR(SUMPRODUCT((tblFinal[CustomerSegment]=B54)*SUMIFS(tblTransactions[Amount (INR)],tblTransactions[CustomerID],tblFinal[CustomerID]))/COUNTIFS(tblFinal[CustomerSegment],B54),0),"#,##0")</f>
        <v>18,786</v>
      </c>
      <c r="J54" s="57"/>
      <c r="K54" s="58" t="s">
        <v>46</v>
      </c>
      <c r="L54" s="58"/>
      <c r="M54"/>
      <c r="N54"/>
    </row>
    <row r="55" spans="2:15" ht="18" customHeight="1" x14ac:dyDescent="0.3"/>
    <row r="56" spans="2:15" ht="9.75" customHeight="1" x14ac:dyDescent="0.3"/>
    <row r="57" spans="2:15" ht="18" customHeight="1" x14ac:dyDescent="0.3">
      <c r="B57" s="54"/>
      <c r="C57" s="54"/>
      <c r="D57" s="54"/>
      <c r="E57" s="54"/>
      <c r="F57" s="54"/>
      <c r="G57" s="54"/>
      <c r="H57" s="54"/>
      <c r="I57" s="54"/>
      <c r="J57" s="54"/>
      <c r="K57" s="54"/>
      <c r="L57" s="54"/>
      <c r="M57" s="54"/>
      <c r="N57" s="54"/>
      <c r="O57" s="54"/>
    </row>
    <row r="58" spans="2:15" ht="15.75" customHeight="1" x14ac:dyDescent="0.3"/>
    <row r="59" spans="2:15" ht="27.75" customHeight="1" x14ac:dyDescent="0.3">
      <c r="B59" s="55"/>
      <c r="C59" s="55"/>
      <c r="D59" s="55"/>
      <c r="E59" s="55"/>
      <c r="F59" s="55"/>
      <c r="G59" s="55"/>
      <c r="H59" s="55"/>
      <c r="I59" s="55"/>
      <c r="J59" s="55"/>
      <c r="K59" s="55"/>
      <c r="L59" s="55"/>
      <c r="M59" s="55"/>
      <c r="N59" s="55"/>
      <c r="O59" s="55"/>
    </row>
    <row r="60" spans="2:15" x14ac:dyDescent="0.3">
      <c r="B60" s="72" t="s">
        <v>1966</v>
      </c>
      <c r="C60" s="72"/>
      <c r="D60" s="72"/>
      <c r="E60" s="72"/>
    </row>
    <row r="61" spans="2:15" x14ac:dyDescent="0.3">
      <c r="B61" s="40" t="s">
        <v>1939</v>
      </c>
      <c r="C61" t="s">
        <v>1941</v>
      </c>
      <c r="D61" t="s">
        <v>1942</v>
      </c>
    </row>
    <row r="62" spans="2:15" x14ac:dyDescent="0.3">
      <c r="B62" s="41" t="s">
        <v>132</v>
      </c>
      <c r="C62" s="42">
        <v>19</v>
      </c>
      <c r="D62" s="42">
        <v>666456</v>
      </c>
    </row>
    <row r="63" spans="2:15" x14ac:dyDescent="0.3">
      <c r="B63" s="41" t="s">
        <v>85</v>
      </c>
      <c r="C63" s="42">
        <v>14</v>
      </c>
      <c r="D63" s="42">
        <v>792765</v>
      </c>
    </row>
    <row r="64" spans="2:15" x14ac:dyDescent="0.3">
      <c r="B64" s="41" t="s">
        <v>143</v>
      </c>
      <c r="C64" s="42">
        <v>9</v>
      </c>
      <c r="D64" s="42">
        <v>479969</v>
      </c>
    </row>
    <row r="65" spans="2:4" x14ac:dyDescent="0.3">
      <c r="B65" s="41" t="s">
        <v>107</v>
      </c>
      <c r="C65" s="42">
        <v>11</v>
      </c>
      <c r="D65" s="42">
        <v>663318</v>
      </c>
    </row>
    <row r="66" spans="2:4" x14ac:dyDescent="0.3">
      <c r="B66" s="41" t="s">
        <v>173</v>
      </c>
      <c r="C66" s="42">
        <v>8</v>
      </c>
      <c r="D66" s="42">
        <v>445218</v>
      </c>
    </row>
    <row r="67" spans="2:4" x14ac:dyDescent="0.3">
      <c r="B67" s="41" t="s">
        <v>168</v>
      </c>
      <c r="C67" s="42">
        <v>11</v>
      </c>
      <c r="D67" s="42">
        <v>751340</v>
      </c>
    </row>
    <row r="68" spans="2:4" x14ac:dyDescent="0.3">
      <c r="B68" s="41" t="s">
        <v>535</v>
      </c>
      <c r="C68" s="42">
        <v>4</v>
      </c>
      <c r="D68" s="42">
        <v>207197</v>
      </c>
    </row>
    <row r="69" spans="2:4" x14ac:dyDescent="0.3">
      <c r="B69" s="41" t="s">
        <v>178</v>
      </c>
      <c r="C69" s="42">
        <v>8</v>
      </c>
      <c r="D69" s="42">
        <v>275789</v>
      </c>
    </row>
    <row r="70" spans="2:4" x14ac:dyDescent="0.3">
      <c r="B70" s="41" t="s">
        <v>442</v>
      </c>
      <c r="C70" s="42">
        <v>2</v>
      </c>
      <c r="D70" s="42">
        <v>18490</v>
      </c>
    </row>
    <row r="71" spans="2:4" x14ac:dyDescent="0.3">
      <c r="B71" s="41" t="s">
        <v>294</v>
      </c>
      <c r="C71" s="42">
        <v>2</v>
      </c>
      <c r="D71" s="42">
        <v>111010</v>
      </c>
    </row>
    <row r="72" spans="2:4" x14ac:dyDescent="0.3">
      <c r="B72" s="41" t="s">
        <v>126</v>
      </c>
      <c r="C72" s="42">
        <v>8</v>
      </c>
      <c r="D72" s="42">
        <v>396008</v>
      </c>
    </row>
    <row r="73" spans="2:4" x14ac:dyDescent="0.3">
      <c r="B73" s="41" t="s">
        <v>93</v>
      </c>
      <c r="C73" s="42">
        <v>9</v>
      </c>
      <c r="D73" s="42">
        <v>405192</v>
      </c>
    </row>
    <row r="74" spans="2:4" x14ac:dyDescent="0.3">
      <c r="B74" s="41" t="s">
        <v>100</v>
      </c>
      <c r="C74" s="42">
        <v>9</v>
      </c>
      <c r="D74" s="42">
        <v>500839</v>
      </c>
    </row>
    <row r="75" spans="2:4" x14ac:dyDescent="0.3">
      <c r="B75" s="41" t="s">
        <v>361</v>
      </c>
      <c r="C75" s="42">
        <v>1</v>
      </c>
      <c r="D75" s="42">
        <v>64690</v>
      </c>
    </row>
    <row r="76" spans="2:4" x14ac:dyDescent="0.3">
      <c r="B76" s="41" t="s">
        <v>114</v>
      </c>
      <c r="C76" s="42">
        <v>6</v>
      </c>
      <c r="D76" s="42">
        <v>216229</v>
      </c>
    </row>
    <row r="77" spans="2:4" x14ac:dyDescent="0.3">
      <c r="B77" s="41" t="s">
        <v>148</v>
      </c>
      <c r="C77" s="42">
        <v>8</v>
      </c>
      <c r="D77" s="42">
        <v>350247</v>
      </c>
    </row>
    <row r="78" spans="2:4" x14ac:dyDescent="0.3">
      <c r="B78" s="41" t="s">
        <v>201</v>
      </c>
      <c r="C78" s="42">
        <v>12</v>
      </c>
      <c r="D78" s="42">
        <v>622978</v>
      </c>
    </row>
    <row r="79" spans="2:4" x14ac:dyDescent="0.3">
      <c r="B79" s="41" t="s">
        <v>247</v>
      </c>
      <c r="C79" s="42">
        <v>14</v>
      </c>
      <c r="D79" s="42">
        <v>597771</v>
      </c>
    </row>
    <row r="80" spans="2:4" x14ac:dyDescent="0.3">
      <c r="B80" s="41" t="s">
        <v>74</v>
      </c>
      <c r="C80" s="42">
        <v>11</v>
      </c>
      <c r="D80" s="42">
        <v>642157</v>
      </c>
    </row>
    <row r="81" spans="2:4" x14ac:dyDescent="0.3">
      <c r="B81" s="41" t="s">
        <v>548</v>
      </c>
      <c r="C81" s="42">
        <v>6</v>
      </c>
      <c r="D81" s="42">
        <v>293695</v>
      </c>
    </row>
    <row r="82" spans="2:4" x14ac:dyDescent="0.3">
      <c r="B82" s="41" t="s">
        <v>195</v>
      </c>
      <c r="C82" s="42">
        <v>13</v>
      </c>
      <c r="D82" s="42">
        <v>653124</v>
      </c>
    </row>
    <row r="83" spans="2:4" x14ac:dyDescent="0.3">
      <c r="B83" s="41" t="s">
        <v>158</v>
      </c>
      <c r="C83" s="42">
        <v>11</v>
      </c>
      <c r="D83" s="42">
        <v>619345</v>
      </c>
    </row>
    <row r="84" spans="2:4" x14ac:dyDescent="0.3">
      <c r="B84" s="41" t="s">
        <v>659</v>
      </c>
      <c r="C84" s="42">
        <v>4</v>
      </c>
      <c r="D84" s="42">
        <v>264946</v>
      </c>
    </row>
    <row r="85" spans="2:4" x14ac:dyDescent="0.3">
      <c r="B85" s="41" t="s">
        <v>1940</v>
      </c>
      <c r="C85" s="42">
        <v>200</v>
      </c>
      <c r="D85" s="42">
        <v>10038773</v>
      </c>
    </row>
  </sheetData>
  <mergeCells count="60">
    <mergeCell ref="B60:E60"/>
    <mergeCell ref="B2:O2"/>
    <mergeCell ref="B4:C4"/>
    <mergeCell ref="D4:E4"/>
    <mergeCell ref="F4:G4"/>
    <mergeCell ref="H4:I4"/>
    <mergeCell ref="J4:K4"/>
    <mergeCell ref="L4:M4"/>
    <mergeCell ref="N4:O4"/>
    <mergeCell ref="L5:M5"/>
    <mergeCell ref="N5:O5"/>
    <mergeCell ref="B6:C6"/>
    <mergeCell ref="D6:E6"/>
    <mergeCell ref="F6:G6"/>
    <mergeCell ref="H6:I6"/>
    <mergeCell ref="J6:K6"/>
    <mergeCell ref="L6:M6"/>
    <mergeCell ref="N6:O6"/>
    <mergeCell ref="B5:C5"/>
    <mergeCell ref="D5:E5"/>
    <mergeCell ref="F5:G5"/>
    <mergeCell ref="H5:I5"/>
    <mergeCell ref="J5:K5"/>
    <mergeCell ref="B9:O9"/>
    <mergeCell ref="B10:H24"/>
    <mergeCell ref="I10:O24"/>
    <mergeCell ref="B26:O26"/>
    <mergeCell ref="B27:E39"/>
    <mergeCell ref="F27:I39"/>
    <mergeCell ref="J27:M39"/>
    <mergeCell ref="N27:O39"/>
    <mergeCell ref="B41:O41"/>
    <mergeCell ref="B48:O48"/>
    <mergeCell ref="C50:D50"/>
    <mergeCell ref="E50:F50"/>
    <mergeCell ref="G50:H50"/>
    <mergeCell ref="I50:J50"/>
    <mergeCell ref="K50:L50"/>
    <mergeCell ref="C51:D51"/>
    <mergeCell ref="E51:F51"/>
    <mergeCell ref="G51:H51"/>
    <mergeCell ref="I51:J51"/>
    <mergeCell ref="K51:L51"/>
    <mergeCell ref="C52:D52"/>
    <mergeCell ref="E52:F52"/>
    <mergeCell ref="G52:H52"/>
    <mergeCell ref="I52:J52"/>
    <mergeCell ref="K52:L52"/>
    <mergeCell ref="C53:D53"/>
    <mergeCell ref="E53:F53"/>
    <mergeCell ref="G53:H53"/>
    <mergeCell ref="I53:J53"/>
    <mergeCell ref="K53:L53"/>
    <mergeCell ref="B57:O57"/>
    <mergeCell ref="B59:O59"/>
    <mergeCell ref="C54:D54"/>
    <mergeCell ref="E54:F54"/>
    <mergeCell ref="G54:H54"/>
    <mergeCell ref="I54:J54"/>
    <mergeCell ref="K54:L54"/>
  </mergeCells>
  <pageMargins left="0.75" right="0.75" top="1" bottom="1" header="0.511811023622047" footer="0.511811023622047"/>
  <pageSetup paperSize="9" orientation="portrait" horizontalDpi="300" verticalDpi="300"/>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B2D00"/>
  </sheetPr>
  <dimension ref="A1:Z1046"/>
  <sheetViews>
    <sheetView zoomScale="63" zoomScaleNormal="25" workbookViewId="0">
      <pane ySplit="2" topLeftCell="A3" activePane="bottomLeft" state="frozen"/>
      <selection pane="bottomLeft" sqref="A1:M1"/>
    </sheetView>
  </sheetViews>
  <sheetFormatPr defaultColWidth="8.6640625" defaultRowHeight="14.4" x14ac:dyDescent="0.3"/>
  <cols>
    <col min="1" max="1" width="10" style="1" customWidth="1"/>
    <col min="2" max="2" width="18" style="1" customWidth="1"/>
    <col min="3" max="3" width="8" style="1" customWidth="1"/>
    <col min="4" max="4" width="5" style="1" customWidth="1"/>
    <col min="5" max="5" width="14" style="1" customWidth="1"/>
    <col min="6" max="6" width="12" style="1" customWidth="1"/>
    <col min="7" max="7" width="18" style="1" customWidth="1"/>
    <col min="8" max="8" width="12" style="1" customWidth="1"/>
    <col min="9" max="9" width="14" style="1" customWidth="1"/>
    <col min="10" max="10" width="12" style="1" customWidth="1"/>
    <col min="11" max="11" width="14" style="1" customWidth="1"/>
    <col min="12" max="12" width="18" style="1" customWidth="1"/>
    <col min="13" max="13" width="14" style="1" customWidth="1"/>
    <col min="14" max="14" width="2" style="1" customWidth="1"/>
    <col min="15" max="15" width="12" style="1" customWidth="1"/>
    <col min="16" max="16" width="10" style="1" customWidth="1"/>
    <col min="17" max="17" width="12" style="1" customWidth="1"/>
    <col min="18" max="18" width="16" style="1" customWidth="1"/>
    <col min="19" max="19" width="12" style="1" customWidth="1"/>
    <col min="20" max="20" width="2" style="1" customWidth="1"/>
    <col min="21" max="22" width="10" style="1" customWidth="1"/>
    <col min="23" max="23" width="12" style="1" customWidth="1"/>
    <col min="24" max="24" width="16" style="1" customWidth="1"/>
    <col min="25" max="25" width="22" style="1" customWidth="1"/>
  </cols>
  <sheetData>
    <row r="1" spans="1:26" ht="21.75" customHeight="1" x14ac:dyDescent="0.3">
      <c r="A1" s="85" t="s">
        <v>47</v>
      </c>
      <c r="B1" s="85"/>
      <c r="C1" s="85"/>
      <c r="D1" s="85"/>
      <c r="E1" s="85"/>
      <c r="F1" s="85"/>
      <c r="G1" s="85"/>
      <c r="H1" s="85"/>
      <c r="I1" s="85"/>
      <c r="J1" s="85"/>
      <c r="K1" s="85"/>
      <c r="L1" s="85"/>
      <c r="M1" s="85"/>
      <c r="O1" s="85" t="s">
        <v>48</v>
      </c>
      <c r="P1" s="85"/>
      <c r="Q1" s="85"/>
      <c r="R1" s="85"/>
      <c r="S1" s="85"/>
      <c r="U1" s="85" t="s">
        <v>49</v>
      </c>
      <c r="V1" s="85"/>
      <c r="W1" s="85"/>
      <c r="X1" s="85"/>
      <c r="Y1" s="85"/>
    </row>
    <row r="2" spans="1:26" ht="23.25" customHeight="1" x14ac:dyDescent="0.3">
      <c r="A2" s="13" t="s">
        <v>50</v>
      </c>
      <c r="B2" s="13" t="s">
        <v>51</v>
      </c>
      <c r="C2" s="13" t="s">
        <v>52</v>
      </c>
      <c r="D2" s="13" t="s">
        <v>53</v>
      </c>
      <c r="E2" s="13" t="s">
        <v>54</v>
      </c>
      <c r="F2" s="13" t="s">
        <v>55</v>
      </c>
      <c r="G2" s="13" t="s">
        <v>56</v>
      </c>
      <c r="H2" s="13" t="s">
        <v>57</v>
      </c>
      <c r="I2" s="13" t="s">
        <v>58</v>
      </c>
      <c r="J2" s="13" t="s">
        <v>59</v>
      </c>
      <c r="K2" s="13" t="s">
        <v>60</v>
      </c>
      <c r="L2" s="13" t="s">
        <v>61</v>
      </c>
      <c r="M2" s="13" t="s">
        <v>62</v>
      </c>
      <c r="N2" s="39" t="s">
        <v>1938</v>
      </c>
      <c r="O2" s="13" t="s">
        <v>63</v>
      </c>
      <c r="P2" s="13" t="s">
        <v>50</v>
      </c>
      <c r="Q2" s="13" t="s">
        <v>64</v>
      </c>
      <c r="R2" s="13" t="s">
        <v>65</v>
      </c>
      <c r="S2" s="13" t="s">
        <v>66</v>
      </c>
      <c r="T2" s="39" t="s">
        <v>1938</v>
      </c>
      <c r="U2" s="39" t="s">
        <v>1951</v>
      </c>
      <c r="V2" s="13" t="s">
        <v>67</v>
      </c>
      <c r="W2" s="13" t="s">
        <v>50</v>
      </c>
      <c r="X2" s="13" t="s">
        <v>68</v>
      </c>
      <c r="Y2" s="13" t="s">
        <v>69</v>
      </c>
      <c r="Z2" s="13" t="s">
        <v>70</v>
      </c>
    </row>
    <row r="3" spans="1:26" ht="15" customHeight="1" x14ac:dyDescent="0.3">
      <c r="A3" s="14" t="s">
        <v>71</v>
      </c>
      <c r="B3" s="14" t="s">
        <v>72</v>
      </c>
      <c r="C3" s="14" t="s">
        <v>73</v>
      </c>
      <c r="D3" s="14">
        <v>59</v>
      </c>
      <c r="E3" s="14" t="s">
        <v>74</v>
      </c>
      <c r="F3" s="14">
        <v>23278</v>
      </c>
      <c r="G3" s="14" t="s">
        <v>75</v>
      </c>
      <c r="H3" s="15">
        <v>45125</v>
      </c>
      <c r="I3" s="14" t="s">
        <v>76</v>
      </c>
      <c r="J3" s="14" t="s">
        <v>77</v>
      </c>
      <c r="K3" s="14" t="s">
        <v>78</v>
      </c>
      <c r="L3" s="14" t="s">
        <v>79</v>
      </c>
      <c r="M3" s="15">
        <v>46085</v>
      </c>
      <c r="O3" s="14" t="s">
        <v>80</v>
      </c>
      <c r="P3" s="14" t="s">
        <v>71</v>
      </c>
      <c r="Q3" s="15">
        <v>46085</v>
      </c>
      <c r="R3" s="14" t="s">
        <v>81</v>
      </c>
      <c r="S3" s="14">
        <v>10900</v>
      </c>
      <c r="U3" s="1" t="str">
        <f>TEXT(tblTransactions[[#This Row],[Date]],"YYYY-MM")</f>
        <v>2026-03</v>
      </c>
      <c r="V3" s="14" t="s">
        <v>82</v>
      </c>
      <c r="W3" s="14" t="s">
        <v>71</v>
      </c>
      <c r="X3" s="14">
        <v>4</v>
      </c>
      <c r="Y3" s="14" t="s">
        <v>76</v>
      </c>
      <c r="Z3" s="14">
        <v>8</v>
      </c>
    </row>
    <row r="4" spans="1:26" ht="15" customHeight="1" x14ac:dyDescent="0.3">
      <c r="A4" s="14" t="s">
        <v>83</v>
      </c>
      <c r="B4" s="14" t="s">
        <v>84</v>
      </c>
      <c r="C4" s="14" t="s">
        <v>73</v>
      </c>
      <c r="D4" s="14">
        <v>53</v>
      </c>
      <c r="E4" s="14" t="s">
        <v>85</v>
      </c>
      <c r="F4" s="14">
        <v>97397</v>
      </c>
      <c r="G4" s="14" t="s">
        <v>86</v>
      </c>
      <c r="H4" s="15">
        <v>44627</v>
      </c>
      <c r="I4" s="14" t="s">
        <v>76</v>
      </c>
      <c r="J4" s="14" t="s">
        <v>77</v>
      </c>
      <c r="K4" s="14" t="s">
        <v>87</v>
      </c>
      <c r="L4" s="14" t="s">
        <v>78</v>
      </c>
      <c r="M4" s="15">
        <v>46043</v>
      </c>
      <c r="O4" s="14" t="s">
        <v>88</v>
      </c>
      <c r="P4" s="14" t="s">
        <v>83</v>
      </c>
      <c r="Q4" s="15">
        <v>46043</v>
      </c>
      <c r="R4" s="14" t="s">
        <v>89</v>
      </c>
      <c r="S4" s="14">
        <v>3780</v>
      </c>
      <c r="U4" s="1" t="str">
        <f>TEXT(tblTransactions[[#This Row],[Date]],"YYYY-MM")</f>
        <v>2026-01</v>
      </c>
      <c r="V4" s="14" t="s">
        <v>90</v>
      </c>
      <c r="W4" s="14" t="s">
        <v>83</v>
      </c>
      <c r="X4" s="14">
        <v>3</v>
      </c>
      <c r="Y4" s="14" t="s">
        <v>76</v>
      </c>
      <c r="Z4" s="14">
        <v>6</v>
      </c>
    </row>
    <row r="5" spans="1:26" ht="15" customHeight="1" x14ac:dyDescent="0.3">
      <c r="A5" s="14" t="s">
        <v>91</v>
      </c>
      <c r="B5" s="14" t="s">
        <v>92</v>
      </c>
      <c r="C5" s="14" t="s">
        <v>73</v>
      </c>
      <c r="D5" s="14">
        <v>31</v>
      </c>
      <c r="E5" s="14" t="s">
        <v>93</v>
      </c>
      <c r="F5" s="14">
        <v>74987</v>
      </c>
      <c r="G5" s="14" t="s">
        <v>94</v>
      </c>
      <c r="H5" s="15">
        <v>45481</v>
      </c>
      <c r="I5" s="14" t="s">
        <v>76</v>
      </c>
      <c r="J5" s="14" t="s">
        <v>95</v>
      </c>
      <c r="K5" s="14" t="s">
        <v>78</v>
      </c>
      <c r="L5" s="14" t="s">
        <v>79</v>
      </c>
      <c r="M5" s="15">
        <v>45953</v>
      </c>
      <c r="O5" s="14" t="s">
        <v>96</v>
      </c>
      <c r="P5" s="14" t="s">
        <v>91</v>
      </c>
      <c r="Q5" s="15">
        <v>45942</v>
      </c>
      <c r="R5" s="14" t="s">
        <v>89</v>
      </c>
      <c r="S5" s="14">
        <v>1950</v>
      </c>
      <c r="U5" s="1" t="str">
        <f>TEXT(tblTransactions[[#This Row],[Date]],"YYYY-MM")</f>
        <v>2025-10</v>
      </c>
      <c r="V5" s="14" t="s">
        <v>97</v>
      </c>
      <c r="W5" s="14" t="s">
        <v>91</v>
      </c>
      <c r="X5" s="14">
        <v>4</v>
      </c>
      <c r="Y5" s="14" t="s">
        <v>76</v>
      </c>
      <c r="Z5" s="14">
        <v>7</v>
      </c>
    </row>
    <row r="6" spans="1:26" ht="15" customHeight="1" x14ac:dyDescent="0.3">
      <c r="A6" s="14" t="s">
        <v>98</v>
      </c>
      <c r="B6" s="14" t="s">
        <v>99</v>
      </c>
      <c r="C6" s="14" t="s">
        <v>73</v>
      </c>
      <c r="D6" s="14">
        <v>46</v>
      </c>
      <c r="E6" s="14" t="s">
        <v>100</v>
      </c>
      <c r="F6" s="14">
        <v>56421</v>
      </c>
      <c r="G6" s="14" t="s">
        <v>101</v>
      </c>
      <c r="H6" s="15">
        <v>45002</v>
      </c>
      <c r="I6" s="14" t="s">
        <v>102</v>
      </c>
      <c r="J6" s="14" t="s">
        <v>77</v>
      </c>
      <c r="K6" s="14" t="s">
        <v>78</v>
      </c>
      <c r="L6" s="14" t="s">
        <v>78</v>
      </c>
      <c r="M6" s="15">
        <v>46074</v>
      </c>
      <c r="O6" s="14" t="s">
        <v>103</v>
      </c>
      <c r="P6" s="14" t="s">
        <v>91</v>
      </c>
      <c r="Q6" s="15">
        <v>45953</v>
      </c>
      <c r="R6" s="14" t="s">
        <v>89</v>
      </c>
      <c r="S6" s="14">
        <v>3430</v>
      </c>
      <c r="U6" s="1" t="str">
        <f>TEXT(tblTransactions[[#This Row],[Date]],"YYYY-MM")</f>
        <v>2025-10</v>
      </c>
      <c r="V6" s="14" t="s">
        <v>104</v>
      </c>
      <c r="W6" s="14" t="s">
        <v>98</v>
      </c>
      <c r="X6" s="14">
        <v>3</v>
      </c>
      <c r="Y6" s="14" t="s">
        <v>102</v>
      </c>
      <c r="Z6" s="14">
        <v>6</v>
      </c>
    </row>
    <row r="7" spans="1:26" ht="15" customHeight="1" x14ac:dyDescent="0.3">
      <c r="A7" s="14" t="s">
        <v>105</v>
      </c>
      <c r="B7" s="14" t="s">
        <v>106</v>
      </c>
      <c r="C7" s="14" t="s">
        <v>73</v>
      </c>
      <c r="D7" s="14">
        <v>41</v>
      </c>
      <c r="E7" s="14" t="s">
        <v>107</v>
      </c>
      <c r="F7" s="14">
        <v>54671</v>
      </c>
      <c r="G7" s="14" t="s">
        <v>108</v>
      </c>
      <c r="H7" s="15">
        <v>44650</v>
      </c>
      <c r="I7" s="14" t="s">
        <v>102</v>
      </c>
      <c r="J7" s="14" t="s">
        <v>95</v>
      </c>
      <c r="K7" s="14" t="s">
        <v>79</v>
      </c>
      <c r="L7" s="14" t="s">
        <v>87</v>
      </c>
      <c r="M7" s="15">
        <v>46013</v>
      </c>
      <c r="O7" s="14" t="s">
        <v>109</v>
      </c>
      <c r="P7" s="14" t="s">
        <v>98</v>
      </c>
      <c r="Q7" s="15">
        <v>46074</v>
      </c>
      <c r="R7" s="14" t="s">
        <v>110</v>
      </c>
      <c r="S7" s="14">
        <v>12070</v>
      </c>
      <c r="U7" s="1" t="str">
        <f>TEXT(tblTransactions[[#This Row],[Date]],"YYYY-MM")</f>
        <v>2026-02</v>
      </c>
      <c r="V7" s="14" t="s">
        <v>111</v>
      </c>
      <c r="W7" s="14" t="s">
        <v>105</v>
      </c>
      <c r="X7" s="14">
        <v>4</v>
      </c>
      <c r="Y7" s="14" t="s">
        <v>102</v>
      </c>
      <c r="Z7" s="14">
        <v>4</v>
      </c>
    </row>
    <row r="8" spans="1:26" ht="15" customHeight="1" x14ac:dyDescent="0.3">
      <c r="A8" s="14" t="s">
        <v>112</v>
      </c>
      <c r="B8" s="14" t="s">
        <v>113</v>
      </c>
      <c r="C8" s="14" t="s">
        <v>73</v>
      </c>
      <c r="D8" s="14">
        <v>54</v>
      </c>
      <c r="E8" s="14" t="s">
        <v>114</v>
      </c>
      <c r="F8" s="14">
        <v>128711</v>
      </c>
      <c r="G8" s="14" t="s">
        <v>115</v>
      </c>
      <c r="H8" s="15">
        <v>45302</v>
      </c>
      <c r="I8" s="14" t="s">
        <v>76</v>
      </c>
      <c r="J8" s="14" t="s">
        <v>95</v>
      </c>
      <c r="K8" s="14" t="s">
        <v>78</v>
      </c>
      <c r="L8" s="14" t="s">
        <v>78</v>
      </c>
      <c r="M8" s="15">
        <v>45960</v>
      </c>
      <c r="O8" s="14" t="s">
        <v>116</v>
      </c>
      <c r="P8" s="14" t="s">
        <v>105</v>
      </c>
      <c r="Q8" s="15">
        <v>45933</v>
      </c>
      <c r="R8" s="14" t="s">
        <v>117</v>
      </c>
      <c r="S8" s="14">
        <v>1470</v>
      </c>
      <c r="U8" s="1" t="str">
        <f>TEXT(tblTransactions[[#This Row],[Date]],"YYYY-MM")</f>
        <v>2025-10</v>
      </c>
      <c r="V8" s="14" t="s">
        <v>118</v>
      </c>
      <c r="W8" s="14" t="s">
        <v>112</v>
      </c>
      <c r="X8" s="14">
        <v>4</v>
      </c>
      <c r="Y8" s="14" t="s">
        <v>76</v>
      </c>
      <c r="Z8" s="14">
        <v>7</v>
      </c>
    </row>
    <row r="9" spans="1:26" ht="15" customHeight="1" x14ac:dyDescent="0.3">
      <c r="A9" s="14" t="s">
        <v>119</v>
      </c>
      <c r="B9" s="14" t="s">
        <v>120</v>
      </c>
      <c r="C9" s="14" t="s">
        <v>73</v>
      </c>
      <c r="D9" s="14">
        <v>37</v>
      </c>
      <c r="E9" s="14" t="s">
        <v>85</v>
      </c>
      <c r="F9" s="14">
        <v>132108</v>
      </c>
      <c r="G9" s="14" t="s">
        <v>94</v>
      </c>
      <c r="H9" s="15">
        <v>44768</v>
      </c>
      <c r="I9" s="14" t="s">
        <v>76</v>
      </c>
      <c r="J9" s="14" t="s">
        <v>95</v>
      </c>
      <c r="K9" s="14" t="s">
        <v>79</v>
      </c>
      <c r="L9" s="14" t="s">
        <v>78</v>
      </c>
      <c r="M9" s="15">
        <v>45900</v>
      </c>
      <c r="O9" s="14" t="s">
        <v>121</v>
      </c>
      <c r="P9" s="14" t="s">
        <v>105</v>
      </c>
      <c r="Q9" s="15">
        <v>46003</v>
      </c>
      <c r="R9" s="14" t="s">
        <v>122</v>
      </c>
      <c r="S9" s="14">
        <v>1730</v>
      </c>
      <c r="U9" s="1" t="str">
        <f>TEXT(tblTransactions[[#This Row],[Date]],"YYYY-MM")</f>
        <v>2025-12</v>
      </c>
      <c r="V9" s="14" t="s">
        <v>123</v>
      </c>
      <c r="W9" s="14" t="s">
        <v>119</v>
      </c>
      <c r="X9" s="14">
        <v>4</v>
      </c>
      <c r="Y9" s="14" t="s">
        <v>76</v>
      </c>
      <c r="Z9" s="14">
        <v>4</v>
      </c>
    </row>
    <row r="10" spans="1:26" ht="15" customHeight="1" x14ac:dyDescent="0.3">
      <c r="A10" s="14" t="s">
        <v>124</v>
      </c>
      <c r="B10" s="14" t="s">
        <v>125</v>
      </c>
      <c r="C10" s="14" t="s">
        <v>73</v>
      </c>
      <c r="D10" s="14">
        <v>41</v>
      </c>
      <c r="E10" s="14" t="s">
        <v>126</v>
      </c>
      <c r="F10" s="14">
        <v>107841</v>
      </c>
      <c r="G10" s="14" t="s">
        <v>127</v>
      </c>
      <c r="H10" s="15">
        <v>44708</v>
      </c>
      <c r="I10" s="14" t="s">
        <v>102</v>
      </c>
      <c r="J10" s="14" t="s">
        <v>77</v>
      </c>
      <c r="K10" s="14" t="s">
        <v>87</v>
      </c>
      <c r="L10" s="14" t="s">
        <v>78</v>
      </c>
      <c r="M10" s="15">
        <v>46032</v>
      </c>
      <c r="O10" s="14" t="s">
        <v>128</v>
      </c>
      <c r="P10" s="14" t="s">
        <v>105</v>
      </c>
      <c r="Q10" s="15">
        <v>45884</v>
      </c>
      <c r="R10" s="14" t="s">
        <v>117</v>
      </c>
      <c r="S10" s="14">
        <v>1730</v>
      </c>
      <c r="U10" s="1" t="str">
        <f>TEXT(tblTransactions[[#This Row],[Date]],"YYYY-MM")</f>
        <v>2025-08</v>
      </c>
      <c r="V10" s="14" t="s">
        <v>129</v>
      </c>
      <c r="W10" s="14" t="s">
        <v>124</v>
      </c>
      <c r="X10" s="14">
        <v>1</v>
      </c>
      <c r="Y10" s="14" t="s">
        <v>102</v>
      </c>
      <c r="Z10" s="14">
        <v>5</v>
      </c>
    </row>
    <row r="11" spans="1:26" ht="15" customHeight="1" x14ac:dyDescent="0.3">
      <c r="A11" s="14" t="s">
        <v>130</v>
      </c>
      <c r="B11" s="14" t="s">
        <v>131</v>
      </c>
      <c r="C11" s="14" t="s">
        <v>73</v>
      </c>
      <c r="D11" s="14">
        <v>43</v>
      </c>
      <c r="E11" s="14" t="s">
        <v>132</v>
      </c>
      <c r="F11" s="14">
        <v>149698</v>
      </c>
      <c r="G11" s="14" t="s">
        <v>133</v>
      </c>
      <c r="H11" s="15">
        <v>45702</v>
      </c>
      <c r="I11" s="14" t="s">
        <v>76</v>
      </c>
      <c r="J11" s="14" t="s">
        <v>77</v>
      </c>
      <c r="K11" s="14" t="s">
        <v>79</v>
      </c>
      <c r="L11" s="14" t="s">
        <v>78</v>
      </c>
      <c r="M11" s="15">
        <v>46033</v>
      </c>
      <c r="O11" s="14" t="s">
        <v>134</v>
      </c>
      <c r="P11" s="14" t="s">
        <v>105</v>
      </c>
      <c r="Q11" s="15">
        <v>45815</v>
      </c>
      <c r="R11" s="14" t="s">
        <v>135</v>
      </c>
      <c r="S11" s="14">
        <v>9740</v>
      </c>
      <c r="U11" s="1" t="str">
        <f>TEXT(tblTransactions[[#This Row],[Date]],"YYYY-MM")</f>
        <v>2025-06</v>
      </c>
      <c r="V11" s="14" t="s">
        <v>136</v>
      </c>
      <c r="W11" s="14" t="s">
        <v>130</v>
      </c>
      <c r="X11" s="14">
        <v>4</v>
      </c>
      <c r="Y11" s="14" t="s">
        <v>76</v>
      </c>
      <c r="Z11" s="14">
        <v>9</v>
      </c>
    </row>
    <row r="12" spans="1:26" ht="15" customHeight="1" x14ac:dyDescent="0.3">
      <c r="A12" s="14" t="s">
        <v>137</v>
      </c>
      <c r="B12" s="14" t="s">
        <v>138</v>
      </c>
      <c r="C12" s="14" t="s">
        <v>73</v>
      </c>
      <c r="D12" s="14">
        <v>21</v>
      </c>
      <c r="E12" s="14" t="s">
        <v>100</v>
      </c>
      <c r="F12" s="14">
        <v>72581</v>
      </c>
      <c r="G12" s="14" t="s">
        <v>127</v>
      </c>
      <c r="H12" s="15">
        <v>44697</v>
      </c>
      <c r="I12" s="14" t="s">
        <v>76</v>
      </c>
      <c r="J12" s="14" t="s">
        <v>95</v>
      </c>
      <c r="K12" s="14" t="s">
        <v>79</v>
      </c>
      <c r="L12" s="14" t="s">
        <v>87</v>
      </c>
      <c r="M12" s="15">
        <v>46085</v>
      </c>
      <c r="O12" s="14" t="s">
        <v>139</v>
      </c>
      <c r="P12" s="14" t="s">
        <v>105</v>
      </c>
      <c r="Q12" s="15">
        <v>45996</v>
      </c>
      <c r="R12" s="14" t="s">
        <v>110</v>
      </c>
      <c r="S12" s="14">
        <v>3090</v>
      </c>
      <c r="U12" s="1" t="str">
        <f>TEXT(tblTransactions[[#This Row],[Date]],"YYYY-MM")</f>
        <v>2025-12</v>
      </c>
      <c r="V12" s="14" t="s">
        <v>140</v>
      </c>
      <c r="W12" s="14" t="s">
        <v>137</v>
      </c>
      <c r="X12" s="14">
        <v>3</v>
      </c>
      <c r="Y12" s="14" t="s">
        <v>76</v>
      </c>
      <c r="Z12" s="14">
        <v>6</v>
      </c>
    </row>
    <row r="13" spans="1:26" ht="15" customHeight="1" x14ac:dyDescent="0.3">
      <c r="A13" s="14" t="s">
        <v>141</v>
      </c>
      <c r="B13" s="14" t="s">
        <v>142</v>
      </c>
      <c r="C13" s="14" t="s">
        <v>73</v>
      </c>
      <c r="D13" s="14">
        <v>60</v>
      </c>
      <c r="E13" s="14" t="s">
        <v>143</v>
      </c>
      <c r="F13" s="14">
        <v>71856</v>
      </c>
      <c r="G13" s="14" t="s">
        <v>133</v>
      </c>
      <c r="H13" s="15">
        <v>45501</v>
      </c>
      <c r="I13" s="14" t="s">
        <v>76</v>
      </c>
      <c r="J13" s="14" t="s">
        <v>77</v>
      </c>
      <c r="K13" s="14" t="s">
        <v>87</v>
      </c>
      <c r="L13" s="14" t="s">
        <v>87</v>
      </c>
      <c r="M13" s="15">
        <v>46059</v>
      </c>
      <c r="O13" s="14" t="s">
        <v>144</v>
      </c>
      <c r="P13" s="14" t="s">
        <v>105</v>
      </c>
      <c r="Q13" s="15">
        <v>45762</v>
      </c>
      <c r="R13" s="14" t="s">
        <v>122</v>
      </c>
      <c r="S13" s="14">
        <v>13260</v>
      </c>
      <c r="U13" s="1" t="str">
        <f>TEXT(tblTransactions[[#This Row],[Date]],"YYYY-MM")</f>
        <v>2025-04</v>
      </c>
      <c r="V13" s="14" t="s">
        <v>145</v>
      </c>
      <c r="W13" s="14" t="s">
        <v>141</v>
      </c>
      <c r="X13" s="14">
        <v>4</v>
      </c>
      <c r="Y13" s="14" t="s">
        <v>76</v>
      </c>
      <c r="Z13" s="14">
        <v>8</v>
      </c>
    </row>
    <row r="14" spans="1:26" ht="15" customHeight="1" x14ac:dyDescent="0.3">
      <c r="A14" s="14" t="s">
        <v>146</v>
      </c>
      <c r="B14" s="14" t="s">
        <v>147</v>
      </c>
      <c r="C14" s="14" t="s">
        <v>73</v>
      </c>
      <c r="D14" s="14">
        <v>56</v>
      </c>
      <c r="E14" s="14" t="s">
        <v>148</v>
      </c>
      <c r="F14" s="14">
        <v>137679</v>
      </c>
      <c r="G14" s="14" t="s">
        <v>149</v>
      </c>
      <c r="H14" s="15">
        <v>45379</v>
      </c>
      <c r="I14" s="14" t="s">
        <v>76</v>
      </c>
      <c r="J14" s="14" t="s">
        <v>95</v>
      </c>
      <c r="K14" s="14" t="s">
        <v>78</v>
      </c>
      <c r="L14" s="14" t="s">
        <v>87</v>
      </c>
      <c r="M14" s="15">
        <v>45965</v>
      </c>
      <c r="O14" s="14" t="s">
        <v>150</v>
      </c>
      <c r="P14" s="14" t="s">
        <v>105</v>
      </c>
      <c r="Q14" s="15">
        <v>45829</v>
      </c>
      <c r="R14" s="14" t="s">
        <v>89</v>
      </c>
      <c r="S14" s="14">
        <v>3740</v>
      </c>
      <c r="U14" s="1" t="str">
        <f>TEXT(tblTransactions[[#This Row],[Date]],"YYYY-MM")</f>
        <v>2025-06</v>
      </c>
      <c r="V14" s="14" t="s">
        <v>151</v>
      </c>
      <c r="W14" s="14" t="s">
        <v>146</v>
      </c>
      <c r="X14" s="14">
        <v>4</v>
      </c>
      <c r="Y14" s="14" t="s">
        <v>76</v>
      </c>
      <c r="Z14" s="14">
        <v>8</v>
      </c>
    </row>
    <row r="15" spans="1:26" ht="15" customHeight="1" x14ac:dyDescent="0.3">
      <c r="A15" s="14" t="s">
        <v>152</v>
      </c>
      <c r="B15" s="14" t="s">
        <v>153</v>
      </c>
      <c r="C15" s="14" t="s">
        <v>73</v>
      </c>
      <c r="D15" s="14">
        <v>22</v>
      </c>
      <c r="E15" s="14" t="s">
        <v>74</v>
      </c>
      <c r="F15" s="14">
        <v>40033</v>
      </c>
      <c r="G15" s="14" t="s">
        <v>115</v>
      </c>
      <c r="H15" s="15">
        <v>44889</v>
      </c>
      <c r="I15" s="14" t="s">
        <v>102</v>
      </c>
      <c r="J15" s="14" t="s">
        <v>95</v>
      </c>
      <c r="K15" s="14" t="s">
        <v>78</v>
      </c>
      <c r="L15" s="14" t="s">
        <v>87</v>
      </c>
      <c r="M15" s="15">
        <v>46096</v>
      </c>
      <c r="O15" s="14" t="s">
        <v>154</v>
      </c>
      <c r="P15" s="14" t="s">
        <v>105</v>
      </c>
      <c r="Q15" s="15">
        <v>45755</v>
      </c>
      <c r="R15" s="14" t="s">
        <v>110</v>
      </c>
      <c r="S15" s="14">
        <v>3220</v>
      </c>
      <c r="U15" s="1" t="str">
        <f>TEXT(tblTransactions[[#This Row],[Date]],"YYYY-MM")</f>
        <v>2025-04</v>
      </c>
      <c r="V15" s="14" t="s">
        <v>155</v>
      </c>
      <c r="W15" s="14" t="s">
        <v>152</v>
      </c>
      <c r="X15" s="14">
        <v>3</v>
      </c>
      <c r="Y15" s="14" t="s">
        <v>102</v>
      </c>
      <c r="Z15" s="14">
        <v>8</v>
      </c>
    </row>
    <row r="16" spans="1:26" ht="15" customHeight="1" x14ac:dyDescent="0.3">
      <c r="A16" s="14" t="s">
        <v>156</v>
      </c>
      <c r="B16" s="14" t="s">
        <v>157</v>
      </c>
      <c r="C16" s="14" t="s">
        <v>73</v>
      </c>
      <c r="D16" s="14">
        <v>48</v>
      </c>
      <c r="E16" s="14" t="s">
        <v>158</v>
      </c>
      <c r="F16" s="14">
        <v>52953</v>
      </c>
      <c r="G16" s="14" t="s">
        <v>159</v>
      </c>
      <c r="H16" s="15">
        <v>44585</v>
      </c>
      <c r="I16" s="14" t="s">
        <v>102</v>
      </c>
      <c r="J16" s="14" t="s">
        <v>77</v>
      </c>
      <c r="K16" s="14" t="s">
        <v>79</v>
      </c>
      <c r="L16" s="14" t="s">
        <v>79</v>
      </c>
      <c r="M16" s="15">
        <v>46044</v>
      </c>
      <c r="O16" s="14" t="s">
        <v>160</v>
      </c>
      <c r="P16" s="14" t="s">
        <v>105</v>
      </c>
      <c r="Q16" s="15">
        <v>45984</v>
      </c>
      <c r="R16" s="14" t="s">
        <v>110</v>
      </c>
      <c r="S16" s="14">
        <v>4010</v>
      </c>
      <c r="U16" s="1" t="str">
        <f>TEXT(tblTransactions[[#This Row],[Date]],"YYYY-MM")</f>
        <v>2025-11</v>
      </c>
      <c r="V16" s="14" t="s">
        <v>161</v>
      </c>
      <c r="W16" s="14" t="s">
        <v>156</v>
      </c>
      <c r="X16" s="14">
        <v>4</v>
      </c>
      <c r="Y16" s="14" t="s">
        <v>102</v>
      </c>
      <c r="Z16" s="14">
        <v>5</v>
      </c>
    </row>
    <row r="17" spans="1:26" ht="15" customHeight="1" x14ac:dyDescent="0.3">
      <c r="A17" s="14" t="s">
        <v>162</v>
      </c>
      <c r="B17" s="14" t="s">
        <v>163</v>
      </c>
      <c r="C17" s="14" t="s">
        <v>73</v>
      </c>
      <c r="D17" s="14">
        <v>60</v>
      </c>
      <c r="E17" s="14" t="s">
        <v>100</v>
      </c>
      <c r="F17" s="14">
        <v>34621</v>
      </c>
      <c r="G17" s="14" t="s">
        <v>127</v>
      </c>
      <c r="H17" s="15">
        <v>45452</v>
      </c>
      <c r="I17" s="14" t="s">
        <v>76</v>
      </c>
      <c r="J17" s="14" t="s">
        <v>77</v>
      </c>
      <c r="K17" s="14" t="s">
        <v>87</v>
      </c>
      <c r="L17" s="14" t="s">
        <v>79</v>
      </c>
      <c r="M17" s="15">
        <v>46060</v>
      </c>
      <c r="O17" s="14" t="s">
        <v>164</v>
      </c>
      <c r="P17" s="14" t="s">
        <v>105</v>
      </c>
      <c r="Q17" s="15">
        <v>45826</v>
      </c>
      <c r="R17" s="14" t="s">
        <v>117</v>
      </c>
      <c r="S17" s="14">
        <v>1260</v>
      </c>
      <c r="U17" s="1" t="str">
        <f>TEXT(tblTransactions[[#This Row],[Date]],"YYYY-MM")</f>
        <v>2025-06</v>
      </c>
      <c r="V17" s="14" t="s">
        <v>165</v>
      </c>
      <c r="W17" s="14" t="s">
        <v>162</v>
      </c>
      <c r="X17" s="14">
        <v>5</v>
      </c>
      <c r="Y17" s="14" t="s">
        <v>76</v>
      </c>
      <c r="Z17" s="14">
        <v>6</v>
      </c>
    </row>
    <row r="18" spans="1:26" ht="15" customHeight="1" x14ac:dyDescent="0.3">
      <c r="A18" s="14" t="s">
        <v>166</v>
      </c>
      <c r="B18" s="14" t="s">
        <v>167</v>
      </c>
      <c r="C18" s="14" t="s">
        <v>73</v>
      </c>
      <c r="D18" s="14">
        <v>51</v>
      </c>
      <c r="E18" s="14" t="s">
        <v>168</v>
      </c>
      <c r="F18" s="14">
        <v>86542</v>
      </c>
      <c r="G18" s="14" t="s">
        <v>133</v>
      </c>
      <c r="H18" s="15">
        <v>44779</v>
      </c>
      <c r="I18" s="14" t="s">
        <v>102</v>
      </c>
      <c r="J18" s="14" t="s">
        <v>77</v>
      </c>
      <c r="K18" s="14" t="s">
        <v>87</v>
      </c>
      <c r="L18" s="14" t="s">
        <v>87</v>
      </c>
      <c r="M18" s="15">
        <v>45863</v>
      </c>
      <c r="O18" s="14" t="s">
        <v>169</v>
      </c>
      <c r="P18" s="14" t="s">
        <v>105</v>
      </c>
      <c r="Q18" s="15">
        <v>45887</v>
      </c>
      <c r="R18" s="14" t="s">
        <v>81</v>
      </c>
      <c r="S18" s="14">
        <v>4560</v>
      </c>
      <c r="U18" s="1" t="str">
        <f>TEXT(tblTransactions[[#This Row],[Date]],"YYYY-MM")</f>
        <v>2025-08</v>
      </c>
      <c r="V18" s="14" t="s">
        <v>170</v>
      </c>
      <c r="W18" s="14" t="s">
        <v>166</v>
      </c>
      <c r="X18" s="14">
        <v>2</v>
      </c>
      <c r="Y18" s="14" t="s">
        <v>102</v>
      </c>
      <c r="Z18" s="14">
        <v>7</v>
      </c>
    </row>
    <row r="19" spans="1:26" ht="15" customHeight="1" x14ac:dyDescent="0.3">
      <c r="A19" s="14" t="s">
        <v>171</v>
      </c>
      <c r="B19" s="14" t="s">
        <v>172</v>
      </c>
      <c r="C19" s="14" t="s">
        <v>73</v>
      </c>
      <c r="D19" s="14">
        <v>28</v>
      </c>
      <c r="E19" s="14" t="s">
        <v>173</v>
      </c>
      <c r="F19" s="14">
        <v>119943</v>
      </c>
      <c r="G19" s="14" t="s">
        <v>101</v>
      </c>
      <c r="H19" s="15">
        <v>45666</v>
      </c>
      <c r="I19" s="14" t="s">
        <v>102</v>
      </c>
      <c r="J19" s="14" t="s">
        <v>95</v>
      </c>
      <c r="K19" s="14" t="s">
        <v>79</v>
      </c>
      <c r="L19" s="14" t="s">
        <v>87</v>
      </c>
      <c r="M19" s="15">
        <v>46069</v>
      </c>
      <c r="O19" s="14" t="s">
        <v>174</v>
      </c>
      <c r="P19" s="14" t="s">
        <v>105</v>
      </c>
      <c r="Q19" s="15">
        <v>45995</v>
      </c>
      <c r="R19" s="14" t="s">
        <v>117</v>
      </c>
      <c r="S19" s="14">
        <v>8150</v>
      </c>
      <c r="U19" s="1" t="str">
        <f>TEXT(tblTransactions[[#This Row],[Date]],"YYYY-MM")</f>
        <v>2025-12</v>
      </c>
      <c r="V19" s="14" t="s">
        <v>175</v>
      </c>
      <c r="W19" s="14" t="s">
        <v>171</v>
      </c>
      <c r="X19" s="14">
        <v>3</v>
      </c>
      <c r="Y19" s="14" t="s">
        <v>102</v>
      </c>
      <c r="Z19" s="14">
        <v>7</v>
      </c>
    </row>
    <row r="20" spans="1:26" ht="15" customHeight="1" x14ac:dyDescent="0.3">
      <c r="A20" s="14" t="s">
        <v>176</v>
      </c>
      <c r="B20" s="14" t="s">
        <v>177</v>
      </c>
      <c r="C20" s="14" t="s">
        <v>73</v>
      </c>
      <c r="D20" s="14">
        <v>50</v>
      </c>
      <c r="E20" s="14" t="s">
        <v>178</v>
      </c>
      <c r="F20" s="14">
        <v>34662</v>
      </c>
      <c r="G20" s="14" t="s">
        <v>133</v>
      </c>
      <c r="H20" s="15">
        <v>45305</v>
      </c>
      <c r="I20" s="14" t="s">
        <v>102</v>
      </c>
      <c r="J20" s="14" t="s">
        <v>95</v>
      </c>
      <c r="K20" s="14" t="s">
        <v>87</v>
      </c>
      <c r="L20" s="14" t="s">
        <v>78</v>
      </c>
      <c r="M20" s="15">
        <v>46112</v>
      </c>
      <c r="O20" s="14" t="s">
        <v>179</v>
      </c>
      <c r="P20" s="14" t="s">
        <v>105</v>
      </c>
      <c r="Q20" s="15">
        <v>45822</v>
      </c>
      <c r="R20" s="14" t="s">
        <v>81</v>
      </c>
      <c r="S20" s="14">
        <v>4180</v>
      </c>
      <c r="U20" s="1" t="str">
        <f>TEXT(tblTransactions[[#This Row],[Date]],"YYYY-MM")</f>
        <v>2025-06</v>
      </c>
      <c r="V20" s="14" t="s">
        <v>180</v>
      </c>
      <c r="W20" s="14" t="s">
        <v>176</v>
      </c>
      <c r="X20" s="14">
        <v>4</v>
      </c>
      <c r="Y20" s="14" t="s">
        <v>102</v>
      </c>
      <c r="Z20" s="14">
        <v>7</v>
      </c>
    </row>
    <row r="21" spans="1:26" ht="15" customHeight="1" x14ac:dyDescent="0.3">
      <c r="A21" s="14" t="s">
        <v>181</v>
      </c>
      <c r="B21" s="14" t="s">
        <v>182</v>
      </c>
      <c r="C21" s="14" t="s">
        <v>73</v>
      </c>
      <c r="D21" s="14">
        <v>55</v>
      </c>
      <c r="E21" s="14" t="s">
        <v>85</v>
      </c>
      <c r="F21" s="14">
        <v>31226</v>
      </c>
      <c r="G21" s="14" t="s">
        <v>75</v>
      </c>
      <c r="H21" s="15">
        <v>45557</v>
      </c>
      <c r="I21" s="14" t="s">
        <v>102</v>
      </c>
      <c r="J21" s="14" t="s">
        <v>95</v>
      </c>
      <c r="K21" s="14" t="s">
        <v>87</v>
      </c>
      <c r="L21" s="14" t="s">
        <v>78</v>
      </c>
      <c r="M21" s="15">
        <v>46105</v>
      </c>
      <c r="O21" s="14" t="s">
        <v>183</v>
      </c>
      <c r="P21" s="14" t="s">
        <v>105</v>
      </c>
      <c r="Q21" s="15">
        <v>46013</v>
      </c>
      <c r="R21" s="14" t="s">
        <v>135</v>
      </c>
      <c r="S21" s="14">
        <v>6680</v>
      </c>
      <c r="U21" s="1" t="str">
        <f>TEXT(tblTransactions[[#This Row],[Date]],"YYYY-MM")</f>
        <v>2025-12</v>
      </c>
      <c r="V21" s="14" t="s">
        <v>184</v>
      </c>
      <c r="W21" s="14" t="s">
        <v>181</v>
      </c>
      <c r="X21" s="14">
        <v>4</v>
      </c>
      <c r="Y21" s="14" t="s">
        <v>102</v>
      </c>
      <c r="Z21" s="14">
        <v>6</v>
      </c>
    </row>
    <row r="22" spans="1:26" ht="15" customHeight="1" x14ac:dyDescent="0.3">
      <c r="A22" s="14" t="s">
        <v>185</v>
      </c>
      <c r="B22" s="14" t="s">
        <v>186</v>
      </c>
      <c r="C22" s="14" t="s">
        <v>73</v>
      </c>
      <c r="D22" s="14">
        <v>61</v>
      </c>
      <c r="E22" s="14" t="s">
        <v>143</v>
      </c>
      <c r="F22" s="14">
        <v>144105</v>
      </c>
      <c r="G22" s="14" t="s">
        <v>159</v>
      </c>
      <c r="H22" s="15">
        <v>44900</v>
      </c>
      <c r="I22" s="14" t="s">
        <v>76</v>
      </c>
      <c r="J22" s="14" t="s">
        <v>95</v>
      </c>
      <c r="K22" s="14" t="s">
        <v>87</v>
      </c>
      <c r="L22" s="14" t="s">
        <v>78</v>
      </c>
      <c r="M22" s="15">
        <v>46098</v>
      </c>
      <c r="O22" s="14" t="s">
        <v>187</v>
      </c>
      <c r="P22" s="14" t="s">
        <v>112</v>
      </c>
      <c r="Q22" s="15">
        <v>45960</v>
      </c>
      <c r="R22" s="14" t="s">
        <v>89</v>
      </c>
      <c r="S22" s="14">
        <v>12330</v>
      </c>
      <c r="U22" s="1" t="str">
        <f>TEXT(tblTransactions[[#This Row],[Date]],"YYYY-MM")</f>
        <v>2025-10</v>
      </c>
      <c r="V22" s="14" t="s">
        <v>188</v>
      </c>
      <c r="W22" s="14" t="s">
        <v>185</v>
      </c>
      <c r="X22" s="14">
        <v>4</v>
      </c>
      <c r="Y22" s="14" t="s">
        <v>76</v>
      </c>
      <c r="Z22" s="14">
        <v>6</v>
      </c>
    </row>
    <row r="23" spans="1:26" ht="15" customHeight="1" x14ac:dyDescent="0.3">
      <c r="A23" s="14" t="s">
        <v>189</v>
      </c>
      <c r="B23" s="14" t="s">
        <v>190</v>
      </c>
      <c r="C23" s="14" t="s">
        <v>73</v>
      </c>
      <c r="D23" s="14">
        <v>53</v>
      </c>
      <c r="E23" s="14" t="s">
        <v>126</v>
      </c>
      <c r="F23" s="14">
        <v>113447</v>
      </c>
      <c r="G23" s="14" t="s">
        <v>127</v>
      </c>
      <c r="H23" s="15">
        <v>45379</v>
      </c>
      <c r="I23" s="14" t="s">
        <v>102</v>
      </c>
      <c r="J23" s="14" t="s">
        <v>95</v>
      </c>
      <c r="K23" s="14" t="s">
        <v>87</v>
      </c>
      <c r="L23" s="14" t="s">
        <v>87</v>
      </c>
      <c r="M23" s="15">
        <v>46083</v>
      </c>
      <c r="O23" s="14" t="s">
        <v>191</v>
      </c>
      <c r="P23" s="14" t="s">
        <v>119</v>
      </c>
      <c r="Q23" s="15">
        <v>45898</v>
      </c>
      <c r="R23" s="14" t="s">
        <v>122</v>
      </c>
      <c r="S23" s="14">
        <v>1610</v>
      </c>
      <c r="U23" s="1" t="str">
        <f>TEXT(tblTransactions[[#This Row],[Date]],"YYYY-MM")</f>
        <v>2025-08</v>
      </c>
      <c r="V23" s="14" t="s">
        <v>192</v>
      </c>
      <c r="W23" s="14" t="s">
        <v>189</v>
      </c>
      <c r="X23" s="14">
        <v>2</v>
      </c>
      <c r="Y23" s="14" t="s">
        <v>102</v>
      </c>
      <c r="Z23" s="14">
        <v>8</v>
      </c>
    </row>
    <row r="24" spans="1:26" ht="15" customHeight="1" x14ac:dyDescent="0.3">
      <c r="A24" s="14" t="s">
        <v>193</v>
      </c>
      <c r="B24" s="14" t="s">
        <v>194</v>
      </c>
      <c r="C24" s="14" t="s">
        <v>73</v>
      </c>
      <c r="D24" s="14">
        <v>26</v>
      </c>
      <c r="E24" s="14" t="s">
        <v>195</v>
      </c>
      <c r="F24" s="14">
        <v>49451</v>
      </c>
      <c r="G24" s="14" t="s">
        <v>196</v>
      </c>
      <c r="H24" s="15">
        <v>45254</v>
      </c>
      <c r="I24" s="14" t="s">
        <v>76</v>
      </c>
      <c r="J24" s="14" t="s">
        <v>95</v>
      </c>
      <c r="K24" s="14" t="s">
        <v>87</v>
      </c>
      <c r="L24" s="14" t="s">
        <v>78</v>
      </c>
      <c r="M24" s="15">
        <v>46036</v>
      </c>
      <c r="O24" s="14" t="s">
        <v>197</v>
      </c>
      <c r="P24" s="14" t="s">
        <v>119</v>
      </c>
      <c r="Q24" s="15">
        <v>45862</v>
      </c>
      <c r="R24" s="14" t="s">
        <v>117</v>
      </c>
      <c r="S24" s="14">
        <v>2560</v>
      </c>
      <c r="U24" s="1" t="str">
        <f>TEXT(tblTransactions[[#This Row],[Date]],"YYYY-MM")</f>
        <v>2025-07</v>
      </c>
      <c r="V24" s="14" t="s">
        <v>198</v>
      </c>
      <c r="W24" s="14" t="s">
        <v>193</v>
      </c>
      <c r="X24" s="14">
        <v>3</v>
      </c>
      <c r="Y24" s="14" t="s">
        <v>76</v>
      </c>
      <c r="Z24" s="14">
        <v>5</v>
      </c>
    </row>
    <row r="25" spans="1:26" ht="15" customHeight="1" x14ac:dyDescent="0.3">
      <c r="A25" s="14" t="s">
        <v>199</v>
      </c>
      <c r="B25" s="14" t="s">
        <v>200</v>
      </c>
      <c r="C25" s="14" t="s">
        <v>73</v>
      </c>
      <c r="D25" s="14">
        <v>59</v>
      </c>
      <c r="E25" s="14" t="s">
        <v>201</v>
      </c>
      <c r="F25" s="14">
        <v>50007</v>
      </c>
      <c r="G25" s="14" t="s">
        <v>196</v>
      </c>
      <c r="H25" s="15">
        <v>44626</v>
      </c>
      <c r="I25" s="14" t="s">
        <v>102</v>
      </c>
      <c r="J25" s="14" t="s">
        <v>77</v>
      </c>
      <c r="K25" s="14" t="s">
        <v>78</v>
      </c>
      <c r="L25" s="14" t="s">
        <v>87</v>
      </c>
      <c r="M25" s="15">
        <v>46090</v>
      </c>
      <c r="O25" s="14" t="s">
        <v>202</v>
      </c>
      <c r="P25" s="14" t="s">
        <v>119</v>
      </c>
      <c r="Q25" s="15">
        <v>45871</v>
      </c>
      <c r="R25" s="14" t="s">
        <v>117</v>
      </c>
      <c r="S25" s="14">
        <v>2540</v>
      </c>
      <c r="U25" s="1" t="str">
        <f>TEXT(tblTransactions[[#This Row],[Date]],"YYYY-MM")</f>
        <v>2025-08</v>
      </c>
      <c r="V25" s="14" t="s">
        <v>203</v>
      </c>
      <c r="W25" s="14" t="s">
        <v>199</v>
      </c>
      <c r="X25" s="14">
        <v>3</v>
      </c>
      <c r="Y25" s="14" t="s">
        <v>102</v>
      </c>
      <c r="Z25" s="14">
        <v>9</v>
      </c>
    </row>
    <row r="26" spans="1:26" ht="15" customHeight="1" x14ac:dyDescent="0.3">
      <c r="A26" s="14" t="s">
        <v>204</v>
      </c>
      <c r="B26" s="14" t="s">
        <v>205</v>
      </c>
      <c r="C26" s="14" t="s">
        <v>73</v>
      </c>
      <c r="D26" s="14">
        <v>32</v>
      </c>
      <c r="E26" s="14" t="s">
        <v>93</v>
      </c>
      <c r="F26" s="14">
        <v>37342</v>
      </c>
      <c r="G26" s="14" t="s">
        <v>75</v>
      </c>
      <c r="H26" s="15">
        <v>45731</v>
      </c>
      <c r="I26" s="14" t="s">
        <v>76</v>
      </c>
      <c r="J26" s="14" t="s">
        <v>77</v>
      </c>
      <c r="K26" s="14" t="s">
        <v>87</v>
      </c>
      <c r="L26" s="14" t="s">
        <v>87</v>
      </c>
      <c r="M26" s="15">
        <v>46106</v>
      </c>
      <c r="O26" s="14" t="s">
        <v>206</v>
      </c>
      <c r="P26" s="14" t="s">
        <v>119</v>
      </c>
      <c r="Q26" s="15">
        <v>45844</v>
      </c>
      <c r="R26" s="14" t="s">
        <v>81</v>
      </c>
      <c r="S26" s="14">
        <v>10400</v>
      </c>
      <c r="U26" s="1" t="str">
        <f>TEXT(tblTransactions[[#This Row],[Date]],"YYYY-MM")</f>
        <v>2025-07</v>
      </c>
      <c r="V26" s="14" t="s">
        <v>207</v>
      </c>
      <c r="W26" s="14" t="s">
        <v>204</v>
      </c>
      <c r="X26" s="14">
        <v>3</v>
      </c>
      <c r="Y26" s="14" t="s">
        <v>76</v>
      </c>
      <c r="Z26" s="14">
        <v>5</v>
      </c>
    </row>
    <row r="27" spans="1:26" ht="15" customHeight="1" x14ac:dyDescent="0.3">
      <c r="A27" s="14" t="s">
        <v>208</v>
      </c>
      <c r="B27" s="14" t="s">
        <v>209</v>
      </c>
      <c r="C27" s="14" t="s">
        <v>73</v>
      </c>
      <c r="D27" s="14">
        <v>25</v>
      </c>
      <c r="E27" s="14" t="s">
        <v>74</v>
      </c>
      <c r="F27" s="14">
        <v>106374</v>
      </c>
      <c r="G27" s="14" t="s">
        <v>86</v>
      </c>
      <c r="H27" s="15">
        <v>45287</v>
      </c>
      <c r="I27" s="14" t="s">
        <v>76</v>
      </c>
      <c r="J27" s="14" t="s">
        <v>95</v>
      </c>
      <c r="K27" s="14" t="s">
        <v>87</v>
      </c>
      <c r="L27" s="14" t="s">
        <v>87</v>
      </c>
      <c r="M27" s="15">
        <v>45979</v>
      </c>
      <c r="O27" s="14" t="s">
        <v>210</v>
      </c>
      <c r="P27" s="14" t="s">
        <v>119</v>
      </c>
      <c r="Q27" s="15">
        <v>45830</v>
      </c>
      <c r="R27" s="14" t="s">
        <v>122</v>
      </c>
      <c r="S27" s="14">
        <v>20890</v>
      </c>
      <c r="U27" s="1" t="str">
        <f>TEXT(tblTransactions[[#This Row],[Date]],"YYYY-MM")</f>
        <v>2025-06</v>
      </c>
      <c r="V27" s="14" t="s">
        <v>211</v>
      </c>
      <c r="W27" s="14" t="s">
        <v>208</v>
      </c>
      <c r="X27" s="14">
        <v>4</v>
      </c>
      <c r="Y27" s="14" t="s">
        <v>76</v>
      </c>
      <c r="Z27" s="14">
        <v>8</v>
      </c>
    </row>
    <row r="28" spans="1:26" ht="15" customHeight="1" x14ac:dyDescent="0.3">
      <c r="A28" s="14" t="s">
        <v>212</v>
      </c>
      <c r="B28" s="14" t="s">
        <v>213</v>
      </c>
      <c r="C28" s="14" t="s">
        <v>73</v>
      </c>
      <c r="D28" s="14">
        <v>60</v>
      </c>
      <c r="E28" s="14" t="s">
        <v>74</v>
      </c>
      <c r="F28" s="14">
        <v>27944</v>
      </c>
      <c r="G28" s="14" t="s">
        <v>86</v>
      </c>
      <c r="H28" s="15">
        <v>45256</v>
      </c>
      <c r="I28" s="14" t="s">
        <v>102</v>
      </c>
      <c r="J28" s="14" t="s">
        <v>77</v>
      </c>
      <c r="K28" s="14" t="s">
        <v>78</v>
      </c>
      <c r="L28" s="14" t="s">
        <v>87</v>
      </c>
      <c r="M28" s="15">
        <v>45938</v>
      </c>
      <c r="O28" s="14" t="s">
        <v>214</v>
      </c>
      <c r="P28" s="14" t="s">
        <v>119</v>
      </c>
      <c r="Q28" s="15">
        <v>45894</v>
      </c>
      <c r="R28" s="14" t="s">
        <v>81</v>
      </c>
      <c r="S28" s="14">
        <v>870</v>
      </c>
      <c r="U28" s="1" t="str">
        <f>TEXT(tblTransactions[[#This Row],[Date]],"YYYY-MM")</f>
        <v>2025-08</v>
      </c>
      <c r="V28" s="14" t="s">
        <v>215</v>
      </c>
      <c r="W28" s="14" t="s">
        <v>212</v>
      </c>
      <c r="X28" s="14">
        <v>3</v>
      </c>
      <c r="Y28" s="14" t="s">
        <v>102</v>
      </c>
      <c r="Z28" s="14">
        <v>9</v>
      </c>
    </row>
    <row r="29" spans="1:26" ht="15" customHeight="1" x14ac:dyDescent="0.3">
      <c r="A29" s="14" t="s">
        <v>216</v>
      </c>
      <c r="B29" s="14" t="s">
        <v>217</v>
      </c>
      <c r="C29" s="14" t="s">
        <v>73</v>
      </c>
      <c r="D29" s="14">
        <v>27</v>
      </c>
      <c r="E29" s="14" t="s">
        <v>148</v>
      </c>
      <c r="F29" s="14">
        <v>44050</v>
      </c>
      <c r="G29" s="14" t="s">
        <v>127</v>
      </c>
      <c r="H29" s="15">
        <v>45509</v>
      </c>
      <c r="I29" s="14" t="s">
        <v>76</v>
      </c>
      <c r="J29" s="14" t="s">
        <v>95</v>
      </c>
      <c r="K29" s="14" t="s">
        <v>87</v>
      </c>
      <c r="L29" s="14" t="s">
        <v>79</v>
      </c>
      <c r="M29" s="15">
        <v>46075</v>
      </c>
      <c r="O29" s="14" t="s">
        <v>218</v>
      </c>
      <c r="P29" s="14" t="s">
        <v>119</v>
      </c>
      <c r="Q29" s="15">
        <v>45807</v>
      </c>
      <c r="R29" s="14" t="s">
        <v>89</v>
      </c>
      <c r="S29" s="14">
        <v>7480</v>
      </c>
      <c r="U29" s="1" t="str">
        <f>TEXT(tblTransactions[[#This Row],[Date]],"YYYY-MM")</f>
        <v>2025-05</v>
      </c>
      <c r="V29" s="14" t="s">
        <v>219</v>
      </c>
      <c r="W29" s="14" t="s">
        <v>216</v>
      </c>
      <c r="X29" s="14">
        <v>2</v>
      </c>
      <c r="Y29" s="14" t="s">
        <v>76</v>
      </c>
      <c r="Z29" s="14">
        <v>4</v>
      </c>
    </row>
    <row r="30" spans="1:26" ht="15" customHeight="1" x14ac:dyDescent="0.3">
      <c r="A30" s="14" t="s">
        <v>220</v>
      </c>
      <c r="B30" s="14" t="s">
        <v>221</v>
      </c>
      <c r="C30" s="14" t="s">
        <v>73</v>
      </c>
      <c r="D30" s="14">
        <v>54</v>
      </c>
      <c r="E30" s="14" t="s">
        <v>74</v>
      </c>
      <c r="F30" s="14">
        <v>26630</v>
      </c>
      <c r="G30" s="14" t="s">
        <v>115</v>
      </c>
      <c r="H30" s="15">
        <v>45669</v>
      </c>
      <c r="I30" s="14" t="s">
        <v>102</v>
      </c>
      <c r="J30" s="14" t="s">
        <v>95</v>
      </c>
      <c r="K30" s="14" t="s">
        <v>79</v>
      </c>
      <c r="L30" s="14" t="s">
        <v>79</v>
      </c>
      <c r="M30" s="15">
        <v>46077</v>
      </c>
      <c r="O30" s="14" t="s">
        <v>222</v>
      </c>
      <c r="P30" s="14" t="s">
        <v>119</v>
      </c>
      <c r="Q30" s="15">
        <v>45869</v>
      </c>
      <c r="R30" s="14" t="s">
        <v>135</v>
      </c>
      <c r="S30" s="14">
        <v>2360</v>
      </c>
      <c r="U30" s="1" t="str">
        <f>TEXT(tblTransactions[[#This Row],[Date]],"YYYY-MM")</f>
        <v>2025-07</v>
      </c>
      <c r="V30" s="14" t="s">
        <v>223</v>
      </c>
      <c r="W30" s="14" t="s">
        <v>220</v>
      </c>
      <c r="X30" s="14">
        <v>4</v>
      </c>
      <c r="Y30" s="14" t="s">
        <v>102</v>
      </c>
      <c r="Z30" s="14">
        <v>5</v>
      </c>
    </row>
    <row r="31" spans="1:26" ht="15" customHeight="1" x14ac:dyDescent="0.3">
      <c r="A31" s="14" t="s">
        <v>224</v>
      </c>
      <c r="B31" s="14" t="s">
        <v>225</v>
      </c>
      <c r="C31" s="14" t="s">
        <v>73</v>
      </c>
      <c r="D31" s="14">
        <v>29</v>
      </c>
      <c r="E31" s="14" t="s">
        <v>148</v>
      </c>
      <c r="F31" s="14">
        <v>83653</v>
      </c>
      <c r="G31" s="14" t="s">
        <v>226</v>
      </c>
      <c r="H31" s="15">
        <v>44999</v>
      </c>
      <c r="I31" s="14" t="s">
        <v>102</v>
      </c>
      <c r="J31" s="14" t="s">
        <v>95</v>
      </c>
      <c r="K31" s="14" t="s">
        <v>78</v>
      </c>
      <c r="L31" s="14" t="s">
        <v>78</v>
      </c>
      <c r="M31" s="15">
        <v>45965</v>
      </c>
      <c r="O31" s="14" t="s">
        <v>227</v>
      </c>
      <c r="P31" s="14" t="s">
        <v>119</v>
      </c>
      <c r="Q31" s="15">
        <v>45845</v>
      </c>
      <c r="R31" s="14" t="s">
        <v>135</v>
      </c>
      <c r="S31" s="14">
        <v>1850</v>
      </c>
      <c r="U31" s="1" t="str">
        <f>TEXT(tblTransactions[[#This Row],[Date]],"YYYY-MM")</f>
        <v>2025-07</v>
      </c>
      <c r="V31" s="14" t="s">
        <v>228</v>
      </c>
      <c r="W31" s="14" t="s">
        <v>224</v>
      </c>
      <c r="X31" s="14">
        <v>3</v>
      </c>
      <c r="Y31" s="14" t="s">
        <v>102</v>
      </c>
      <c r="Z31" s="14">
        <v>9</v>
      </c>
    </row>
    <row r="32" spans="1:26" ht="15" customHeight="1" x14ac:dyDescent="0.3">
      <c r="A32" s="14" t="s">
        <v>229</v>
      </c>
      <c r="B32" s="14" t="s">
        <v>230</v>
      </c>
      <c r="C32" s="14" t="s">
        <v>73</v>
      </c>
      <c r="D32" s="14">
        <v>43</v>
      </c>
      <c r="E32" s="14" t="s">
        <v>132</v>
      </c>
      <c r="F32" s="14">
        <v>141440</v>
      </c>
      <c r="G32" s="14" t="s">
        <v>108</v>
      </c>
      <c r="H32" s="15">
        <v>45493</v>
      </c>
      <c r="I32" s="14" t="s">
        <v>76</v>
      </c>
      <c r="J32" s="14" t="s">
        <v>95</v>
      </c>
      <c r="K32" s="14" t="s">
        <v>87</v>
      </c>
      <c r="L32" s="14" t="s">
        <v>79</v>
      </c>
      <c r="M32" s="15">
        <v>46010</v>
      </c>
      <c r="O32" s="14" t="s">
        <v>231</v>
      </c>
      <c r="P32" s="14" t="s">
        <v>119</v>
      </c>
      <c r="Q32" s="15">
        <v>45786</v>
      </c>
      <c r="R32" s="14" t="s">
        <v>81</v>
      </c>
      <c r="S32" s="14">
        <v>9770</v>
      </c>
      <c r="U32" s="1" t="str">
        <f>TEXT(tblTransactions[[#This Row],[Date]],"YYYY-MM")</f>
        <v>2025-05</v>
      </c>
      <c r="V32" s="14" t="s">
        <v>232</v>
      </c>
      <c r="W32" s="14" t="s">
        <v>229</v>
      </c>
      <c r="X32" s="14">
        <v>2</v>
      </c>
      <c r="Y32" s="14" t="s">
        <v>76</v>
      </c>
      <c r="Z32" s="14">
        <v>9</v>
      </c>
    </row>
    <row r="33" spans="1:26" ht="15" customHeight="1" x14ac:dyDescent="0.3">
      <c r="A33" s="14" t="s">
        <v>233</v>
      </c>
      <c r="B33" s="14" t="s">
        <v>234</v>
      </c>
      <c r="C33" s="14" t="s">
        <v>73</v>
      </c>
      <c r="D33" s="14">
        <v>61</v>
      </c>
      <c r="E33" s="14" t="s">
        <v>143</v>
      </c>
      <c r="F33" s="14">
        <v>40289</v>
      </c>
      <c r="G33" s="14" t="s">
        <v>94</v>
      </c>
      <c r="H33" s="15">
        <v>45169</v>
      </c>
      <c r="I33" s="14" t="s">
        <v>76</v>
      </c>
      <c r="J33" s="14" t="s">
        <v>77</v>
      </c>
      <c r="K33" s="14" t="s">
        <v>87</v>
      </c>
      <c r="L33" s="14" t="s">
        <v>78</v>
      </c>
      <c r="M33" s="15">
        <v>46002</v>
      </c>
      <c r="O33" s="14" t="s">
        <v>235</v>
      </c>
      <c r="P33" s="14" t="s">
        <v>119</v>
      </c>
      <c r="Q33" s="15">
        <v>45757</v>
      </c>
      <c r="R33" s="14" t="s">
        <v>89</v>
      </c>
      <c r="S33" s="14">
        <v>19290</v>
      </c>
      <c r="U33" s="1" t="str">
        <f>TEXT(tblTransactions[[#This Row],[Date]],"YYYY-MM")</f>
        <v>2025-04</v>
      </c>
      <c r="V33" s="14" t="s">
        <v>236</v>
      </c>
      <c r="W33" s="14" t="s">
        <v>233</v>
      </c>
      <c r="X33" s="14">
        <v>4</v>
      </c>
      <c r="Y33" s="14" t="s">
        <v>76</v>
      </c>
      <c r="Z33" s="14">
        <v>10</v>
      </c>
    </row>
    <row r="34" spans="1:26" ht="15" customHeight="1" x14ac:dyDescent="0.3">
      <c r="A34" s="14" t="s">
        <v>237</v>
      </c>
      <c r="B34" s="14" t="s">
        <v>238</v>
      </c>
      <c r="C34" s="14" t="s">
        <v>73</v>
      </c>
      <c r="D34" s="14">
        <v>39</v>
      </c>
      <c r="E34" s="14" t="s">
        <v>201</v>
      </c>
      <c r="F34" s="14">
        <v>26572</v>
      </c>
      <c r="G34" s="14" t="s">
        <v>149</v>
      </c>
      <c r="H34" s="15">
        <v>45538</v>
      </c>
      <c r="I34" s="14" t="s">
        <v>76</v>
      </c>
      <c r="J34" s="14" t="s">
        <v>95</v>
      </c>
      <c r="K34" s="14" t="s">
        <v>78</v>
      </c>
      <c r="L34" s="14" t="s">
        <v>79</v>
      </c>
      <c r="M34" s="15">
        <v>46108</v>
      </c>
      <c r="O34" s="14" t="s">
        <v>239</v>
      </c>
      <c r="P34" s="14" t="s">
        <v>119</v>
      </c>
      <c r="Q34" s="15">
        <v>45773</v>
      </c>
      <c r="R34" s="14" t="s">
        <v>81</v>
      </c>
      <c r="S34" s="14">
        <v>19740</v>
      </c>
      <c r="U34" s="1" t="str">
        <f>TEXT(tblTransactions[[#This Row],[Date]],"YYYY-MM")</f>
        <v>2025-04</v>
      </c>
      <c r="V34" s="14" t="s">
        <v>240</v>
      </c>
      <c r="W34" s="14" t="s">
        <v>237</v>
      </c>
      <c r="X34" s="14">
        <v>4</v>
      </c>
      <c r="Y34" s="14" t="s">
        <v>76</v>
      </c>
      <c r="Z34" s="14">
        <v>9</v>
      </c>
    </row>
    <row r="35" spans="1:26" ht="15" customHeight="1" x14ac:dyDescent="0.3">
      <c r="A35" s="14" t="s">
        <v>241</v>
      </c>
      <c r="B35" s="14" t="s">
        <v>242</v>
      </c>
      <c r="C35" s="14" t="s">
        <v>73</v>
      </c>
      <c r="D35" s="14">
        <v>24</v>
      </c>
      <c r="E35" s="14" t="s">
        <v>168</v>
      </c>
      <c r="F35" s="14">
        <v>28981</v>
      </c>
      <c r="G35" s="14" t="s">
        <v>149</v>
      </c>
      <c r="H35" s="15">
        <v>44701</v>
      </c>
      <c r="I35" s="14" t="s">
        <v>102</v>
      </c>
      <c r="J35" s="14" t="s">
        <v>77</v>
      </c>
      <c r="K35" s="14" t="s">
        <v>78</v>
      </c>
      <c r="L35" s="14" t="s">
        <v>79</v>
      </c>
      <c r="M35" s="15">
        <v>46096</v>
      </c>
      <c r="O35" s="14" t="s">
        <v>243</v>
      </c>
      <c r="P35" s="14" t="s">
        <v>119</v>
      </c>
      <c r="Q35" s="15">
        <v>45778</v>
      </c>
      <c r="R35" s="14" t="s">
        <v>122</v>
      </c>
      <c r="S35" s="14">
        <v>5070</v>
      </c>
      <c r="U35" s="1" t="str">
        <f>TEXT(tblTransactions[[#This Row],[Date]],"YYYY-MM")</f>
        <v>2025-05</v>
      </c>
      <c r="V35" s="14" t="s">
        <v>244</v>
      </c>
      <c r="W35" s="14" t="s">
        <v>241</v>
      </c>
      <c r="X35" s="14">
        <v>5</v>
      </c>
      <c r="Y35" s="14" t="s">
        <v>102</v>
      </c>
      <c r="Z35" s="14">
        <v>7</v>
      </c>
    </row>
    <row r="36" spans="1:26" ht="15" customHeight="1" x14ac:dyDescent="0.3">
      <c r="A36" s="14" t="s">
        <v>245</v>
      </c>
      <c r="B36" s="14" t="s">
        <v>246</v>
      </c>
      <c r="C36" s="14" t="s">
        <v>73</v>
      </c>
      <c r="D36" s="14">
        <v>34</v>
      </c>
      <c r="E36" s="14" t="s">
        <v>247</v>
      </c>
      <c r="F36" s="14">
        <v>97924</v>
      </c>
      <c r="G36" s="14" t="s">
        <v>248</v>
      </c>
      <c r="H36" s="15">
        <v>44729</v>
      </c>
      <c r="I36" s="14" t="s">
        <v>76</v>
      </c>
      <c r="J36" s="14" t="s">
        <v>95</v>
      </c>
      <c r="K36" s="14" t="s">
        <v>87</v>
      </c>
      <c r="L36" s="14" t="s">
        <v>79</v>
      </c>
      <c r="M36" s="15">
        <v>46064</v>
      </c>
      <c r="O36" s="14" t="s">
        <v>249</v>
      </c>
      <c r="P36" s="14" t="s">
        <v>119</v>
      </c>
      <c r="Q36" s="15">
        <v>45900</v>
      </c>
      <c r="R36" s="14" t="s">
        <v>81</v>
      </c>
      <c r="S36" s="14">
        <v>4170</v>
      </c>
      <c r="U36" s="1" t="str">
        <f>TEXT(tblTransactions[[#This Row],[Date]],"YYYY-MM")</f>
        <v>2025-08</v>
      </c>
      <c r="V36" s="14" t="s">
        <v>250</v>
      </c>
      <c r="W36" s="14" t="s">
        <v>245</v>
      </c>
      <c r="X36" s="14">
        <v>4</v>
      </c>
      <c r="Y36" s="14" t="s">
        <v>76</v>
      </c>
      <c r="Z36" s="14">
        <v>6</v>
      </c>
    </row>
    <row r="37" spans="1:26" ht="15" customHeight="1" x14ac:dyDescent="0.3">
      <c r="A37" s="14" t="s">
        <v>251</v>
      </c>
      <c r="B37" s="14" t="s">
        <v>252</v>
      </c>
      <c r="C37" s="14" t="s">
        <v>73</v>
      </c>
      <c r="D37" s="14">
        <v>32</v>
      </c>
      <c r="E37" s="14" t="s">
        <v>100</v>
      </c>
      <c r="F37" s="14">
        <v>51285</v>
      </c>
      <c r="G37" s="14" t="s">
        <v>127</v>
      </c>
      <c r="H37" s="15">
        <v>45372</v>
      </c>
      <c r="I37" s="14" t="s">
        <v>76</v>
      </c>
      <c r="J37" s="14" t="s">
        <v>95</v>
      </c>
      <c r="K37" s="14" t="s">
        <v>87</v>
      </c>
      <c r="L37" s="14" t="s">
        <v>79</v>
      </c>
      <c r="M37" s="15">
        <v>45834</v>
      </c>
      <c r="O37" s="14" t="s">
        <v>253</v>
      </c>
      <c r="P37" s="14" t="s">
        <v>124</v>
      </c>
      <c r="Q37" s="15">
        <v>46032</v>
      </c>
      <c r="R37" s="14" t="s">
        <v>89</v>
      </c>
      <c r="S37" s="14">
        <v>570</v>
      </c>
      <c r="U37" s="1" t="str">
        <f>TEXT(tblTransactions[[#This Row],[Date]],"YYYY-MM")</f>
        <v>2026-01</v>
      </c>
      <c r="V37" s="14" t="s">
        <v>254</v>
      </c>
      <c r="W37" s="14" t="s">
        <v>251</v>
      </c>
      <c r="X37" s="14">
        <v>4</v>
      </c>
      <c r="Y37" s="14" t="s">
        <v>76</v>
      </c>
      <c r="Z37" s="14">
        <v>4</v>
      </c>
    </row>
    <row r="38" spans="1:26" ht="15" customHeight="1" x14ac:dyDescent="0.3">
      <c r="A38" s="14" t="s">
        <v>255</v>
      </c>
      <c r="B38" s="14" t="s">
        <v>256</v>
      </c>
      <c r="C38" s="14" t="s">
        <v>73</v>
      </c>
      <c r="D38" s="14">
        <v>23</v>
      </c>
      <c r="E38" s="14" t="s">
        <v>178</v>
      </c>
      <c r="F38" s="14">
        <v>80068</v>
      </c>
      <c r="G38" s="14" t="s">
        <v>149</v>
      </c>
      <c r="H38" s="15">
        <v>45715</v>
      </c>
      <c r="I38" s="14" t="s">
        <v>102</v>
      </c>
      <c r="J38" s="14" t="s">
        <v>77</v>
      </c>
      <c r="K38" s="14" t="s">
        <v>78</v>
      </c>
      <c r="L38" s="14" t="s">
        <v>87</v>
      </c>
      <c r="M38" s="15">
        <v>45836</v>
      </c>
      <c r="O38" s="14" t="s">
        <v>257</v>
      </c>
      <c r="P38" s="14" t="s">
        <v>130</v>
      </c>
      <c r="Q38" s="15">
        <v>46033</v>
      </c>
      <c r="R38" s="14" t="s">
        <v>89</v>
      </c>
      <c r="S38" s="14">
        <v>6730</v>
      </c>
      <c r="U38" s="1" t="str">
        <f>TEXT(tblTransactions[[#This Row],[Date]],"YYYY-MM")</f>
        <v>2026-01</v>
      </c>
      <c r="V38" s="14" t="s">
        <v>258</v>
      </c>
      <c r="W38" s="14" t="s">
        <v>255</v>
      </c>
      <c r="X38" s="14">
        <v>5</v>
      </c>
      <c r="Y38" s="14" t="s">
        <v>102</v>
      </c>
      <c r="Z38" s="14">
        <v>8</v>
      </c>
    </row>
    <row r="39" spans="1:26" ht="15" customHeight="1" x14ac:dyDescent="0.3">
      <c r="A39" s="14" t="s">
        <v>259</v>
      </c>
      <c r="B39" s="14" t="s">
        <v>260</v>
      </c>
      <c r="C39" s="14" t="s">
        <v>73</v>
      </c>
      <c r="D39" s="14">
        <v>41</v>
      </c>
      <c r="E39" s="14" t="s">
        <v>85</v>
      </c>
      <c r="F39" s="14">
        <v>135247</v>
      </c>
      <c r="G39" s="14" t="s">
        <v>94</v>
      </c>
      <c r="H39" s="15">
        <v>45318</v>
      </c>
      <c r="I39" s="14" t="s">
        <v>76</v>
      </c>
      <c r="J39" s="14" t="s">
        <v>95</v>
      </c>
      <c r="K39" s="14" t="s">
        <v>87</v>
      </c>
      <c r="L39" s="14" t="s">
        <v>87</v>
      </c>
      <c r="M39" s="15">
        <v>46095</v>
      </c>
      <c r="O39" s="14" t="s">
        <v>261</v>
      </c>
      <c r="P39" s="14" t="s">
        <v>137</v>
      </c>
      <c r="Q39" s="15">
        <v>46025</v>
      </c>
      <c r="R39" s="14" t="s">
        <v>135</v>
      </c>
      <c r="S39" s="14">
        <v>6040</v>
      </c>
      <c r="U39" s="1" t="str">
        <f>TEXT(tblTransactions[[#This Row],[Date]],"YYYY-MM")</f>
        <v>2026-01</v>
      </c>
      <c r="V39" s="14" t="s">
        <v>262</v>
      </c>
      <c r="W39" s="14" t="s">
        <v>259</v>
      </c>
      <c r="X39" s="14">
        <v>4</v>
      </c>
      <c r="Y39" s="14" t="s">
        <v>76</v>
      </c>
      <c r="Z39" s="14">
        <v>5</v>
      </c>
    </row>
    <row r="40" spans="1:26" ht="15" customHeight="1" x14ac:dyDescent="0.3">
      <c r="A40" s="14" t="s">
        <v>263</v>
      </c>
      <c r="B40" s="14" t="s">
        <v>264</v>
      </c>
      <c r="C40" s="14" t="s">
        <v>73</v>
      </c>
      <c r="D40" s="14">
        <v>60</v>
      </c>
      <c r="E40" s="14" t="s">
        <v>158</v>
      </c>
      <c r="F40" s="14">
        <v>21025</v>
      </c>
      <c r="G40" s="14" t="s">
        <v>115</v>
      </c>
      <c r="H40" s="15">
        <v>45697</v>
      </c>
      <c r="I40" s="14" t="s">
        <v>76</v>
      </c>
      <c r="J40" s="14" t="s">
        <v>95</v>
      </c>
      <c r="K40" s="14" t="s">
        <v>79</v>
      </c>
      <c r="L40" s="14" t="s">
        <v>78</v>
      </c>
      <c r="M40" s="15">
        <v>46033</v>
      </c>
      <c r="O40" s="14" t="s">
        <v>265</v>
      </c>
      <c r="P40" s="14" t="s">
        <v>137</v>
      </c>
      <c r="Q40" s="15">
        <v>45895</v>
      </c>
      <c r="R40" s="14" t="s">
        <v>122</v>
      </c>
      <c r="S40" s="14">
        <v>4810</v>
      </c>
      <c r="U40" s="1" t="str">
        <f>TEXT(tblTransactions[[#This Row],[Date]],"YYYY-MM")</f>
        <v>2025-08</v>
      </c>
      <c r="V40" s="14" t="s">
        <v>266</v>
      </c>
      <c r="W40" s="14" t="s">
        <v>263</v>
      </c>
      <c r="X40" s="14">
        <v>4</v>
      </c>
      <c r="Y40" s="14" t="s">
        <v>76</v>
      </c>
      <c r="Z40" s="14">
        <v>8</v>
      </c>
    </row>
    <row r="41" spans="1:26" ht="15" customHeight="1" x14ac:dyDescent="0.3">
      <c r="A41" s="14" t="s">
        <v>267</v>
      </c>
      <c r="B41" s="14" t="s">
        <v>268</v>
      </c>
      <c r="C41" s="14" t="s">
        <v>73</v>
      </c>
      <c r="D41" s="14">
        <v>26</v>
      </c>
      <c r="E41" s="14" t="s">
        <v>74</v>
      </c>
      <c r="F41" s="14">
        <v>117310</v>
      </c>
      <c r="G41" s="14" t="s">
        <v>159</v>
      </c>
      <c r="H41" s="15">
        <v>44880</v>
      </c>
      <c r="I41" s="14" t="s">
        <v>76</v>
      </c>
      <c r="J41" s="14" t="s">
        <v>95</v>
      </c>
      <c r="K41" s="14" t="s">
        <v>87</v>
      </c>
      <c r="L41" s="14" t="s">
        <v>78</v>
      </c>
      <c r="M41" s="15">
        <v>46100</v>
      </c>
      <c r="O41" s="14" t="s">
        <v>269</v>
      </c>
      <c r="P41" s="14" t="s">
        <v>137</v>
      </c>
      <c r="Q41" s="15">
        <v>45794</v>
      </c>
      <c r="R41" s="14" t="s">
        <v>135</v>
      </c>
      <c r="S41" s="14">
        <v>3220</v>
      </c>
      <c r="U41" s="1" t="str">
        <f>TEXT(tblTransactions[[#This Row],[Date]],"YYYY-MM")</f>
        <v>2025-05</v>
      </c>
      <c r="V41" s="14" t="s">
        <v>270</v>
      </c>
      <c r="W41" s="14" t="s">
        <v>267</v>
      </c>
      <c r="X41" s="14">
        <v>4</v>
      </c>
      <c r="Y41" s="14" t="s">
        <v>76</v>
      </c>
      <c r="Z41" s="14">
        <v>8</v>
      </c>
    </row>
    <row r="42" spans="1:26" ht="15" customHeight="1" x14ac:dyDescent="0.3">
      <c r="A42" s="14" t="s">
        <v>271</v>
      </c>
      <c r="B42" s="14" t="s">
        <v>272</v>
      </c>
      <c r="C42" s="14" t="s">
        <v>73</v>
      </c>
      <c r="D42" s="14">
        <v>59</v>
      </c>
      <c r="E42" s="14" t="s">
        <v>132</v>
      </c>
      <c r="F42" s="14">
        <v>86244</v>
      </c>
      <c r="G42" s="14" t="s">
        <v>226</v>
      </c>
      <c r="H42" s="15">
        <v>45076</v>
      </c>
      <c r="I42" s="14" t="s">
        <v>102</v>
      </c>
      <c r="J42" s="14" t="s">
        <v>95</v>
      </c>
      <c r="K42" s="14" t="s">
        <v>78</v>
      </c>
      <c r="L42" s="14" t="s">
        <v>87</v>
      </c>
      <c r="M42" s="15">
        <v>46071</v>
      </c>
      <c r="O42" s="14" t="s">
        <v>273</v>
      </c>
      <c r="P42" s="14" t="s">
        <v>137</v>
      </c>
      <c r="Q42" s="15">
        <v>45799</v>
      </c>
      <c r="R42" s="14" t="s">
        <v>81</v>
      </c>
      <c r="S42" s="14">
        <v>5210</v>
      </c>
      <c r="U42" s="1" t="str">
        <f>TEXT(tblTransactions[[#This Row],[Date]],"YYYY-MM")</f>
        <v>2025-05</v>
      </c>
      <c r="V42" s="14" t="s">
        <v>274</v>
      </c>
      <c r="W42" s="14" t="s">
        <v>271</v>
      </c>
      <c r="X42" s="14">
        <v>3</v>
      </c>
      <c r="Y42" s="14" t="s">
        <v>102</v>
      </c>
      <c r="Z42" s="14">
        <v>7</v>
      </c>
    </row>
    <row r="43" spans="1:26" ht="15" customHeight="1" x14ac:dyDescent="0.3">
      <c r="A43" s="14" t="s">
        <v>275</v>
      </c>
      <c r="B43" s="14" t="s">
        <v>276</v>
      </c>
      <c r="C43" s="14" t="s">
        <v>73</v>
      </c>
      <c r="D43" s="14">
        <v>36</v>
      </c>
      <c r="E43" s="14" t="s">
        <v>201</v>
      </c>
      <c r="F43" s="14">
        <v>20464</v>
      </c>
      <c r="G43" s="14" t="s">
        <v>277</v>
      </c>
      <c r="H43" s="15">
        <v>44829</v>
      </c>
      <c r="I43" s="14" t="s">
        <v>102</v>
      </c>
      <c r="J43" s="14" t="s">
        <v>77</v>
      </c>
      <c r="K43" s="14" t="s">
        <v>87</v>
      </c>
      <c r="L43" s="14" t="s">
        <v>87</v>
      </c>
      <c r="M43" s="15">
        <v>46050</v>
      </c>
      <c r="O43" s="14" t="s">
        <v>278</v>
      </c>
      <c r="P43" s="14" t="s">
        <v>137</v>
      </c>
      <c r="Q43" s="15">
        <v>45833</v>
      </c>
      <c r="R43" s="14" t="s">
        <v>110</v>
      </c>
      <c r="S43" s="14">
        <v>2480</v>
      </c>
      <c r="U43" s="1" t="str">
        <f>TEXT(tblTransactions[[#This Row],[Date]],"YYYY-MM")</f>
        <v>2025-06</v>
      </c>
      <c r="V43" s="14" t="s">
        <v>279</v>
      </c>
      <c r="W43" s="14" t="s">
        <v>275</v>
      </c>
      <c r="X43" s="14">
        <v>3</v>
      </c>
      <c r="Y43" s="14" t="s">
        <v>102</v>
      </c>
      <c r="Z43" s="14">
        <v>7</v>
      </c>
    </row>
    <row r="44" spans="1:26" ht="15" customHeight="1" x14ac:dyDescent="0.3">
      <c r="A44" s="14" t="s">
        <v>280</v>
      </c>
      <c r="B44" s="14" t="s">
        <v>281</v>
      </c>
      <c r="C44" s="14" t="s">
        <v>73</v>
      </c>
      <c r="D44" s="14">
        <v>46</v>
      </c>
      <c r="E44" s="14" t="s">
        <v>93</v>
      </c>
      <c r="F44" s="14">
        <v>21267</v>
      </c>
      <c r="G44" s="14" t="s">
        <v>196</v>
      </c>
      <c r="H44" s="15">
        <v>44716</v>
      </c>
      <c r="I44" s="14" t="s">
        <v>102</v>
      </c>
      <c r="J44" s="14" t="s">
        <v>95</v>
      </c>
      <c r="K44" s="14" t="s">
        <v>78</v>
      </c>
      <c r="L44" s="14" t="s">
        <v>78</v>
      </c>
      <c r="M44" s="15">
        <v>45899</v>
      </c>
      <c r="O44" s="14" t="s">
        <v>282</v>
      </c>
      <c r="P44" s="14" t="s">
        <v>137</v>
      </c>
      <c r="Q44" s="15">
        <v>45914</v>
      </c>
      <c r="R44" s="14" t="s">
        <v>110</v>
      </c>
      <c r="S44" s="14">
        <v>890</v>
      </c>
      <c r="U44" s="1" t="str">
        <f>TEXT(tblTransactions[[#This Row],[Date]],"YYYY-MM")</f>
        <v>2025-09</v>
      </c>
      <c r="V44" s="14" t="s">
        <v>283</v>
      </c>
      <c r="W44" s="14" t="s">
        <v>280</v>
      </c>
      <c r="X44" s="14">
        <v>3</v>
      </c>
      <c r="Y44" s="14" t="s">
        <v>102</v>
      </c>
      <c r="Z44" s="14">
        <v>6</v>
      </c>
    </row>
    <row r="45" spans="1:26" ht="15" customHeight="1" x14ac:dyDescent="0.3">
      <c r="A45" s="14" t="s">
        <v>284</v>
      </c>
      <c r="B45" s="14" t="s">
        <v>285</v>
      </c>
      <c r="C45" s="14" t="s">
        <v>73</v>
      </c>
      <c r="D45" s="14">
        <v>42</v>
      </c>
      <c r="E45" s="14" t="s">
        <v>247</v>
      </c>
      <c r="F45" s="14">
        <v>92420</v>
      </c>
      <c r="G45" s="14" t="s">
        <v>101</v>
      </c>
      <c r="H45" s="15">
        <v>45442</v>
      </c>
      <c r="I45" s="14" t="s">
        <v>76</v>
      </c>
      <c r="J45" s="14" t="s">
        <v>77</v>
      </c>
      <c r="K45" s="14" t="s">
        <v>79</v>
      </c>
      <c r="L45" s="14" t="s">
        <v>79</v>
      </c>
      <c r="M45" s="15">
        <v>46090</v>
      </c>
      <c r="O45" s="14" t="s">
        <v>286</v>
      </c>
      <c r="P45" s="14" t="s">
        <v>137</v>
      </c>
      <c r="Q45" s="15">
        <v>45898</v>
      </c>
      <c r="R45" s="14" t="s">
        <v>122</v>
      </c>
      <c r="S45" s="14">
        <v>2640</v>
      </c>
      <c r="U45" s="1" t="str">
        <f>TEXT(tblTransactions[[#This Row],[Date]],"YYYY-MM")</f>
        <v>2025-08</v>
      </c>
      <c r="V45" s="14" t="s">
        <v>287</v>
      </c>
      <c r="W45" s="14" t="s">
        <v>284</v>
      </c>
      <c r="X45" s="14">
        <v>5</v>
      </c>
      <c r="Y45" s="14" t="s">
        <v>76</v>
      </c>
      <c r="Z45" s="14">
        <v>5</v>
      </c>
    </row>
    <row r="46" spans="1:26" ht="15" customHeight="1" x14ac:dyDescent="0.3">
      <c r="A46" s="14" t="s">
        <v>288</v>
      </c>
      <c r="B46" s="14" t="s">
        <v>289</v>
      </c>
      <c r="C46" s="14" t="s">
        <v>73</v>
      </c>
      <c r="D46" s="14">
        <v>21</v>
      </c>
      <c r="E46" s="14" t="s">
        <v>173</v>
      </c>
      <c r="F46" s="14">
        <v>47535</v>
      </c>
      <c r="G46" s="14" t="s">
        <v>115</v>
      </c>
      <c r="H46" s="15">
        <v>45073</v>
      </c>
      <c r="I46" s="14" t="s">
        <v>102</v>
      </c>
      <c r="J46" s="14" t="s">
        <v>95</v>
      </c>
      <c r="K46" s="14" t="s">
        <v>87</v>
      </c>
      <c r="L46" s="14" t="s">
        <v>79</v>
      </c>
      <c r="M46" s="15">
        <v>45840</v>
      </c>
      <c r="O46" s="14" t="s">
        <v>290</v>
      </c>
      <c r="P46" s="14" t="s">
        <v>137</v>
      </c>
      <c r="Q46" s="15">
        <v>46019</v>
      </c>
      <c r="R46" s="14" t="s">
        <v>81</v>
      </c>
      <c r="S46" s="14">
        <v>8700</v>
      </c>
      <c r="U46" s="1" t="str">
        <f>TEXT(tblTransactions[[#This Row],[Date]],"YYYY-MM")</f>
        <v>2025-12</v>
      </c>
      <c r="V46" s="14" t="s">
        <v>291</v>
      </c>
      <c r="W46" s="14" t="s">
        <v>288</v>
      </c>
      <c r="X46" s="14">
        <v>3</v>
      </c>
      <c r="Y46" s="14" t="s">
        <v>102</v>
      </c>
      <c r="Z46" s="14">
        <v>7</v>
      </c>
    </row>
    <row r="47" spans="1:26" ht="15" customHeight="1" x14ac:dyDescent="0.3">
      <c r="A47" s="14" t="s">
        <v>292</v>
      </c>
      <c r="B47" s="14" t="s">
        <v>293</v>
      </c>
      <c r="C47" s="14" t="s">
        <v>73</v>
      </c>
      <c r="D47" s="14">
        <v>58</v>
      </c>
      <c r="E47" s="14" t="s">
        <v>294</v>
      </c>
      <c r="F47" s="14">
        <v>141341</v>
      </c>
      <c r="G47" s="14" t="s">
        <v>133</v>
      </c>
      <c r="H47" s="15">
        <v>45046</v>
      </c>
      <c r="I47" s="14" t="s">
        <v>102</v>
      </c>
      <c r="J47" s="14" t="s">
        <v>95</v>
      </c>
      <c r="K47" s="14" t="s">
        <v>79</v>
      </c>
      <c r="L47" s="14" t="s">
        <v>79</v>
      </c>
      <c r="M47" s="15">
        <v>46080</v>
      </c>
      <c r="O47" s="14" t="s">
        <v>295</v>
      </c>
      <c r="P47" s="14" t="s">
        <v>137</v>
      </c>
      <c r="Q47" s="15">
        <v>46037</v>
      </c>
      <c r="R47" s="14" t="s">
        <v>122</v>
      </c>
      <c r="S47" s="14">
        <v>3650</v>
      </c>
      <c r="U47" s="1" t="str">
        <f>TEXT(tblTransactions[[#This Row],[Date]],"YYYY-MM")</f>
        <v>2026-01</v>
      </c>
      <c r="V47" s="14" t="s">
        <v>296</v>
      </c>
      <c r="W47" s="14" t="s">
        <v>292</v>
      </c>
      <c r="X47" s="14">
        <v>5</v>
      </c>
      <c r="Y47" s="14" t="s">
        <v>102</v>
      </c>
      <c r="Z47" s="14">
        <v>6</v>
      </c>
    </row>
    <row r="48" spans="1:26" ht="15" customHeight="1" x14ac:dyDescent="0.3">
      <c r="A48" s="14" t="s">
        <v>297</v>
      </c>
      <c r="B48" s="14" t="s">
        <v>298</v>
      </c>
      <c r="C48" s="14" t="s">
        <v>73</v>
      </c>
      <c r="D48" s="14">
        <v>20</v>
      </c>
      <c r="E48" s="14" t="s">
        <v>168</v>
      </c>
      <c r="F48" s="14">
        <v>116542</v>
      </c>
      <c r="G48" s="14" t="s">
        <v>133</v>
      </c>
      <c r="H48" s="15">
        <v>45242</v>
      </c>
      <c r="I48" s="14" t="s">
        <v>102</v>
      </c>
      <c r="J48" s="14" t="s">
        <v>95</v>
      </c>
      <c r="K48" s="14" t="s">
        <v>87</v>
      </c>
      <c r="L48" s="14" t="s">
        <v>79</v>
      </c>
      <c r="M48" s="15">
        <v>46010</v>
      </c>
      <c r="O48" s="14" t="s">
        <v>299</v>
      </c>
      <c r="P48" s="14" t="s">
        <v>137</v>
      </c>
      <c r="Q48" s="15">
        <v>45788</v>
      </c>
      <c r="R48" s="14" t="s">
        <v>117</v>
      </c>
      <c r="S48" s="14">
        <v>2850</v>
      </c>
      <c r="U48" s="1" t="str">
        <f>TEXT(tblTransactions[[#This Row],[Date]],"YYYY-MM")</f>
        <v>2025-05</v>
      </c>
      <c r="V48" s="14" t="s">
        <v>300</v>
      </c>
      <c r="W48" s="14" t="s">
        <v>297</v>
      </c>
      <c r="X48" s="14">
        <v>4</v>
      </c>
      <c r="Y48" s="14" t="s">
        <v>102</v>
      </c>
      <c r="Z48" s="14">
        <v>5</v>
      </c>
    </row>
    <row r="49" spans="1:26" ht="15" customHeight="1" x14ac:dyDescent="0.3">
      <c r="A49" s="14" t="s">
        <v>301</v>
      </c>
      <c r="B49" s="14" t="s">
        <v>302</v>
      </c>
      <c r="C49" s="14" t="s">
        <v>73</v>
      </c>
      <c r="D49" s="14">
        <v>34</v>
      </c>
      <c r="E49" s="14" t="s">
        <v>132</v>
      </c>
      <c r="F49" s="14">
        <v>40866</v>
      </c>
      <c r="G49" s="14" t="s">
        <v>108</v>
      </c>
      <c r="H49" s="15">
        <v>44783</v>
      </c>
      <c r="I49" s="14" t="s">
        <v>76</v>
      </c>
      <c r="J49" s="14" t="s">
        <v>77</v>
      </c>
      <c r="K49" s="14" t="s">
        <v>87</v>
      </c>
      <c r="L49" s="14" t="s">
        <v>78</v>
      </c>
      <c r="M49" s="15">
        <v>45824</v>
      </c>
      <c r="O49" s="14" t="s">
        <v>303</v>
      </c>
      <c r="P49" s="14" t="s">
        <v>137</v>
      </c>
      <c r="Q49" s="15">
        <v>45943</v>
      </c>
      <c r="R49" s="14" t="s">
        <v>117</v>
      </c>
      <c r="S49" s="14">
        <v>2920</v>
      </c>
      <c r="U49" s="1" t="str">
        <f>TEXT(tblTransactions[[#This Row],[Date]],"YYYY-MM")</f>
        <v>2025-10</v>
      </c>
      <c r="V49" s="14" t="s">
        <v>304</v>
      </c>
      <c r="W49" s="14" t="s">
        <v>301</v>
      </c>
      <c r="X49" s="14">
        <v>4</v>
      </c>
      <c r="Y49" s="14" t="s">
        <v>76</v>
      </c>
      <c r="Z49" s="14">
        <v>6</v>
      </c>
    </row>
    <row r="50" spans="1:26" ht="15" customHeight="1" x14ac:dyDescent="0.3">
      <c r="A50" s="14" t="s">
        <v>305</v>
      </c>
      <c r="B50" s="14" t="s">
        <v>306</v>
      </c>
      <c r="C50" s="14" t="s">
        <v>73</v>
      </c>
      <c r="D50" s="14">
        <v>48</v>
      </c>
      <c r="E50" s="14" t="s">
        <v>173</v>
      </c>
      <c r="F50" s="14">
        <v>60001</v>
      </c>
      <c r="G50" s="14" t="s">
        <v>307</v>
      </c>
      <c r="H50" s="15">
        <v>45028</v>
      </c>
      <c r="I50" s="14" t="s">
        <v>76</v>
      </c>
      <c r="J50" s="14" t="s">
        <v>95</v>
      </c>
      <c r="K50" s="14" t="s">
        <v>87</v>
      </c>
      <c r="L50" s="14" t="s">
        <v>87</v>
      </c>
      <c r="M50" s="15">
        <v>46059</v>
      </c>
      <c r="O50" s="14" t="s">
        <v>308</v>
      </c>
      <c r="P50" s="14" t="s">
        <v>137</v>
      </c>
      <c r="Q50" s="15">
        <v>45821</v>
      </c>
      <c r="R50" s="14" t="s">
        <v>122</v>
      </c>
      <c r="S50" s="14">
        <v>3000</v>
      </c>
      <c r="U50" s="1" t="str">
        <f>TEXT(tblTransactions[[#This Row],[Date]],"YYYY-MM")</f>
        <v>2025-06</v>
      </c>
      <c r="V50" s="14" t="s">
        <v>309</v>
      </c>
      <c r="W50" s="14" t="s">
        <v>305</v>
      </c>
      <c r="X50" s="14">
        <v>4</v>
      </c>
      <c r="Y50" s="14" t="s">
        <v>76</v>
      </c>
      <c r="Z50" s="14">
        <v>9</v>
      </c>
    </row>
    <row r="51" spans="1:26" ht="15" customHeight="1" x14ac:dyDescent="0.3">
      <c r="A51" s="14" t="s">
        <v>310</v>
      </c>
      <c r="B51" s="14" t="s">
        <v>311</v>
      </c>
      <c r="C51" s="14" t="s">
        <v>73</v>
      </c>
      <c r="D51" s="14">
        <v>23</v>
      </c>
      <c r="E51" s="14" t="s">
        <v>132</v>
      </c>
      <c r="F51" s="14">
        <v>66025</v>
      </c>
      <c r="G51" s="14" t="s">
        <v>115</v>
      </c>
      <c r="H51" s="15">
        <v>45605</v>
      </c>
      <c r="I51" s="14" t="s">
        <v>76</v>
      </c>
      <c r="J51" s="14" t="s">
        <v>95</v>
      </c>
      <c r="K51" s="14" t="s">
        <v>87</v>
      </c>
      <c r="L51" s="14" t="s">
        <v>79</v>
      </c>
      <c r="M51" s="15">
        <v>45932</v>
      </c>
      <c r="O51" s="14" t="s">
        <v>312</v>
      </c>
      <c r="P51" s="14" t="s">
        <v>137</v>
      </c>
      <c r="Q51" s="15">
        <v>45984</v>
      </c>
      <c r="R51" s="14" t="s">
        <v>135</v>
      </c>
      <c r="S51" s="14">
        <v>2530</v>
      </c>
      <c r="U51" s="1" t="str">
        <f>TEXT(tblTransactions[[#This Row],[Date]],"YYYY-MM")</f>
        <v>2025-11</v>
      </c>
      <c r="V51" s="14" t="s">
        <v>313</v>
      </c>
      <c r="W51" s="14" t="s">
        <v>310</v>
      </c>
      <c r="X51" s="14">
        <v>4</v>
      </c>
      <c r="Y51" s="14" t="s">
        <v>76</v>
      </c>
      <c r="Z51" s="14">
        <v>9</v>
      </c>
    </row>
    <row r="52" spans="1:26" ht="15" customHeight="1" x14ac:dyDescent="0.3">
      <c r="A52" s="14" t="s">
        <v>314</v>
      </c>
      <c r="B52" s="14" t="s">
        <v>315</v>
      </c>
      <c r="C52" s="14" t="s">
        <v>73</v>
      </c>
      <c r="D52" s="14">
        <v>26</v>
      </c>
      <c r="E52" s="14" t="s">
        <v>132</v>
      </c>
      <c r="F52" s="14">
        <v>43405</v>
      </c>
      <c r="G52" s="14" t="s">
        <v>149</v>
      </c>
      <c r="H52" s="15">
        <v>45105</v>
      </c>
      <c r="I52" s="14" t="s">
        <v>76</v>
      </c>
      <c r="J52" s="14" t="s">
        <v>95</v>
      </c>
      <c r="K52" s="14" t="s">
        <v>87</v>
      </c>
      <c r="L52" s="14" t="s">
        <v>79</v>
      </c>
      <c r="M52" s="15">
        <v>45946</v>
      </c>
      <c r="O52" s="14" t="s">
        <v>316</v>
      </c>
      <c r="P52" s="14" t="s">
        <v>137</v>
      </c>
      <c r="Q52" s="15">
        <v>46085</v>
      </c>
      <c r="R52" s="14" t="s">
        <v>110</v>
      </c>
      <c r="S52" s="14">
        <v>2290</v>
      </c>
      <c r="U52" s="1" t="str">
        <f>TEXT(tblTransactions[[#This Row],[Date]],"YYYY-MM")</f>
        <v>2026-03</v>
      </c>
      <c r="V52" s="14" t="s">
        <v>317</v>
      </c>
      <c r="W52" s="14" t="s">
        <v>314</v>
      </c>
      <c r="X52" s="14">
        <v>3</v>
      </c>
      <c r="Y52" s="14" t="s">
        <v>76</v>
      </c>
      <c r="Z52" s="14">
        <v>6</v>
      </c>
    </row>
    <row r="53" spans="1:26" ht="15" customHeight="1" x14ac:dyDescent="0.3">
      <c r="A53" s="14" t="s">
        <v>318</v>
      </c>
      <c r="B53" s="14" t="s">
        <v>319</v>
      </c>
      <c r="C53" s="14" t="s">
        <v>320</v>
      </c>
      <c r="D53" s="14">
        <v>46</v>
      </c>
      <c r="E53" s="14" t="s">
        <v>107</v>
      </c>
      <c r="F53" s="14">
        <v>149005</v>
      </c>
      <c r="G53" s="14" t="s">
        <v>159</v>
      </c>
      <c r="H53" s="15">
        <v>44798</v>
      </c>
      <c r="I53" s="14" t="s">
        <v>76</v>
      </c>
      <c r="J53" s="14" t="s">
        <v>95</v>
      </c>
      <c r="K53" s="14" t="s">
        <v>87</v>
      </c>
      <c r="L53" s="14" t="s">
        <v>79</v>
      </c>
      <c r="M53" s="15">
        <v>46084</v>
      </c>
      <c r="O53" s="14" t="s">
        <v>321</v>
      </c>
      <c r="P53" s="14" t="s">
        <v>141</v>
      </c>
      <c r="Q53" s="15">
        <v>46059</v>
      </c>
      <c r="R53" s="14" t="s">
        <v>81</v>
      </c>
      <c r="S53" s="14">
        <v>3660</v>
      </c>
      <c r="U53" s="1" t="str">
        <f>TEXT(tblTransactions[[#This Row],[Date]],"YYYY-MM")</f>
        <v>2026-02</v>
      </c>
      <c r="V53" s="14" t="s">
        <v>322</v>
      </c>
      <c r="W53" s="14" t="s">
        <v>318</v>
      </c>
      <c r="X53" s="14">
        <v>2</v>
      </c>
      <c r="Y53" s="14" t="s">
        <v>76</v>
      </c>
      <c r="Z53" s="14">
        <v>4</v>
      </c>
    </row>
    <row r="54" spans="1:26" ht="15" customHeight="1" x14ac:dyDescent="0.3">
      <c r="A54" s="14" t="s">
        <v>323</v>
      </c>
      <c r="B54" s="14" t="s">
        <v>324</v>
      </c>
      <c r="C54" s="14" t="s">
        <v>320</v>
      </c>
      <c r="D54" s="14">
        <v>19</v>
      </c>
      <c r="E54" s="14" t="s">
        <v>158</v>
      </c>
      <c r="F54" s="14">
        <v>141316</v>
      </c>
      <c r="G54" s="14" t="s">
        <v>108</v>
      </c>
      <c r="H54" s="15">
        <v>45664</v>
      </c>
      <c r="I54" s="14" t="s">
        <v>102</v>
      </c>
      <c r="J54" s="14" t="s">
        <v>95</v>
      </c>
      <c r="K54" s="14" t="s">
        <v>87</v>
      </c>
      <c r="L54" s="14" t="s">
        <v>78</v>
      </c>
      <c r="M54" s="15">
        <v>45898</v>
      </c>
      <c r="O54" s="14" t="s">
        <v>325</v>
      </c>
      <c r="P54" s="14" t="s">
        <v>146</v>
      </c>
      <c r="Q54" s="15">
        <v>45924</v>
      </c>
      <c r="R54" s="14" t="s">
        <v>89</v>
      </c>
      <c r="S54" s="14">
        <v>2950</v>
      </c>
      <c r="U54" s="1" t="str">
        <f>TEXT(tblTransactions[[#This Row],[Date]],"YYYY-MM")</f>
        <v>2025-09</v>
      </c>
      <c r="V54" s="14" t="s">
        <v>326</v>
      </c>
      <c r="W54" s="14" t="s">
        <v>323</v>
      </c>
      <c r="X54" s="14">
        <v>3</v>
      </c>
      <c r="Y54" s="14" t="s">
        <v>102</v>
      </c>
      <c r="Z54" s="14">
        <v>9</v>
      </c>
    </row>
    <row r="55" spans="1:26" ht="15" customHeight="1" x14ac:dyDescent="0.3">
      <c r="A55" s="14" t="s">
        <v>327</v>
      </c>
      <c r="B55" s="14" t="s">
        <v>328</v>
      </c>
      <c r="C55" s="14" t="s">
        <v>320</v>
      </c>
      <c r="D55" s="14">
        <v>46</v>
      </c>
      <c r="E55" s="14" t="s">
        <v>85</v>
      </c>
      <c r="F55" s="14">
        <v>144370</v>
      </c>
      <c r="G55" s="14" t="s">
        <v>115</v>
      </c>
      <c r="H55" s="15">
        <v>45238</v>
      </c>
      <c r="I55" s="14" t="s">
        <v>102</v>
      </c>
      <c r="J55" s="14" t="s">
        <v>95</v>
      </c>
      <c r="K55" s="14" t="s">
        <v>78</v>
      </c>
      <c r="L55" s="14" t="s">
        <v>79</v>
      </c>
      <c r="M55" s="15">
        <v>46088</v>
      </c>
      <c r="O55" s="14" t="s">
        <v>329</v>
      </c>
      <c r="P55" s="14" t="s">
        <v>146</v>
      </c>
      <c r="Q55" s="15">
        <v>45965</v>
      </c>
      <c r="R55" s="14" t="s">
        <v>81</v>
      </c>
      <c r="S55" s="14">
        <v>2340</v>
      </c>
      <c r="U55" s="1" t="str">
        <f>TEXT(tblTransactions[[#This Row],[Date]],"YYYY-MM")</f>
        <v>2025-11</v>
      </c>
      <c r="V55" s="14" t="s">
        <v>330</v>
      </c>
      <c r="W55" s="14" t="s">
        <v>327</v>
      </c>
      <c r="X55" s="14">
        <v>4</v>
      </c>
      <c r="Y55" s="14" t="s">
        <v>102</v>
      </c>
      <c r="Z55" s="14">
        <v>7</v>
      </c>
    </row>
    <row r="56" spans="1:26" ht="15" customHeight="1" x14ac:dyDescent="0.3">
      <c r="A56" s="14" t="s">
        <v>331</v>
      </c>
      <c r="B56" s="14" t="s">
        <v>332</v>
      </c>
      <c r="C56" s="14" t="s">
        <v>320</v>
      </c>
      <c r="D56" s="14">
        <v>51</v>
      </c>
      <c r="E56" s="14" t="s">
        <v>114</v>
      </c>
      <c r="F56" s="14">
        <v>107410</v>
      </c>
      <c r="G56" s="14" t="s">
        <v>86</v>
      </c>
      <c r="H56" s="15">
        <v>45230</v>
      </c>
      <c r="I56" s="14" t="s">
        <v>76</v>
      </c>
      <c r="J56" s="14" t="s">
        <v>77</v>
      </c>
      <c r="K56" s="14" t="s">
        <v>78</v>
      </c>
      <c r="L56" s="14" t="s">
        <v>87</v>
      </c>
      <c r="M56" s="15">
        <v>46079</v>
      </c>
      <c r="O56" s="14" t="s">
        <v>333</v>
      </c>
      <c r="P56" s="14" t="s">
        <v>152</v>
      </c>
      <c r="Q56" s="15">
        <v>45899</v>
      </c>
      <c r="R56" s="14" t="s">
        <v>135</v>
      </c>
      <c r="S56" s="14">
        <v>5400</v>
      </c>
      <c r="U56" s="1" t="str">
        <f>TEXT(tblTransactions[[#This Row],[Date]],"YYYY-MM")</f>
        <v>2025-08</v>
      </c>
      <c r="V56" s="14" t="s">
        <v>334</v>
      </c>
      <c r="W56" s="14" t="s">
        <v>331</v>
      </c>
      <c r="X56" s="14">
        <v>4</v>
      </c>
      <c r="Y56" s="14" t="s">
        <v>76</v>
      </c>
      <c r="Z56" s="14">
        <v>9</v>
      </c>
    </row>
    <row r="57" spans="1:26" ht="15" customHeight="1" x14ac:dyDescent="0.3">
      <c r="A57" s="14" t="s">
        <v>335</v>
      </c>
      <c r="B57" s="14" t="s">
        <v>336</v>
      </c>
      <c r="C57" s="14" t="s">
        <v>320</v>
      </c>
      <c r="D57" s="14">
        <v>43</v>
      </c>
      <c r="E57" s="14" t="s">
        <v>168</v>
      </c>
      <c r="F57" s="14">
        <v>100676</v>
      </c>
      <c r="G57" s="14" t="s">
        <v>149</v>
      </c>
      <c r="H57" s="15">
        <v>45178</v>
      </c>
      <c r="I57" s="14" t="s">
        <v>76</v>
      </c>
      <c r="J57" s="14" t="s">
        <v>95</v>
      </c>
      <c r="K57" s="14" t="s">
        <v>87</v>
      </c>
      <c r="L57" s="14" t="s">
        <v>78</v>
      </c>
      <c r="M57" s="15">
        <v>46095</v>
      </c>
      <c r="O57" s="14" t="s">
        <v>337</v>
      </c>
      <c r="P57" s="14" t="s">
        <v>152</v>
      </c>
      <c r="Q57" s="15">
        <v>45900</v>
      </c>
      <c r="R57" s="14" t="s">
        <v>89</v>
      </c>
      <c r="S57" s="14">
        <v>14370</v>
      </c>
      <c r="U57" s="1" t="str">
        <f>TEXT(tblTransactions[[#This Row],[Date]],"YYYY-MM")</f>
        <v>2025-08</v>
      </c>
      <c r="V57" s="14" t="s">
        <v>338</v>
      </c>
      <c r="W57" s="14" t="s">
        <v>335</v>
      </c>
      <c r="X57" s="14">
        <v>2</v>
      </c>
      <c r="Y57" s="14" t="s">
        <v>76</v>
      </c>
      <c r="Z57" s="14">
        <v>6</v>
      </c>
    </row>
    <row r="58" spans="1:26" ht="15" customHeight="1" x14ac:dyDescent="0.3">
      <c r="A58" s="14" t="s">
        <v>339</v>
      </c>
      <c r="B58" s="14" t="s">
        <v>340</v>
      </c>
      <c r="C58" s="14" t="s">
        <v>320</v>
      </c>
      <c r="D58" s="14">
        <v>56</v>
      </c>
      <c r="E58" s="14" t="s">
        <v>107</v>
      </c>
      <c r="F58" s="14">
        <v>105813</v>
      </c>
      <c r="G58" s="14" t="s">
        <v>277</v>
      </c>
      <c r="H58" s="15">
        <v>45514</v>
      </c>
      <c r="I58" s="14" t="s">
        <v>76</v>
      </c>
      <c r="J58" s="14" t="s">
        <v>95</v>
      </c>
      <c r="K58" s="14" t="s">
        <v>87</v>
      </c>
      <c r="L58" s="14" t="s">
        <v>79</v>
      </c>
      <c r="M58" s="15">
        <v>45896</v>
      </c>
      <c r="O58" s="14" t="s">
        <v>341</v>
      </c>
      <c r="P58" s="14" t="s">
        <v>152</v>
      </c>
      <c r="Q58" s="15">
        <v>45752</v>
      </c>
      <c r="R58" s="14" t="s">
        <v>117</v>
      </c>
      <c r="S58" s="14">
        <v>3830</v>
      </c>
      <c r="U58" s="1" t="str">
        <f>TEXT(tblTransactions[[#This Row],[Date]],"YYYY-MM")</f>
        <v>2025-04</v>
      </c>
      <c r="V58" s="14" t="s">
        <v>342</v>
      </c>
      <c r="W58" s="14" t="s">
        <v>339</v>
      </c>
      <c r="X58" s="14">
        <v>4</v>
      </c>
      <c r="Y58" s="14" t="s">
        <v>76</v>
      </c>
      <c r="Z58" s="14">
        <v>8</v>
      </c>
    </row>
    <row r="59" spans="1:26" ht="15" customHeight="1" x14ac:dyDescent="0.3">
      <c r="A59" s="14" t="s">
        <v>343</v>
      </c>
      <c r="B59" s="14" t="s">
        <v>344</v>
      </c>
      <c r="C59" s="14" t="s">
        <v>320</v>
      </c>
      <c r="D59" s="14">
        <v>29</v>
      </c>
      <c r="E59" s="14" t="s">
        <v>85</v>
      </c>
      <c r="F59" s="14">
        <v>57196</v>
      </c>
      <c r="G59" s="14" t="s">
        <v>159</v>
      </c>
      <c r="H59" s="15">
        <v>45248</v>
      </c>
      <c r="I59" s="14" t="s">
        <v>76</v>
      </c>
      <c r="J59" s="14" t="s">
        <v>95</v>
      </c>
      <c r="K59" s="14" t="s">
        <v>78</v>
      </c>
      <c r="L59" s="14" t="s">
        <v>87</v>
      </c>
      <c r="M59" s="15">
        <v>46084</v>
      </c>
      <c r="O59" s="14" t="s">
        <v>345</v>
      </c>
      <c r="P59" s="14" t="s">
        <v>152</v>
      </c>
      <c r="Q59" s="15">
        <v>45773</v>
      </c>
      <c r="R59" s="14" t="s">
        <v>89</v>
      </c>
      <c r="S59" s="14">
        <v>13790</v>
      </c>
      <c r="U59" s="1" t="str">
        <f>TEXT(tblTransactions[[#This Row],[Date]],"YYYY-MM")</f>
        <v>2025-04</v>
      </c>
      <c r="V59" s="14" t="s">
        <v>346</v>
      </c>
      <c r="W59" s="14" t="s">
        <v>343</v>
      </c>
      <c r="X59" s="14">
        <v>2</v>
      </c>
      <c r="Y59" s="14" t="s">
        <v>76</v>
      </c>
      <c r="Z59" s="14">
        <v>7</v>
      </c>
    </row>
    <row r="60" spans="1:26" ht="15" customHeight="1" x14ac:dyDescent="0.3">
      <c r="A60" s="14" t="s">
        <v>347</v>
      </c>
      <c r="B60" s="14" t="s">
        <v>348</v>
      </c>
      <c r="C60" s="14" t="s">
        <v>320</v>
      </c>
      <c r="D60" s="14">
        <v>31</v>
      </c>
      <c r="E60" s="14" t="s">
        <v>294</v>
      </c>
      <c r="F60" s="14">
        <v>23201</v>
      </c>
      <c r="G60" s="14" t="s">
        <v>248</v>
      </c>
      <c r="H60" s="15">
        <v>45063</v>
      </c>
      <c r="I60" s="14" t="s">
        <v>102</v>
      </c>
      <c r="J60" s="14" t="s">
        <v>95</v>
      </c>
      <c r="K60" s="14" t="s">
        <v>79</v>
      </c>
      <c r="L60" s="14" t="s">
        <v>87</v>
      </c>
      <c r="M60" s="15">
        <v>46080</v>
      </c>
      <c r="O60" s="14" t="s">
        <v>349</v>
      </c>
      <c r="P60" s="14" t="s">
        <v>152</v>
      </c>
      <c r="Q60" s="15">
        <v>45865</v>
      </c>
      <c r="R60" s="14" t="s">
        <v>117</v>
      </c>
      <c r="S60" s="14">
        <v>2220</v>
      </c>
      <c r="U60" s="1" t="str">
        <f>TEXT(tblTransactions[[#This Row],[Date]],"YYYY-MM")</f>
        <v>2025-07</v>
      </c>
      <c r="V60" s="14" t="s">
        <v>350</v>
      </c>
      <c r="W60" s="14" t="s">
        <v>347</v>
      </c>
      <c r="X60" s="14">
        <v>3</v>
      </c>
      <c r="Y60" s="14" t="s">
        <v>102</v>
      </c>
      <c r="Z60" s="14">
        <v>6</v>
      </c>
    </row>
    <row r="61" spans="1:26" ht="15" customHeight="1" x14ac:dyDescent="0.3">
      <c r="A61" s="14" t="s">
        <v>351</v>
      </c>
      <c r="B61" s="14" t="s">
        <v>352</v>
      </c>
      <c r="C61" s="14" t="s">
        <v>320</v>
      </c>
      <c r="D61" s="14">
        <v>59</v>
      </c>
      <c r="E61" s="14" t="s">
        <v>247</v>
      </c>
      <c r="F61" s="14">
        <v>45485</v>
      </c>
      <c r="G61" s="14" t="s">
        <v>75</v>
      </c>
      <c r="H61" s="15">
        <v>45348</v>
      </c>
      <c r="I61" s="14" t="s">
        <v>76</v>
      </c>
      <c r="J61" s="14" t="s">
        <v>77</v>
      </c>
      <c r="K61" s="14" t="s">
        <v>87</v>
      </c>
      <c r="L61" s="14" t="s">
        <v>78</v>
      </c>
      <c r="M61" s="15">
        <v>46066</v>
      </c>
      <c r="O61" s="14" t="s">
        <v>353</v>
      </c>
      <c r="P61" s="14" t="s">
        <v>152</v>
      </c>
      <c r="Q61" s="15">
        <v>45928</v>
      </c>
      <c r="R61" s="14" t="s">
        <v>89</v>
      </c>
      <c r="S61" s="14">
        <v>4980</v>
      </c>
      <c r="U61" s="1" t="str">
        <f>TEXT(tblTransactions[[#This Row],[Date]],"YYYY-MM")</f>
        <v>2025-09</v>
      </c>
      <c r="V61" s="14" t="s">
        <v>354</v>
      </c>
      <c r="W61" s="14" t="s">
        <v>351</v>
      </c>
      <c r="X61" s="14">
        <v>5</v>
      </c>
      <c r="Y61" s="14" t="s">
        <v>76</v>
      </c>
      <c r="Z61" s="14">
        <v>7</v>
      </c>
    </row>
    <row r="62" spans="1:26" ht="15" customHeight="1" x14ac:dyDescent="0.3">
      <c r="A62" s="14" t="s">
        <v>355</v>
      </c>
      <c r="B62" s="14" t="s">
        <v>356</v>
      </c>
      <c r="C62" s="14" t="s">
        <v>320</v>
      </c>
      <c r="D62" s="14">
        <v>25</v>
      </c>
      <c r="E62" s="14" t="s">
        <v>148</v>
      </c>
      <c r="F62" s="14">
        <v>48683</v>
      </c>
      <c r="G62" s="14" t="s">
        <v>101</v>
      </c>
      <c r="H62" s="15">
        <v>45622</v>
      </c>
      <c r="I62" s="14" t="s">
        <v>76</v>
      </c>
      <c r="J62" s="14" t="s">
        <v>95</v>
      </c>
      <c r="K62" s="14" t="s">
        <v>79</v>
      </c>
      <c r="L62" s="14" t="s">
        <v>78</v>
      </c>
      <c r="M62" s="15">
        <v>46096</v>
      </c>
      <c r="O62" s="14" t="s">
        <v>357</v>
      </c>
      <c r="P62" s="14" t="s">
        <v>152</v>
      </c>
      <c r="Q62" s="15">
        <v>46095</v>
      </c>
      <c r="R62" s="14" t="s">
        <v>135</v>
      </c>
      <c r="S62" s="14">
        <v>7490</v>
      </c>
      <c r="U62" s="1" t="str">
        <f>TEXT(tblTransactions[[#This Row],[Date]],"YYYY-MM")</f>
        <v>2026-03</v>
      </c>
      <c r="V62" s="14" t="s">
        <v>358</v>
      </c>
      <c r="W62" s="14" t="s">
        <v>355</v>
      </c>
      <c r="X62" s="14">
        <v>3</v>
      </c>
      <c r="Y62" s="14" t="s">
        <v>76</v>
      </c>
      <c r="Z62" s="14">
        <v>10</v>
      </c>
    </row>
    <row r="63" spans="1:26" ht="15" customHeight="1" x14ac:dyDescent="0.3">
      <c r="A63" s="14" t="s">
        <v>359</v>
      </c>
      <c r="B63" s="14" t="s">
        <v>360</v>
      </c>
      <c r="C63" s="14" t="s">
        <v>320</v>
      </c>
      <c r="D63" s="14">
        <v>27</v>
      </c>
      <c r="E63" s="14" t="s">
        <v>361</v>
      </c>
      <c r="F63" s="14">
        <v>107500</v>
      </c>
      <c r="G63" s="14" t="s">
        <v>159</v>
      </c>
      <c r="H63" s="15">
        <v>45706</v>
      </c>
      <c r="I63" s="14" t="s">
        <v>76</v>
      </c>
      <c r="J63" s="14" t="s">
        <v>95</v>
      </c>
      <c r="K63" s="14" t="s">
        <v>79</v>
      </c>
      <c r="L63" s="14" t="s">
        <v>87</v>
      </c>
      <c r="M63" s="15">
        <v>45773</v>
      </c>
      <c r="O63" s="14" t="s">
        <v>362</v>
      </c>
      <c r="P63" s="14" t="s">
        <v>152</v>
      </c>
      <c r="Q63" s="15">
        <v>46085</v>
      </c>
      <c r="R63" s="14" t="s">
        <v>110</v>
      </c>
      <c r="S63" s="14">
        <v>3750</v>
      </c>
      <c r="U63" s="1" t="str">
        <f>TEXT(tblTransactions[[#This Row],[Date]],"YYYY-MM")</f>
        <v>2026-03</v>
      </c>
      <c r="V63" s="14" t="s">
        <v>363</v>
      </c>
      <c r="W63" s="14" t="s">
        <v>359</v>
      </c>
      <c r="X63" s="14">
        <v>5</v>
      </c>
      <c r="Y63" s="14" t="s">
        <v>76</v>
      </c>
      <c r="Z63" s="14">
        <v>8</v>
      </c>
    </row>
    <row r="64" spans="1:26" ht="15" customHeight="1" x14ac:dyDescent="0.3">
      <c r="A64" s="14" t="s">
        <v>364</v>
      </c>
      <c r="B64" s="14" t="s">
        <v>365</v>
      </c>
      <c r="C64" s="14" t="s">
        <v>320</v>
      </c>
      <c r="D64" s="14">
        <v>51</v>
      </c>
      <c r="E64" s="14" t="s">
        <v>148</v>
      </c>
      <c r="F64" s="14">
        <v>128864</v>
      </c>
      <c r="G64" s="14" t="s">
        <v>133</v>
      </c>
      <c r="H64" s="15">
        <v>45684</v>
      </c>
      <c r="I64" s="14" t="s">
        <v>76</v>
      </c>
      <c r="J64" s="14" t="s">
        <v>77</v>
      </c>
      <c r="K64" s="14" t="s">
        <v>79</v>
      </c>
      <c r="L64" s="14" t="s">
        <v>87</v>
      </c>
      <c r="M64" s="15">
        <v>45752</v>
      </c>
      <c r="O64" s="14" t="s">
        <v>366</v>
      </c>
      <c r="P64" s="14" t="s">
        <v>152</v>
      </c>
      <c r="Q64" s="15">
        <v>46069</v>
      </c>
      <c r="R64" s="14" t="s">
        <v>135</v>
      </c>
      <c r="S64" s="14">
        <v>3040</v>
      </c>
      <c r="U64" s="1" t="str">
        <f>TEXT(tblTransactions[[#This Row],[Date]],"YYYY-MM")</f>
        <v>2026-02</v>
      </c>
      <c r="V64" s="14" t="s">
        <v>367</v>
      </c>
      <c r="W64" s="14" t="s">
        <v>364</v>
      </c>
      <c r="X64" s="14">
        <v>4</v>
      </c>
      <c r="Y64" s="14" t="s">
        <v>76</v>
      </c>
      <c r="Z64" s="14">
        <v>5</v>
      </c>
    </row>
    <row r="65" spans="1:26" ht="15" customHeight="1" x14ac:dyDescent="0.3">
      <c r="A65" s="14" t="s">
        <v>368</v>
      </c>
      <c r="B65" s="14" t="s">
        <v>369</v>
      </c>
      <c r="C65" s="14" t="s">
        <v>320</v>
      </c>
      <c r="D65" s="14">
        <v>34</v>
      </c>
      <c r="E65" s="14" t="s">
        <v>132</v>
      </c>
      <c r="F65" s="14">
        <v>120376</v>
      </c>
      <c r="G65" s="14" t="s">
        <v>108</v>
      </c>
      <c r="H65" s="15">
        <v>45629</v>
      </c>
      <c r="I65" s="14" t="s">
        <v>76</v>
      </c>
      <c r="J65" s="14" t="s">
        <v>77</v>
      </c>
      <c r="K65" s="14" t="s">
        <v>87</v>
      </c>
      <c r="L65" s="14" t="s">
        <v>79</v>
      </c>
      <c r="M65" s="15">
        <v>46069</v>
      </c>
      <c r="O65" s="14" t="s">
        <v>370</v>
      </c>
      <c r="P65" s="14" t="s">
        <v>152</v>
      </c>
      <c r="Q65" s="15">
        <v>45768</v>
      </c>
      <c r="R65" s="14" t="s">
        <v>117</v>
      </c>
      <c r="S65" s="14">
        <v>3290</v>
      </c>
      <c r="U65" s="1" t="str">
        <f>TEXT(tblTransactions[[#This Row],[Date]],"YYYY-MM")</f>
        <v>2025-04</v>
      </c>
      <c r="V65" s="14" t="s">
        <v>371</v>
      </c>
      <c r="W65" s="14" t="s">
        <v>368</v>
      </c>
      <c r="X65" s="14">
        <v>3</v>
      </c>
      <c r="Y65" s="14" t="s">
        <v>76</v>
      </c>
      <c r="Z65" s="14">
        <v>9</v>
      </c>
    </row>
    <row r="66" spans="1:26" ht="15" customHeight="1" x14ac:dyDescent="0.3">
      <c r="A66" s="14" t="s">
        <v>372</v>
      </c>
      <c r="B66" s="14" t="s">
        <v>373</v>
      </c>
      <c r="C66" s="14" t="s">
        <v>320</v>
      </c>
      <c r="D66" s="14">
        <v>34</v>
      </c>
      <c r="E66" s="14" t="s">
        <v>132</v>
      </c>
      <c r="F66" s="14">
        <v>64020</v>
      </c>
      <c r="G66" s="14" t="s">
        <v>277</v>
      </c>
      <c r="H66" s="15">
        <v>45668</v>
      </c>
      <c r="I66" s="14" t="s">
        <v>76</v>
      </c>
      <c r="J66" s="14" t="s">
        <v>77</v>
      </c>
      <c r="K66" s="14" t="s">
        <v>87</v>
      </c>
      <c r="L66" s="14" t="s">
        <v>78</v>
      </c>
      <c r="M66" s="15">
        <v>46069</v>
      </c>
      <c r="O66" s="14" t="s">
        <v>374</v>
      </c>
      <c r="P66" s="14" t="s">
        <v>152</v>
      </c>
      <c r="Q66" s="15">
        <v>45934</v>
      </c>
      <c r="R66" s="14" t="s">
        <v>135</v>
      </c>
      <c r="S66" s="14">
        <v>10060</v>
      </c>
      <c r="U66" s="1" t="str">
        <f>TEXT(tblTransactions[[#This Row],[Date]],"YYYY-MM")</f>
        <v>2025-10</v>
      </c>
      <c r="V66" s="14" t="s">
        <v>375</v>
      </c>
      <c r="W66" s="14" t="s">
        <v>372</v>
      </c>
      <c r="X66" s="14">
        <v>3</v>
      </c>
      <c r="Y66" s="14" t="s">
        <v>76</v>
      </c>
      <c r="Z66" s="14">
        <v>7</v>
      </c>
    </row>
    <row r="67" spans="1:26" ht="15" customHeight="1" x14ac:dyDescent="0.3">
      <c r="A67" s="14" t="s">
        <v>376</v>
      </c>
      <c r="B67" s="14" t="s">
        <v>377</v>
      </c>
      <c r="C67" s="14" t="s">
        <v>320</v>
      </c>
      <c r="D67" s="14">
        <v>32</v>
      </c>
      <c r="E67" s="14" t="s">
        <v>85</v>
      </c>
      <c r="F67" s="14">
        <v>74377</v>
      </c>
      <c r="G67" s="14" t="s">
        <v>86</v>
      </c>
      <c r="H67" s="15">
        <v>45239</v>
      </c>
      <c r="I67" s="14" t="s">
        <v>76</v>
      </c>
      <c r="J67" s="14" t="s">
        <v>95</v>
      </c>
      <c r="K67" s="14" t="s">
        <v>78</v>
      </c>
      <c r="L67" s="14" t="s">
        <v>87</v>
      </c>
      <c r="M67" s="15">
        <v>46058</v>
      </c>
      <c r="O67" s="14" t="s">
        <v>378</v>
      </c>
      <c r="P67" s="14" t="s">
        <v>152</v>
      </c>
      <c r="Q67" s="15">
        <v>45815</v>
      </c>
      <c r="R67" s="14" t="s">
        <v>135</v>
      </c>
      <c r="S67" s="14">
        <v>7910</v>
      </c>
      <c r="U67" s="1" t="str">
        <f>TEXT(tblTransactions[[#This Row],[Date]],"YYYY-MM")</f>
        <v>2025-06</v>
      </c>
      <c r="V67" s="14" t="s">
        <v>379</v>
      </c>
      <c r="W67" s="14" t="s">
        <v>376</v>
      </c>
      <c r="X67" s="14">
        <v>5</v>
      </c>
      <c r="Y67" s="14" t="s">
        <v>76</v>
      </c>
      <c r="Z67" s="14">
        <v>8</v>
      </c>
    </row>
    <row r="68" spans="1:26" ht="15" customHeight="1" x14ac:dyDescent="0.3">
      <c r="A68" s="14" t="s">
        <v>380</v>
      </c>
      <c r="B68" s="14" t="s">
        <v>381</v>
      </c>
      <c r="C68" s="14" t="s">
        <v>320</v>
      </c>
      <c r="D68" s="14">
        <v>56</v>
      </c>
      <c r="E68" s="14" t="s">
        <v>178</v>
      </c>
      <c r="F68" s="14">
        <v>132293</v>
      </c>
      <c r="G68" s="14" t="s">
        <v>133</v>
      </c>
      <c r="H68" s="15">
        <v>45741</v>
      </c>
      <c r="I68" s="14" t="s">
        <v>76</v>
      </c>
      <c r="J68" s="14" t="s">
        <v>77</v>
      </c>
      <c r="K68" s="14" t="s">
        <v>87</v>
      </c>
      <c r="L68" s="14" t="s">
        <v>79</v>
      </c>
      <c r="M68" s="15">
        <v>46099</v>
      </c>
      <c r="O68" s="14" t="s">
        <v>382</v>
      </c>
      <c r="P68" s="14" t="s">
        <v>152</v>
      </c>
      <c r="Q68" s="15">
        <v>45960</v>
      </c>
      <c r="R68" s="14" t="s">
        <v>122</v>
      </c>
      <c r="S68" s="14">
        <v>6440</v>
      </c>
      <c r="U68" s="1" t="str">
        <f>TEXT(tblTransactions[[#This Row],[Date]],"YYYY-MM")</f>
        <v>2025-10</v>
      </c>
      <c r="V68" s="14" t="s">
        <v>383</v>
      </c>
      <c r="W68" s="14" t="s">
        <v>380</v>
      </c>
      <c r="X68" s="14">
        <v>3</v>
      </c>
      <c r="Y68" s="14" t="s">
        <v>76</v>
      </c>
      <c r="Z68" s="14">
        <v>7</v>
      </c>
    </row>
    <row r="69" spans="1:26" ht="15" customHeight="1" x14ac:dyDescent="0.3">
      <c r="A69" s="14" t="s">
        <v>384</v>
      </c>
      <c r="B69" s="14" t="s">
        <v>385</v>
      </c>
      <c r="C69" s="14" t="s">
        <v>320</v>
      </c>
      <c r="D69" s="14">
        <v>45</v>
      </c>
      <c r="E69" s="14" t="s">
        <v>93</v>
      </c>
      <c r="F69" s="14">
        <v>117978</v>
      </c>
      <c r="G69" s="14" t="s">
        <v>75</v>
      </c>
      <c r="H69" s="15">
        <v>45680</v>
      </c>
      <c r="I69" s="14" t="s">
        <v>102</v>
      </c>
      <c r="J69" s="14" t="s">
        <v>95</v>
      </c>
      <c r="K69" s="14" t="s">
        <v>87</v>
      </c>
      <c r="L69" s="14" t="s">
        <v>87</v>
      </c>
      <c r="M69" s="15">
        <v>46097</v>
      </c>
      <c r="O69" s="14" t="s">
        <v>386</v>
      </c>
      <c r="P69" s="14" t="s">
        <v>152</v>
      </c>
      <c r="Q69" s="15">
        <v>46096</v>
      </c>
      <c r="R69" s="14" t="s">
        <v>89</v>
      </c>
      <c r="S69" s="14">
        <v>6900</v>
      </c>
      <c r="U69" s="1" t="str">
        <f>TEXT(tblTransactions[[#This Row],[Date]],"YYYY-MM")</f>
        <v>2026-03</v>
      </c>
      <c r="V69" s="14" t="s">
        <v>387</v>
      </c>
      <c r="W69" s="14" t="s">
        <v>384</v>
      </c>
      <c r="X69" s="14">
        <v>5</v>
      </c>
      <c r="Y69" s="14" t="s">
        <v>102</v>
      </c>
      <c r="Z69" s="14">
        <v>7</v>
      </c>
    </row>
    <row r="70" spans="1:26" ht="15" customHeight="1" x14ac:dyDescent="0.3">
      <c r="A70" s="14" t="s">
        <v>388</v>
      </c>
      <c r="B70" s="14" t="s">
        <v>389</v>
      </c>
      <c r="C70" s="14" t="s">
        <v>320</v>
      </c>
      <c r="D70" s="14">
        <v>50</v>
      </c>
      <c r="E70" s="14" t="s">
        <v>178</v>
      </c>
      <c r="F70" s="14">
        <v>70968</v>
      </c>
      <c r="G70" s="14" t="s">
        <v>277</v>
      </c>
      <c r="H70" s="15">
        <v>45390</v>
      </c>
      <c r="I70" s="14" t="s">
        <v>102</v>
      </c>
      <c r="J70" s="14" t="s">
        <v>95</v>
      </c>
      <c r="K70" s="14" t="s">
        <v>79</v>
      </c>
      <c r="L70" s="14" t="s">
        <v>79</v>
      </c>
      <c r="M70" s="15">
        <v>45973</v>
      </c>
      <c r="O70" s="14" t="s">
        <v>390</v>
      </c>
      <c r="P70" s="14" t="s">
        <v>156</v>
      </c>
      <c r="Q70" s="15">
        <v>46044</v>
      </c>
      <c r="R70" s="14" t="s">
        <v>89</v>
      </c>
      <c r="S70" s="14">
        <v>17170</v>
      </c>
      <c r="U70" s="1" t="str">
        <f>TEXT(tblTransactions[[#This Row],[Date]],"YYYY-MM")</f>
        <v>2026-01</v>
      </c>
      <c r="V70" s="14" t="s">
        <v>391</v>
      </c>
      <c r="W70" s="14" t="s">
        <v>388</v>
      </c>
      <c r="X70" s="14">
        <v>4</v>
      </c>
      <c r="Y70" s="14" t="s">
        <v>102</v>
      </c>
      <c r="Z70" s="14">
        <v>7</v>
      </c>
    </row>
    <row r="71" spans="1:26" ht="15" customHeight="1" x14ac:dyDescent="0.3">
      <c r="A71" s="14" t="s">
        <v>392</v>
      </c>
      <c r="B71" s="14" t="s">
        <v>393</v>
      </c>
      <c r="C71" s="14" t="s">
        <v>320</v>
      </c>
      <c r="D71" s="14">
        <v>53</v>
      </c>
      <c r="E71" s="14" t="s">
        <v>178</v>
      </c>
      <c r="F71" s="14">
        <v>138872</v>
      </c>
      <c r="G71" s="14" t="s">
        <v>86</v>
      </c>
      <c r="H71" s="15">
        <v>45717</v>
      </c>
      <c r="I71" s="14" t="s">
        <v>102</v>
      </c>
      <c r="J71" s="14" t="s">
        <v>77</v>
      </c>
      <c r="K71" s="14" t="s">
        <v>87</v>
      </c>
      <c r="L71" s="14" t="s">
        <v>79</v>
      </c>
      <c r="M71" s="15">
        <v>46056</v>
      </c>
      <c r="O71" s="14" t="s">
        <v>394</v>
      </c>
      <c r="P71" s="14" t="s">
        <v>162</v>
      </c>
      <c r="Q71" s="15">
        <v>46060</v>
      </c>
      <c r="R71" s="14" t="s">
        <v>110</v>
      </c>
      <c r="S71" s="14">
        <v>4430</v>
      </c>
      <c r="U71" s="1" t="str">
        <f>TEXT(tblTransactions[[#This Row],[Date]],"YYYY-MM")</f>
        <v>2026-02</v>
      </c>
      <c r="V71" s="14" t="s">
        <v>395</v>
      </c>
      <c r="W71" s="14" t="s">
        <v>392</v>
      </c>
      <c r="X71" s="14">
        <v>5</v>
      </c>
      <c r="Y71" s="14" t="s">
        <v>102</v>
      </c>
      <c r="Z71" s="14">
        <v>9</v>
      </c>
    </row>
    <row r="72" spans="1:26" ht="15" customHeight="1" x14ac:dyDescent="0.3">
      <c r="A72" s="14" t="s">
        <v>396</v>
      </c>
      <c r="B72" s="14" t="s">
        <v>397</v>
      </c>
      <c r="C72" s="14" t="s">
        <v>320</v>
      </c>
      <c r="D72" s="14">
        <v>30</v>
      </c>
      <c r="E72" s="14" t="s">
        <v>201</v>
      </c>
      <c r="F72" s="14">
        <v>54099</v>
      </c>
      <c r="G72" s="14" t="s">
        <v>86</v>
      </c>
      <c r="H72" s="15">
        <v>45232</v>
      </c>
      <c r="I72" s="14" t="s">
        <v>76</v>
      </c>
      <c r="J72" s="14" t="s">
        <v>77</v>
      </c>
      <c r="K72" s="14" t="s">
        <v>79</v>
      </c>
      <c r="L72" s="14" t="s">
        <v>87</v>
      </c>
      <c r="M72" s="15">
        <v>46058</v>
      </c>
      <c r="O72" s="14" t="s">
        <v>398</v>
      </c>
      <c r="P72" s="14" t="s">
        <v>166</v>
      </c>
      <c r="Q72" s="15">
        <v>45863</v>
      </c>
      <c r="R72" s="14" t="s">
        <v>135</v>
      </c>
      <c r="S72" s="14">
        <v>2170</v>
      </c>
      <c r="U72" s="1" t="str">
        <f>TEXT(tblTransactions[[#This Row],[Date]],"YYYY-MM")</f>
        <v>2025-07</v>
      </c>
      <c r="V72" s="14" t="s">
        <v>399</v>
      </c>
      <c r="W72" s="14" t="s">
        <v>396</v>
      </c>
      <c r="X72" s="14">
        <v>5</v>
      </c>
      <c r="Y72" s="14" t="s">
        <v>76</v>
      </c>
      <c r="Z72" s="14">
        <v>6</v>
      </c>
    </row>
    <row r="73" spans="1:26" ht="15" customHeight="1" x14ac:dyDescent="0.3">
      <c r="A73" s="14" t="s">
        <v>400</v>
      </c>
      <c r="B73" s="14" t="s">
        <v>401</v>
      </c>
      <c r="C73" s="14" t="s">
        <v>320</v>
      </c>
      <c r="D73" s="14">
        <v>45</v>
      </c>
      <c r="E73" s="14" t="s">
        <v>132</v>
      </c>
      <c r="F73" s="14">
        <v>129433</v>
      </c>
      <c r="G73" s="14" t="s">
        <v>196</v>
      </c>
      <c r="H73" s="15">
        <v>45525</v>
      </c>
      <c r="I73" s="14" t="s">
        <v>76</v>
      </c>
      <c r="J73" s="14" t="s">
        <v>95</v>
      </c>
      <c r="K73" s="14" t="s">
        <v>79</v>
      </c>
      <c r="L73" s="14" t="s">
        <v>87</v>
      </c>
      <c r="M73" s="15">
        <v>46085</v>
      </c>
      <c r="O73" s="14" t="s">
        <v>402</v>
      </c>
      <c r="P73" s="14" t="s">
        <v>171</v>
      </c>
      <c r="Q73" s="15">
        <v>45794</v>
      </c>
      <c r="R73" s="14" t="s">
        <v>117</v>
      </c>
      <c r="S73" s="14">
        <v>4660</v>
      </c>
      <c r="U73" s="1" t="str">
        <f>TEXT(tblTransactions[[#This Row],[Date]],"YYYY-MM")</f>
        <v>2025-05</v>
      </c>
      <c r="V73" s="14" t="s">
        <v>403</v>
      </c>
      <c r="W73" s="14" t="s">
        <v>400</v>
      </c>
      <c r="X73" s="14">
        <v>3</v>
      </c>
      <c r="Y73" s="14" t="s">
        <v>76</v>
      </c>
      <c r="Z73" s="14">
        <v>7</v>
      </c>
    </row>
    <row r="74" spans="1:26" ht="15" customHeight="1" x14ac:dyDescent="0.3">
      <c r="A74" s="14" t="s">
        <v>404</v>
      </c>
      <c r="B74" s="14" t="s">
        <v>405</v>
      </c>
      <c r="C74" s="14" t="s">
        <v>320</v>
      </c>
      <c r="D74" s="14">
        <v>60</v>
      </c>
      <c r="E74" s="14" t="s">
        <v>85</v>
      </c>
      <c r="F74" s="14">
        <v>122397</v>
      </c>
      <c r="G74" s="14" t="s">
        <v>115</v>
      </c>
      <c r="H74" s="15">
        <v>44644</v>
      </c>
      <c r="I74" s="14" t="s">
        <v>102</v>
      </c>
      <c r="J74" s="14" t="s">
        <v>95</v>
      </c>
      <c r="K74" s="14" t="s">
        <v>78</v>
      </c>
      <c r="L74" s="14" t="s">
        <v>78</v>
      </c>
      <c r="M74" s="15">
        <v>46054</v>
      </c>
      <c r="O74" s="14" t="s">
        <v>406</v>
      </c>
      <c r="P74" s="14" t="s">
        <v>171</v>
      </c>
      <c r="Q74" s="15">
        <v>45811</v>
      </c>
      <c r="R74" s="14" t="s">
        <v>81</v>
      </c>
      <c r="S74" s="14">
        <v>3950</v>
      </c>
      <c r="U74" s="1" t="str">
        <f>TEXT(tblTransactions[[#This Row],[Date]],"YYYY-MM")</f>
        <v>2025-06</v>
      </c>
      <c r="V74" s="14" t="s">
        <v>407</v>
      </c>
      <c r="W74" s="14" t="s">
        <v>404</v>
      </c>
      <c r="X74" s="14">
        <v>3</v>
      </c>
      <c r="Y74" s="14" t="s">
        <v>102</v>
      </c>
      <c r="Z74" s="14">
        <v>8</v>
      </c>
    </row>
    <row r="75" spans="1:26" ht="15" customHeight="1" x14ac:dyDescent="0.3">
      <c r="A75" s="14" t="s">
        <v>408</v>
      </c>
      <c r="B75" s="14" t="s">
        <v>409</v>
      </c>
      <c r="C75" s="14" t="s">
        <v>320</v>
      </c>
      <c r="D75" s="14">
        <v>28</v>
      </c>
      <c r="E75" s="14" t="s">
        <v>195</v>
      </c>
      <c r="F75" s="14">
        <v>36544</v>
      </c>
      <c r="G75" s="14" t="s">
        <v>226</v>
      </c>
      <c r="H75" s="15">
        <v>44796</v>
      </c>
      <c r="I75" s="14" t="s">
        <v>76</v>
      </c>
      <c r="J75" s="14" t="s">
        <v>77</v>
      </c>
      <c r="K75" s="14" t="s">
        <v>87</v>
      </c>
      <c r="L75" s="14" t="s">
        <v>79</v>
      </c>
      <c r="M75" s="15">
        <v>46104</v>
      </c>
      <c r="O75" s="14" t="s">
        <v>410</v>
      </c>
      <c r="P75" s="14" t="s">
        <v>171</v>
      </c>
      <c r="Q75" s="15">
        <v>45936</v>
      </c>
      <c r="R75" s="14" t="s">
        <v>117</v>
      </c>
      <c r="S75" s="14">
        <v>2580</v>
      </c>
      <c r="U75" s="1" t="str">
        <f>TEXT(tblTransactions[[#This Row],[Date]],"YYYY-MM")</f>
        <v>2025-10</v>
      </c>
      <c r="V75" s="14" t="s">
        <v>411</v>
      </c>
      <c r="W75" s="14" t="s">
        <v>408</v>
      </c>
      <c r="X75" s="14">
        <v>2</v>
      </c>
      <c r="Y75" s="14" t="s">
        <v>76</v>
      </c>
      <c r="Z75" s="14">
        <v>7</v>
      </c>
    </row>
    <row r="76" spans="1:26" ht="15" customHeight="1" x14ac:dyDescent="0.3">
      <c r="A76" s="14" t="s">
        <v>412</v>
      </c>
      <c r="B76" s="14" t="s">
        <v>413</v>
      </c>
      <c r="C76" s="14" t="s">
        <v>320</v>
      </c>
      <c r="D76" s="14">
        <v>29</v>
      </c>
      <c r="E76" s="14" t="s">
        <v>107</v>
      </c>
      <c r="F76" s="14">
        <v>99593</v>
      </c>
      <c r="G76" s="14" t="s">
        <v>75</v>
      </c>
      <c r="H76" s="15">
        <v>44796</v>
      </c>
      <c r="I76" s="14" t="s">
        <v>102</v>
      </c>
      <c r="J76" s="14" t="s">
        <v>77</v>
      </c>
      <c r="K76" s="14" t="s">
        <v>87</v>
      </c>
      <c r="L76" s="14" t="s">
        <v>87</v>
      </c>
      <c r="M76" s="15">
        <v>45818</v>
      </c>
      <c r="O76" s="14" t="s">
        <v>414</v>
      </c>
      <c r="P76" s="14" t="s">
        <v>171</v>
      </c>
      <c r="Q76" s="15">
        <v>45943</v>
      </c>
      <c r="R76" s="14" t="s">
        <v>135</v>
      </c>
      <c r="S76" s="14">
        <v>1560</v>
      </c>
      <c r="U76" s="1" t="str">
        <f>TEXT(tblTransactions[[#This Row],[Date]],"YYYY-MM")</f>
        <v>2025-10</v>
      </c>
      <c r="V76" s="14" t="s">
        <v>415</v>
      </c>
      <c r="W76" s="14" t="s">
        <v>412</v>
      </c>
      <c r="X76" s="14">
        <v>3</v>
      </c>
      <c r="Y76" s="14" t="s">
        <v>102</v>
      </c>
      <c r="Z76" s="14">
        <v>6</v>
      </c>
    </row>
    <row r="77" spans="1:26" ht="15" customHeight="1" x14ac:dyDescent="0.3">
      <c r="A77" s="14" t="s">
        <v>416</v>
      </c>
      <c r="B77" s="14" t="s">
        <v>417</v>
      </c>
      <c r="C77" s="14" t="s">
        <v>320</v>
      </c>
      <c r="D77" s="14">
        <v>38</v>
      </c>
      <c r="E77" s="14" t="s">
        <v>247</v>
      </c>
      <c r="F77" s="14">
        <v>108781</v>
      </c>
      <c r="G77" s="14" t="s">
        <v>133</v>
      </c>
      <c r="H77" s="15">
        <v>45330</v>
      </c>
      <c r="I77" s="14" t="s">
        <v>76</v>
      </c>
      <c r="J77" s="14" t="s">
        <v>95</v>
      </c>
      <c r="K77" s="14" t="s">
        <v>78</v>
      </c>
      <c r="L77" s="14" t="s">
        <v>87</v>
      </c>
      <c r="M77" s="15">
        <v>45991</v>
      </c>
      <c r="O77" s="14" t="s">
        <v>418</v>
      </c>
      <c r="P77" s="14" t="s">
        <v>171</v>
      </c>
      <c r="Q77" s="15">
        <v>45938</v>
      </c>
      <c r="R77" s="14" t="s">
        <v>110</v>
      </c>
      <c r="S77" s="14">
        <v>7080</v>
      </c>
      <c r="U77" s="1" t="str">
        <f>TEXT(tblTransactions[[#This Row],[Date]],"YYYY-MM")</f>
        <v>2025-10</v>
      </c>
      <c r="V77" s="14" t="s">
        <v>419</v>
      </c>
      <c r="W77" s="14" t="s">
        <v>416</v>
      </c>
      <c r="X77" s="14">
        <v>3</v>
      </c>
      <c r="Y77" s="14" t="s">
        <v>76</v>
      </c>
      <c r="Z77" s="14">
        <v>6</v>
      </c>
    </row>
    <row r="78" spans="1:26" ht="15" customHeight="1" x14ac:dyDescent="0.3">
      <c r="A78" s="14" t="s">
        <v>420</v>
      </c>
      <c r="B78" s="14" t="s">
        <v>421</v>
      </c>
      <c r="C78" s="14" t="s">
        <v>320</v>
      </c>
      <c r="D78" s="14">
        <v>59</v>
      </c>
      <c r="E78" s="14" t="s">
        <v>195</v>
      </c>
      <c r="F78" s="14">
        <v>33356</v>
      </c>
      <c r="G78" s="14" t="s">
        <v>75</v>
      </c>
      <c r="H78" s="15">
        <v>45179</v>
      </c>
      <c r="I78" s="14" t="s">
        <v>102</v>
      </c>
      <c r="J78" s="14" t="s">
        <v>95</v>
      </c>
      <c r="K78" s="14" t="s">
        <v>78</v>
      </c>
      <c r="L78" s="14" t="s">
        <v>79</v>
      </c>
      <c r="M78" s="15">
        <v>46027</v>
      </c>
      <c r="O78" s="14" t="s">
        <v>422</v>
      </c>
      <c r="P78" s="14" t="s">
        <v>171</v>
      </c>
      <c r="Q78" s="15">
        <v>46065</v>
      </c>
      <c r="R78" s="14" t="s">
        <v>117</v>
      </c>
      <c r="S78" s="14">
        <v>6500</v>
      </c>
      <c r="U78" s="1" t="str">
        <f>TEXT(tblTransactions[[#This Row],[Date]],"YYYY-MM")</f>
        <v>2026-02</v>
      </c>
      <c r="V78" s="14" t="s">
        <v>423</v>
      </c>
      <c r="W78" s="14" t="s">
        <v>420</v>
      </c>
      <c r="X78" s="14">
        <v>3</v>
      </c>
      <c r="Y78" s="14" t="s">
        <v>102</v>
      </c>
      <c r="Z78" s="14">
        <v>4</v>
      </c>
    </row>
    <row r="79" spans="1:26" ht="15" customHeight="1" x14ac:dyDescent="0.3">
      <c r="A79" s="14" t="s">
        <v>424</v>
      </c>
      <c r="B79" s="14" t="s">
        <v>425</v>
      </c>
      <c r="C79" s="14" t="s">
        <v>320</v>
      </c>
      <c r="D79" s="14">
        <v>21</v>
      </c>
      <c r="E79" s="14" t="s">
        <v>173</v>
      </c>
      <c r="F79" s="14">
        <v>89827</v>
      </c>
      <c r="G79" s="14" t="s">
        <v>86</v>
      </c>
      <c r="H79" s="15">
        <v>45320</v>
      </c>
      <c r="I79" s="14" t="s">
        <v>76</v>
      </c>
      <c r="J79" s="14" t="s">
        <v>95</v>
      </c>
      <c r="K79" s="14" t="s">
        <v>78</v>
      </c>
      <c r="L79" s="14" t="s">
        <v>87</v>
      </c>
      <c r="M79" s="15">
        <v>46060</v>
      </c>
      <c r="O79" s="14" t="s">
        <v>426</v>
      </c>
      <c r="P79" s="14" t="s">
        <v>171</v>
      </c>
      <c r="Q79" s="15">
        <v>45915</v>
      </c>
      <c r="R79" s="14" t="s">
        <v>110</v>
      </c>
      <c r="S79" s="14">
        <v>7330</v>
      </c>
      <c r="U79" s="1" t="str">
        <f>TEXT(tblTransactions[[#This Row],[Date]],"YYYY-MM")</f>
        <v>2025-09</v>
      </c>
      <c r="V79" s="14" t="s">
        <v>427</v>
      </c>
      <c r="W79" s="14" t="s">
        <v>424</v>
      </c>
      <c r="X79" s="14">
        <v>3</v>
      </c>
      <c r="Y79" s="14" t="s">
        <v>76</v>
      </c>
      <c r="Z79" s="14">
        <v>7</v>
      </c>
    </row>
    <row r="80" spans="1:26" ht="15" customHeight="1" x14ac:dyDescent="0.3">
      <c r="A80" s="14" t="s">
        <v>428</v>
      </c>
      <c r="B80" s="14" t="s">
        <v>429</v>
      </c>
      <c r="C80" s="14" t="s">
        <v>320</v>
      </c>
      <c r="D80" s="14">
        <v>50</v>
      </c>
      <c r="E80" s="14" t="s">
        <v>74</v>
      </c>
      <c r="F80" s="14">
        <v>76822</v>
      </c>
      <c r="G80" s="14" t="s">
        <v>277</v>
      </c>
      <c r="H80" s="15">
        <v>45503</v>
      </c>
      <c r="I80" s="14" t="s">
        <v>102</v>
      </c>
      <c r="J80" s="14" t="s">
        <v>95</v>
      </c>
      <c r="K80" s="14" t="s">
        <v>87</v>
      </c>
      <c r="L80" s="14" t="s">
        <v>79</v>
      </c>
      <c r="M80" s="15">
        <v>46016</v>
      </c>
      <c r="O80" s="14" t="s">
        <v>430</v>
      </c>
      <c r="P80" s="14" t="s">
        <v>171</v>
      </c>
      <c r="Q80" s="15">
        <v>45985</v>
      </c>
      <c r="R80" s="14" t="s">
        <v>135</v>
      </c>
      <c r="S80" s="14">
        <v>3380</v>
      </c>
      <c r="U80" s="1" t="str">
        <f>TEXT(tblTransactions[[#This Row],[Date]],"YYYY-MM")</f>
        <v>2025-11</v>
      </c>
      <c r="V80" s="14" t="s">
        <v>431</v>
      </c>
      <c r="W80" s="14" t="s">
        <v>428</v>
      </c>
      <c r="X80" s="14">
        <v>4</v>
      </c>
      <c r="Y80" s="14" t="s">
        <v>102</v>
      </c>
      <c r="Z80" s="14">
        <v>7</v>
      </c>
    </row>
    <row r="81" spans="1:26" ht="15" customHeight="1" x14ac:dyDescent="0.3">
      <c r="A81" s="14" t="s">
        <v>432</v>
      </c>
      <c r="B81" s="14" t="s">
        <v>433</v>
      </c>
      <c r="C81" s="14" t="s">
        <v>320</v>
      </c>
      <c r="D81" s="14">
        <v>36</v>
      </c>
      <c r="E81" s="14" t="s">
        <v>107</v>
      </c>
      <c r="F81" s="14">
        <v>125932</v>
      </c>
      <c r="G81" s="14" t="s">
        <v>133</v>
      </c>
      <c r="H81" s="15">
        <v>45664</v>
      </c>
      <c r="I81" s="14" t="s">
        <v>102</v>
      </c>
      <c r="J81" s="14" t="s">
        <v>95</v>
      </c>
      <c r="K81" s="14" t="s">
        <v>79</v>
      </c>
      <c r="L81" s="14" t="s">
        <v>87</v>
      </c>
      <c r="M81" s="15">
        <v>46053</v>
      </c>
      <c r="O81" s="14" t="s">
        <v>434</v>
      </c>
      <c r="P81" s="14" t="s">
        <v>171</v>
      </c>
      <c r="Q81" s="15">
        <v>45902</v>
      </c>
      <c r="R81" s="14" t="s">
        <v>110</v>
      </c>
      <c r="S81" s="14">
        <v>3550</v>
      </c>
      <c r="U81" s="1" t="str">
        <f>TEXT(tblTransactions[[#This Row],[Date]],"YYYY-MM")</f>
        <v>2025-09</v>
      </c>
      <c r="V81" s="14" t="s">
        <v>435</v>
      </c>
      <c r="W81" s="14" t="s">
        <v>432</v>
      </c>
      <c r="X81" s="14">
        <v>3</v>
      </c>
      <c r="Y81" s="14" t="s">
        <v>102</v>
      </c>
      <c r="Z81" s="14">
        <v>9</v>
      </c>
    </row>
    <row r="82" spans="1:26" ht="15" customHeight="1" x14ac:dyDescent="0.3">
      <c r="A82" s="14" t="s">
        <v>436</v>
      </c>
      <c r="B82" s="14" t="s">
        <v>437</v>
      </c>
      <c r="C82" s="14" t="s">
        <v>320</v>
      </c>
      <c r="D82" s="14">
        <v>39</v>
      </c>
      <c r="E82" s="14" t="s">
        <v>195</v>
      </c>
      <c r="F82" s="14">
        <v>128885</v>
      </c>
      <c r="G82" s="14" t="s">
        <v>133</v>
      </c>
      <c r="H82" s="15">
        <v>44739</v>
      </c>
      <c r="I82" s="14" t="s">
        <v>76</v>
      </c>
      <c r="J82" s="14" t="s">
        <v>95</v>
      </c>
      <c r="K82" s="14" t="s">
        <v>79</v>
      </c>
      <c r="L82" s="14" t="s">
        <v>87</v>
      </c>
      <c r="M82" s="15">
        <v>46070</v>
      </c>
      <c r="O82" s="14" t="s">
        <v>438</v>
      </c>
      <c r="P82" s="14" t="s">
        <v>171</v>
      </c>
      <c r="Q82" s="15">
        <v>45767</v>
      </c>
      <c r="R82" s="14" t="s">
        <v>89</v>
      </c>
      <c r="S82" s="14">
        <v>3260</v>
      </c>
      <c r="U82" s="1" t="str">
        <f>TEXT(tblTransactions[[#This Row],[Date]],"YYYY-MM")</f>
        <v>2025-04</v>
      </c>
      <c r="V82" s="14" t="s">
        <v>439</v>
      </c>
      <c r="W82" s="14" t="s">
        <v>436</v>
      </c>
      <c r="X82" s="14">
        <v>4</v>
      </c>
      <c r="Y82" s="14" t="s">
        <v>76</v>
      </c>
      <c r="Z82" s="14">
        <v>5</v>
      </c>
    </row>
    <row r="83" spans="1:26" ht="15" customHeight="1" x14ac:dyDescent="0.3">
      <c r="A83" s="14" t="s">
        <v>440</v>
      </c>
      <c r="B83" s="14" t="s">
        <v>441</v>
      </c>
      <c r="C83" s="14" t="s">
        <v>320</v>
      </c>
      <c r="D83" s="14">
        <v>61</v>
      </c>
      <c r="E83" s="14" t="s">
        <v>442</v>
      </c>
      <c r="F83" s="14">
        <v>64092</v>
      </c>
      <c r="G83" s="14" t="s">
        <v>248</v>
      </c>
      <c r="H83" s="15">
        <v>45574</v>
      </c>
      <c r="I83" s="14" t="s">
        <v>102</v>
      </c>
      <c r="J83" s="14" t="s">
        <v>77</v>
      </c>
      <c r="K83" s="14" t="s">
        <v>78</v>
      </c>
      <c r="L83" s="14" t="s">
        <v>79</v>
      </c>
      <c r="M83" s="15">
        <v>46097</v>
      </c>
      <c r="O83" s="14" t="s">
        <v>443</v>
      </c>
      <c r="P83" s="14" t="s">
        <v>171</v>
      </c>
      <c r="Q83" s="15">
        <v>46000</v>
      </c>
      <c r="R83" s="14" t="s">
        <v>117</v>
      </c>
      <c r="S83" s="14">
        <v>6960</v>
      </c>
      <c r="U83" s="1" t="str">
        <f>TEXT(tblTransactions[[#This Row],[Date]],"YYYY-MM")</f>
        <v>2025-12</v>
      </c>
      <c r="V83" s="14" t="s">
        <v>444</v>
      </c>
      <c r="W83" s="14" t="s">
        <v>440</v>
      </c>
      <c r="X83" s="14">
        <v>4</v>
      </c>
      <c r="Y83" s="14" t="s">
        <v>102</v>
      </c>
      <c r="Z83" s="14">
        <v>5</v>
      </c>
    </row>
    <row r="84" spans="1:26" ht="15" customHeight="1" x14ac:dyDescent="0.3">
      <c r="A84" s="14" t="s">
        <v>445</v>
      </c>
      <c r="B84" s="14" t="s">
        <v>446</v>
      </c>
      <c r="C84" s="14" t="s">
        <v>320</v>
      </c>
      <c r="D84" s="14">
        <v>40</v>
      </c>
      <c r="E84" s="14" t="s">
        <v>132</v>
      </c>
      <c r="F84" s="14">
        <v>135385</v>
      </c>
      <c r="G84" s="14" t="s">
        <v>149</v>
      </c>
      <c r="H84" s="15">
        <v>45127</v>
      </c>
      <c r="I84" s="14" t="s">
        <v>76</v>
      </c>
      <c r="J84" s="14" t="s">
        <v>95</v>
      </c>
      <c r="K84" s="14" t="s">
        <v>78</v>
      </c>
      <c r="L84" s="14" t="s">
        <v>78</v>
      </c>
      <c r="M84" s="15">
        <v>46081</v>
      </c>
      <c r="O84" s="14" t="s">
        <v>447</v>
      </c>
      <c r="P84" s="14" t="s">
        <v>171</v>
      </c>
      <c r="Q84" s="15">
        <v>46069</v>
      </c>
      <c r="R84" s="14" t="s">
        <v>122</v>
      </c>
      <c r="S84" s="14">
        <v>6650</v>
      </c>
      <c r="U84" s="1" t="str">
        <f>TEXT(tblTransactions[[#This Row],[Date]],"YYYY-MM")</f>
        <v>2026-02</v>
      </c>
      <c r="V84" s="14" t="s">
        <v>448</v>
      </c>
      <c r="W84" s="14" t="s">
        <v>445</v>
      </c>
      <c r="X84" s="14">
        <v>3</v>
      </c>
      <c r="Y84" s="14" t="s">
        <v>76</v>
      </c>
      <c r="Z84" s="14">
        <v>8</v>
      </c>
    </row>
    <row r="85" spans="1:26" ht="15" customHeight="1" x14ac:dyDescent="0.3">
      <c r="A85" s="14" t="s">
        <v>449</v>
      </c>
      <c r="B85" s="14" t="s">
        <v>450</v>
      </c>
      <c r="C85" s="14" t="s">
        <v>320</v>
      </c>
      <c r="D85" s="14">
        <v>45</v>
      </c>
      <c r="E85" s="14" t="s">
        <v>143</v>
      </c>
      <c r="F85" s="14">
        <v>92768</v>
      </c>
      <c r="G85" s="14" t="s">
        <v>108</v>
      </c>
      <c r="H85" s="15">
        <v>45054</v>
      </c>
      <c r="I85" s="14" t="s">
        <v>102</v>
      </c>
      <c r="J85" s="14" t="s">
        <v>95</v>
      </c>
      <c r="K85" s="14" t="s">
        <v>87</v>
      </c>
      <c r="L85" s="14" t="s">
        <v>79</v>
      </c>
      <c r="M85" s="15">
        <v>46062</v>
      </c>
      <c r="O85" s="14" t="s">
        <v>451</v>
      </c>
      <c r="P85" s="14" t="s">
        <v>176</v>
      </c>
      <c r="Q85" s="15">
        <v>46024</v>
      </c>
      <c r="R85" s="14" t="s">
        <v>122</v>
      </c>
      <c r="S85" s="14">
        <v>1420</v>
      </c>
      <c r="U85" s="1" t="str">
        <f>TEXT(tblTransactions[[#This Row],[Date]],"YYYY-MM")</f>
        <v>2026-01</v>
      </c>
      <c r="V85" s="14" t="s">
        <v>452</v>
      </c>
      <c r="W85" s="14" t="s">
        <v>449</v>
      </c>
      <c r="X85" s="14">
        <v>4</v>
      </c>
      <c r="Y85" s="14" t="s">
        <v>102</v>
      </c>
      <c r="Z85" s="14">
        <v>8</v>
      </c>
    </row>
    <row r="86" spans="1:26" ht="15" customHeight="1" x14ac:dyDescent="0.3">
      <c r="A86" s="14" t="s">
        <v>453</v>
      </c>
      <c r="B86" s="14" t="s">
        <v>454</v>
      </c>
      <c r="C86" s="14" t="s">
        <v>320</v>
      </c>
      <c r="D86" s="14">
        <v>24</v>
      </c>
      <c r="E86" s="14" t="s">
        <v>114</v>
      </c>
      <c r="F86" s="14">
        <v>49045</v>
      </c>
      <c r="G86" s="14" t="s">
        <v>86</v>
      </c>
      <c r="H86" s="15">
        <v>45060</v>
      </c>
      <c r="I86" s="14" t="s">
        <v>76</v>
      </c>
      <c r="J86" s="14" t="s">
        <v>95</v>
      </c>
      <c r="K86" s="14" t="s">
        <v>87</v>
      </c>
      <c r="L86" s="14" t="s">
        <v>87</v>
      </c>
      <c r="M86" s="15">
        <v>46031</v>
      </c>
      <c r="O86" s="14" t="s">
        <v>455</v>
      </c>
      <c r="P86" s="14" t="s">
        <v>176</v>
      </c>
      <c r="Q86" s="15">
        <v>45960</v>
      </c>
      <c r="R86" s="14" t="s">
        <v>135</v>
      </c>
      <c r="S86" s="14">
        <v>8540</v>
      </c>
      <c r="U86" s="1" t="str">
        <f>TEXT(tblTransactions[[#This Row],[Date]],"YYYY-MM")</f>
        <v>2025-10</v>
      </c>
      <c r="V86" s="14" t="s">
        <v>456</v>
      </c>
      <c r="W86" s="14" t="s">
        <v>453</v>
      </c>
      <c r="X86" s="14">
        <v>2</v>
      </c>
      <c r="Y86" s="14" t="s">
        <v>76</v>
      </c>
      <c r="Z86" s="14">
        <v>7</v>
      </c>
    </row>
    <row r="87" spans="1:26" ht="15" customHeight="1" x14ac:dyDescent="0.3">
      <c r="A87" s="14" t="s">
        <v>457</v>
      </c>
      <c r="B87" s="14" t="s">
        <v>458</v>
      </c>
      <c r="C87" s="14" t="s">
        <v>320</v>
      </c>
      <c r="D87" s="14">
        <v>46</v>
      </c>
      <c r="E87" s="14" t="s">
        <v>93</v>
      </c>
      <c r="F87" s="14">
        <v>63357</v>
      </c>
      <c r="G87" s="14" t="s">
        <v>277</v>
      </c>
      <c r="H87" s="15">
        <v>45491</v>
      </c>
      <c r="I87" s="14" t="s">
        <v>76</v>
      </c>
      <c r="J87" s="14" t="s">
        <v>77</v>
      </c>
      <c r="K87" s="14" t="s">
        <v>78</v>
      </c>
      <c r="L87" s="14" t="s">
        <v>78</v>
      </c>
      <c r="M87" s="15">
        <v>46037</v>
      </c>
      <c r="O87" s="14" t="s">
        <v>459</v>
      </c>
      <c r="P87" s="14" t="s">
        <v>176</v>
      </c>
      <c r="Q87" s="15">
        <v>45798</v>
      </c>
      <c r="R87" s="14" t="s">
        <v>89</v>
      </c>
      <c r="S87" s="14">
        <v>7840</v>
      </c>
      <c r="U87" s="1" t="str">
        <f>TEXT(tblTransactions[[#This Row],[Date]],"YYYY-MM")</f>
        <v>2025-05</v>
      </c>
      <c r="V87" s="14" t="s">
        <v>460</v>
      </c>
      <c r="W87" s="14" t="s">
        <v>457</v>
      </c>
      <c r="X87" s="14">
        <v>3</v>
      </c>
      <c r="Y87" s="14" t="s">
        <v>76</v>
      </c>
      <c r="Z87" s="14">
        <v>8</v>
      </c>
    </row>
    <row r="88" spans="1:26" ht="15" customHeight="1" x14ac:dyDescent="0.3">
      <c r="A88" s="14" t="s">
        <v>461</v>
      </c>
      <c r="B88" s="14" t="s">
        <v>462</v>
      </c>
      <c r="C88" s="14" t="s">
        <v>320</v>
      </c>
      <c r="D88" s="14">
        <v>26</v>
      </c>
      <c r="E88" s="14" t="s">
        <v>93</v>
      </c>
      <c r="F88" s="14">
        <v>144633</v>
      </c>
      <c r="G88" s="14" t="s">
        <v>108</v>
      </c>
      <c r="H88" s="15">
        <v>44941</v>
      </c>
      <c r="I88" s="14" t="s">
        <v>76</v>
      </c>
      <c r="J88" s="14" t="s">
        <v>95</v>
      </c>
      <c r="K88" s="14" t="s">
        <v>87</v>
      </c>
      <c r="L88" s="14" t="s">
        <v>87</v>
      </c>
      <c r="M88" s="15">
        <v>45765</v>
      </c>
      <c r="O88" s="14" t="s">
        <v>463</v>
      </c>
      <c r="P88" s="14" t="s">
        <v>176</v>
      </c>
      <c r="Q88" s="15">
        <v>45764</v>
      </c>
      <c r="R88" s="14" t="s">
        <v>135</v>
      </c>
      <c r="S88" s="14">
        <v>1730</v>
      </c>
      <c r="U88" s="1" t="str">
        <f>TEXT(tblTransactions[[#This Row],[Date]],"YYYY-MM")</f>
        <v>2025-04</v>
      </c>
      <c r="V88" s="14" t="s">
        <v>464</v>
      </c>
      <c r="W88" s="14" t="s">
        <v>461</v>
      </c>
      <c r="X88" s="14">
        <v>3</v>
      </c>
      <c r="Y88" s="14" t="s">
        <v>76</v>
      </c>
      <c r="Z88" s="14">
        <v>7</v>
      </c>
    </row>
    <row r="89" spans="1:26" ht="15" customHeight="1" x14ac:dyDescent="0.3">
      <c r="A89" s="14" t="s">
        <v>465</v>
      </c>
      <c r="B89" s="14" t="s">
        <v>466</v>
      </c>
      <c r="C89" s="14" t="s">
        <v>320</v>
      </c>
      <c r="D89" s="14">
        <v>52</v>
      </c>
      <c r="E89" s="14" t="s">
        <v>107</v>
      </c>
      <c r="F89" s="14">
        <v>57093</v>
      </c>
      <c r="G89" s="14" t="s">
        <v>196</v>
      </c>
      <c r="H89" s="15">
        <v>44959</v>
      </c>
      <c r="I89" s="14" t="s">
        <v>76</v>
      </c>
      <c r="J89" s="14" t="s">
        <v>95</v>
      </c>
      <c r="K89" s="14" t="s">
        <v>87</v>
      </c>
      <c r="L89" s="14" t="s">
        <v>79</v>
      </c>
      <c r="M89" s="15">
        <v>45859</v>
      </c>
      <c r="O89" s="14" t="s">
        <v>467</v>
      </c>
      <c r="P89" s="14" t="s">
        <v>176</v>
      </c>
      <c r="Q89" s="15">
        <v>46112</v>
      </c>
      <c r="R89" s="14" t="s">
        <v>122</v>
      </c>
      <c r="S89" s="14">
        <v>2480</v>
      </c>
      <c r="U89" s="1" t="str">
        <f>TEXT(tblTransactions[[#This Row],[Date]],"YYYY-MM")</f>
        <v>2026-03</v>
      </c>
      <c r="V89" s="14" t="s">
        <v>468</v>
      </c>
      <c r="W89" s="14" t="s">
        <v>465</v>
      </c>
      <c r="X89" s="14">
        <v>3</v>
      </c>
      <c r="Y89" s="14" t="s">
        <v>76</v>
      </c>
      <c r="Z89" s="14">
        <v>8</v>
      </c>
    </row>
    <row r="90" spans="1:26" ht="15" customHeight="1" x14ac:dyDescent="0.3">
      <c r="A90" s="14" t="s">
        <v>469</v>
      </c>
      <c r="B90" s="14" t="s">
        <v>470</v>
      </c>
      <c r="C90" s="14" t="s">
        <v>320</v>
      </c>
      <c r="D90" s="14">
        <v>27</v>
      </c>
      <c r="E90" s="14" t="s">
        <v>132</v>
      </c>
      <c r="F90" s="14">
        <v>25965</v>
      </c>
      <c r="G90" s="14" t="s">
        <v>248</v>
      </c>
      <c r="H90" s="15">
        <v>45695</v>
      </c>
      <c r="I90" s="14" t="s">
        <v>76</v>
      </c>
      <c r="J90" s="14" t="s">
        <v>95</v>
      </c>
      <c r="K90" s="14" t="s">
        <v>87</v>
      </c>
      <c r="L90" s="14" t="s">
        <v>79</v>
      </c>
      <c r="M90" s="15">
        <v>45985</v>
      </c>
      <c r="O90" s="14" t="s">
        <v>471</v>
      </c>
      <c r="P90" s="14" t="s">
        <v>181</v>
      </c>
      <c r="Q90" s="15">
        <v>45931</v>
      </c>
      <c r="R90" s="14" t="s">
        <v>110</v>
      </c>
      <c r="S90" s="14">
        <v>8440</v>
      </c>
      <c r="U90" s="1" t="str">
        <f>TEXT(tblTransactions[[#This Row],[Date]],"YYYY-MM")</f>
        <v>2025-10</v>
      </c>
      <c r="V90" s="14" t="s">
        <v>472</v>
      </c>
      <c r="W90" s="14" t="s">
        <v>469</v>
      </c>
      <c r="X90" s="14">
        <v>4</v>
      </c>
      <c r="Y90" s="14" t="s">
        <v>76</v>
      </c>
      <c r="Z90" s="14">
        <v>9</v>
      </c>
    </row>
    <row r="91" spans="1:26" ht="15" customHeight="1" x14ac:dyDescent="0.3">
      <c r="A91" s="14" t="s">
        <v>473</v>
      </c>
      <c r="B91" s="14" t="s">
        <v>474</v>
      </c>
      <c r="C91" s="14" t="s">
        <v>320</v>
      </c>
      <c r="D91" s="14">
        <v>25</v>
      </c>
      <c r="E91" s="14" t="s">
        <v>178</v>
      </c>
      <c r="F91" s="14">
        <v>95243</v>
      </c>
      <c r="G91" s="14" t="s">
        <v>127</v>
      </c>
      <c r="H91" s="15">
        <v>45523</v>
      </c>
      <c r="I91" s="14" t="s">
        <v>76</v>
      </c>
      <c r="J91" s="14" t="s">
        <v>77</v>
      </c>
      <c r="K91" s="14" t="s">
        <v>79</v>
      </c>
      <c r="L91" s="14" t="s">
        <v>87</v>
      </c>
      <c r="M91" s="15">
        <v>46070</v>
      </c>
      <c r="O91" s="14" t="s">
        <v>475</v>
      </c>
      <c r="P91" s="14" t="s">
        <v>181</v>
      </c>
      <c r="Q91" s="15">
        <v>45951</v>
      </c>
      <c r="R91" s="14" t="s">
        <v>81</v>
      </c>
      <c r="S91" s="14">
        <v>3200</v>
      </c>
      <c r="U91" s="1" t="str">
        <f>TEXT(tblTransactions[[#This Row],[Date]],"YYYY-MM")</f>
        <v>2025-10</v>
      </c>
      <c r="V91" s="14" t="s">
        <v>476</v>
      </c>
      <c r="W91" s="14" t="s">
        <v>473</v>
      </c>
      <c r="X91" s="14">
        <v>4</v>
      </c>
      <c r="Y91" s="14" t="s">
        <v>76</v>
      </c>
      <c r="Z91" s="14">
        <v>4</v>
      </c>
    </row>
    <row r="92" spans="1:26" ht="15" customHeight="1" x14ac:dyDescent="0.3">
      <c r="A92" s="14" t="s">
        <v>477</v>
      </c>
      <c r="B92" s="14" t="s">
        <v>478</v>
      </c>
      <c r="C92" s="14" t="s">
        <v>320</v>
      </c>
      <c r="D92" s="14">
        <v>49</v>
      </c>
      <c r="E92" s="14" t="s">
        <v>74</v>
      </c>
      <c r="F92" s="14">
        <v>127756</v>
      </c>
      <c r="G92" s="14" t="s">
        <v>196</v>
      </c>
      <c r="H92" s="15">
        <v>45382</v>
      </c>
      <c r="I92" s="14" t="s">
        <v>76</v>
      </c>
      <c r="J92" s="14" t="s">
        <v>95</v>
      </c>
      <c r="K92" s="14" t="s">
        <v>87</v>
      </c>
      <c r="L92" s="14" t="s">
        <v>78</v>
      </c>
      <c r="M92" s="15">
        <v>46100</v>
      </c>
      <c r="O92" s="14" t="s">
        <v>479</v>
      </c>
      <c r="P92" s="14" t="s">
        <v>181</v>
      </c>
      <c r="Q92" s="15">
        <v>45794</v>
      </c>
      <c r="R92" s="14" t="s">
        <v>135</v>
      </c>
      <c r="S92" s="14">
        <v>25000</v>
      </c>
      <c r="U92" s="1" t="str">
        <f>TEXT(tblTransactions[[#This Row],[Date]],"YYYY-MM")</f>
        <v>2025-05</v>
      </c>
      <c r="V92" s="14" t="s">
        <v>480</v>
      </c>
      <c r="W92" s="14" t="s">
        <v>477</v>
      </c>
      <c r="X92" s="14">
        <v>3</v>
      </c>
      <c r="Y92" s="14" t="s">
        <v>76</v>
      </c>
      <c r="Z92" s="14">
        <v>6</v>
      </c>
    </row>
    <row r="93" spans="1:26" ht="15" customHeight="1" x14ac:dyDescent="0.3">
      <c r="A93" s="14" t="s">
        <v>481</v>
      </c>
      <c r="B93" s="14" t="s">
        <v>482</v>
      </c>
      <c r="C93" s="14" t="s">
        <v>320</v>
      </c>
      <c r="D93" s="14">
        <v>55</v>
      </c>
      <c r="E93" s="14" t="s">
        <v>114</v>
      </c>
      <c r="F93" s="14">
        <v>31164</v>
      </c>
      <c r="G93" s="14" t="s">
        <v>94</v>
      </c>
      <c r="H93" s="15">
        <v>44804</v>
      </c>
      <c r="I93" s="14" t="s">
        <v>76</v>
      </c>
      <c r="J93" s="14" t="s">
        <v>95</v>
      </c>
      <c r="K93" s="14" t="s">
        <v>87</v>
      </c>
      <c r="L93" s="14" t="s">
        <v>87</v>
      </c>
      <c r="M93" s="15">
        <v>46065</v>
      </c>
      <c r="O93" s="14" t="s">
        <v>483</v>
      </c>
      <c r="P93" s="14" t="s">
        <v>181</v>
      </c>
      <c r="Q93" s="15">
        <v>45856</v>
      </c>
      <c r="R93" s="14" t="s">
        <v>110</v>
      </c>
      <c r="S93" s="14">
        <v>2280</v>
      </c>
      <c r="U93" s="1" t="str">
        <f>TEXT(tblTransactions[[#This Row],[Date]],"YYYY-MM")</f>
        <v>2025-07</v>
      </c>
      <c r="V93" s="14" t="s">
        <v>484</v>
      </c>
      <c r="W93" s="14" t="s">
        <v>481</v>
      </c>
      <c r="X93" s="14">
        <v>3</v>
      </c>
      <c r="Y93" s="14" t="s">
        <v>76</v>
      </c>
      <c r="Z93" s="14">
        <v>8</v>
      </c>
    </row>
    <row r="94" spans="1:26" ht="15" customHeight="1" x14ac:dyDescent="0.3">
      <c r="A94" s="14" t="s">
        <v>485</v>
      </c>
      <c r="B94" s="14" t="s">
        <v>486</v>
      </c>
      <c r="C94" s="14" t="s">
        <v>320</v>
      </c>
      <c r="D94" s="14">
        <v>52</v>
      </c>
      <c r="E94" s="14" t="s">
        <v>442</v>
      </c>
      <c r="F94" s="14">
        <v>79049</v>
      </c>
      <c r="G94" s="14" t="s">
        <v>133</v>
      </c>
      <c r="H94" s="15">
        <v>45468</v>
      </c>
      <c r="I94" s="14" t="s">
        <v>76</v>
      </c>
      <c r="J94" s="14" t="s">
        <v>95</v>
      </c>
      <c r="K94" s="14" t="s">
        <v>87</v>
      </c>
      <c r="L94" s="14" t="s">
        <v>87</v>
      </c>
      <c r="M94" s="15">
        <v>46082</v>
      </c>
      <c r="O94" s="14" t="s">
        <v>487</v>
      </c>
      <c r="P94" s="14" t="s">
        <v>181</v>
      </c>
      <c r="Q94" s="15">
        <v>45773</v>
      </c>
      <c r="R94" s="14" t="s">
        <v>89</v>
      </c>
      <c r="S94" s="14">
        <v>1950</v>
      </c>
      <c r="U94" s="1" t="str">
        <f>TEXT(tblTransactions[[#This Row],[Date]],"YYYY-MM")</f>
        <v>2025-04</v>
      </c>
      <c r="V94" s="14" t="s">
        <v>488</v>
      </c>
      <c r="W94" s="14" t="s">
        <v>485</v>
      </c>
      <c r="X94" s="14">
        <v>4</v>
      </c>
      <c r="Y94" s="14" t="s">
        <v>76</v>
      </c>
      <c r="Z94" s="14">
        <v>8</v>
      </c>
    </row>
    <row r="95" spans="1:26" ht="15" customHeight="1" x14ac:dyDescent="0.3">
      <c r="A95" s="14" t="s">
        <v>489</v>
      </c>
      <c r="B95" s="14" t="s">
        <v>490</v>
      </c>
      <c r="C95" s="14" t="s">
        <v>320</v>
      </c>
      <c r="D95" s="14">
        <v>22</v>
      </c>
      <c r="E95" s="14" t="s">
        <v>107</v>
      </c>
      <c r="F95" s="14">
        <v>145843</v>
      </c>
      <c r="G95" s="14" t="s">
        <v>75</v>
      </c>
      <c r="H95" s="15">
        <v>44765</v>
      </c>
      <c r="I95" s="14" t="s">
        <v>102</v>
      </c>
      <c r="J95" s="14" t="s">
        <v>77</v>
      </c>
      <c r="K95" s="14" t="s">
        <v>78</v>
      </c>
      <c r="L95" s="14" t="s">
        <v>87</v>
      </c>
      <c r="M95" s="15">
        <v>45961</v>
      </c>
      <c r="O95" s="14" t="s">
        <v>491</v>
      </c>
      <c r="P95" s="14" t="s">
        <v>181</v>
      </c>
      <c r="Q95" s="15">
        <v>45872</v>
      </c>
      <c r="R95" s="14" t="s">
        <v>122</v>
      </c>
      <c r="S95" s="14">
        <v>18310</v>
      </c>
      <c r="U95" s="1" t="str">
        <f>TEXT(tblTransactions[[#This Row],[Date]],"YYYY-MM")</f>
        <v>2025-08</v>
      </c>
      <c r="V95" s="14" t="s">
        <v>492</v>
      </c>
      <c r="W95" s="14" t="s">
        <v>489</v>
      </c>
      <c r="X95" s="14">
        <v>4</v>
      </c>
      <c r="Y95" s="14" t="s">
        <v>102</v>
      </c>
      <c r="Z95" s="14">
        <v>8</v>
      </c>
    </row>
    <row r="96" spans="1:26" ht="15" customHeight="1" x14ac:dyDescent="0.3">
      <c r="A96" s="14" t="s">
        <v>493</v>
      </c>
      <c r="B96" s="14" t="s">
        <v>494</v>
      </c>
      <c r="C96" s="14" t="s">
        <v>320</v>
      </c>
      <c r="D96" s="14">
        <v>29</v>
      </c>
      <c r="E96" s="14" t="s">
        <v>195</v>
      </c>
      <c r="F96" s="14">
        <v>42782</v>
      </c>
      <c r="G96" s="14" t="s">
        <v>159</v>
      </c>
      <c r="H96" s="15">
        <v>44715</v>
      </c>
      <c r="I96" s="14" t="s">
        <v>76</v>
      </c>
      <c r="J96" s="14" t="s">
        <v>95</v>
      </c>
      <c r="K96" s="14" t="s">
        <v>87</v>
      </c>
      <c r="L96" s="14" t="s">
        <v>87</v>
      </c>
      <c r="M96" s="15">
        <v>45920</v>
      </c>
      <c r="O96" s="14" t="s">
        <v>495</v>
      </c>
      <c r="P96" s="14" t="s">
        <v>181</v>
      </c>
      <c r="Q96" s="15">
        <v>45783</v>
      </c>
      <c r="R96" s="14" t="s">
        <v>117</v>
      </c>
      <c r="S96" s="14">
        <v>4080</v>
      </c>
      <c r="U96" s="1" t="str">
        <f>TEXT(tblTransactions[[#This Row],[Date]],"YYYY-MM")</f>
        <v>2025-05</v>
      </c>
      <c r="V96" s="14" t="s">
        <v>496</v>
      </c>
      <c r="W96" s="14" t="s">
        <v>493</v>
      </c>
      <c r="X96" s="14">
        <v>3</v>
      </c>
      <c r="Y96" s="14" t="s">
        <v>76</v>
      </c>
      <c r="Z96" s="14">
        <v>6</v>
      </c>
    </row>
    <row r="97" spans="1:26" ht="15" customHeight="1" x14ac:dyDescent="0.3">
      <c r="A97" s="14" t="s">
        <v>497</v>
      </c>
      <c r="B97" s="14" t="s">
        <v>498</v>
      </c>
      <c r="C97" s="14" t="s">
        <v>320</v>
      </c>
      <c r="D97" s="14">
        <v>21</v>
      </c>
      <c r="E97" s="14" t="s">
        <v>195</v>
      </c>
      <c r="F97" s="14">
        <v>57762</v>
      </c>
      <c r="G97" s="14" t="s">
        <v>75</v>
      </c>
      <c r="H97" s="15">
        <v>45141</v>
      </c>
      <c r="I97" s="14" t="s">
        <v>102</v>
      </c>
      <c r="J97" s="14" t="s">
        <v>95</v>
      </c>
      <c r="K97" s="14" t="s">
        <v>87</v>
      </c>
      <c r="L97" s="14" t="s">
        <v>79</v>
      </c>
      <c r="M97" s="15">
        <v>46032</v>
      </c>
      <c r="O97" s="14" t="s">
        <v>499</v>
      </c>
      <c r="P97" s="14" t="s">
        <v>181</v>
      </c>
      <c r="Q97" s="15">
        <v>45854</v>
      </c>
      <c r="R97" s="14" t="s">
        <v>122</v>
      </c>
      <c r="S97" s="14">
        <v>1280</v>
      </c>
      <c r="U97" s="1" t="str">
        <f>TEXT(tblTransactions[[#This Row],[Date]],"YYYY-MM")</f>
        <v>2025-07</v>
      </c>
      <c r="V97" s="14" t="s">
        <v>500</v>
      </c>
      <c r="W97" s="14" t="s">
        <v>497</v>
      </c>
      <c r="X97" s="14">
        <v>3</v>
      </c>
      <c r="Y97" s="14" t="s">
        <v>102</v>
      </c>
      <c r="Z97" s="14">
        <v>8</v>
      </c>
    </row>
    <row r="98" spans="1:26" ht="15" customHeight="1" x14ac:dyDescent="0.3">
      <c r="A98" s="14" t="s">
        <v>501</v>
      </c>
      <c r="B98" s="14" t="s">
        <v>502</v>
      </c>
      <c r="C98" s="14" t="s">
        <v>320</v>
      </c>
      <c r="D98" s="14">
        <v>59</v>
      </c>
      <c r="E98" s="14" t="s">
        <v>247</v>
      </c>
      <c r="F98" s="14">
        <v>106662</v>
      </c>
      <c r="G98" s="14" t="s">
        <v>108</v>
      </c>
      <c r="H98" s="15">
        <v>44967</v>
      </c>
      <c r="I98" s="14" t="s">
        <v>76</v>
      </c>
      <c r="J98" s="14" t="s">
        <v>95</v>
      </c>
      <c r="K98" s="14" t="s">
        <v>87</v>
      </c>
      <c r="L98" s="14" t="s">
        <v>79</v>
      </c>
      <c r="M98" s="15">
        <v>46006</v>
      </c>
      <c r="O98" s="14" t="s">
        <v>503</v>
      </c>
      <c r="P98" s="14" t="s">
        <v>181</v>
      </c>
      <c r="Q98" s="15">
        <v>45916</v>
      </c>
      <c r="R98" s="14" t="s">
        <v>122</v>
      </c>
      <c r="S98" s="14">
        <v>2110</v>
      </c>
      <c r="U98" s="1" t="str">
        <f>TEXT(tblTransactions[[#This Row],[Date]],"YYYY-MM")</f>
        <v>2025-09</v>
      </c>
      <c r="V98" s="14" t="s">
        <v>504</v>
      </c>
      <c r="W98" s="14" t="s">
        <v>501</v>
      </c>
      <c r="X98" s="14">
        <v>2</v>
      </c>
      <c r="Y98" s="14" t="s">
        <v>76</v>
      </c>
      <c r="Z98" s="14">
        <v>6</v>
      </c>
    </row>
    <row r="99" spans="1:26" ht="15" customHeight="1" x14ac:dyDescent="0.3">
      <c r="A99" s="14" t="s">
        <v>505</v>
      </c>
      <c r="B99" s="14" t="s">
        <v>506</v>
      </c>
      <c r="C99" s="14" t="s">
        <v>320</v>
      </c>
      <c r="D99" s="14">
        <v>28</v>
      </c>
      <c r="E99" s="14" t="s">
        <v>85</v>
      </c>
      <c r="F99" s="14">
        <v>27816</v>
      </c>
      <c r="G99" s="14" t="s">
        <v>101</v>
      </c>
      <c r="H99" s="15">
        <v>45191</v>
      </c>
      <c r="I99" s="14" t="s">
        <v>76</v>
      </c>
      <c r="J99" s="14" t="s">
        <v>95</v>
      </c>
      <c r="K99" s="14" t="s">
        <v>79</v>
      </c>
      <c r="L99" s="14" t="s">
        <v>87</v>
      </c>
      <c r="M99" s="15">
        <v>46020</v>
      </c>
      <c r="O99" s="14" t="s">
        <v>507</v>
      </c>
      <c r="P99" s="14" t="s">
        <v>181</v>
      </c>
      <c r="Q99" s="15">
        <v>46053</v>
      </c>
      <c r="R99" s="14" t="s">
        <v>122</v>
      </c>
      <c r="S99" s="14">
        <v>21880</v>
      </c>
      <c r="U99" s="1" t="str">
        <f>TEXT(tblTransactions[[#This Row],[Date]],"YYYY-MM")</f>
        <v>2026-01</v>
      </c>
      <c r="V99" s="14" t="s">
        <v>508</v>
      </c>
      <c r="W99" s="14" t="s">
        <v>505</v>
      </c>
      <c r="X99" s="14">
        <v>4</v>
      </c>
      <c r="Y99" s="14" t="s">
        <v>76</v>
      </c>
      <c r="Z99" s="14">
        <v>6</v>
      </c>
    </row>
    <row r="100" spans="1:26" ht="15" customHeight="1" x14ac:dyDescent="0.3">
      <c r="A100" s="14" t="s">
        <v>509</v>
      </c>
      <c r="B100" s="14" t="s">
        <v>510</v>
      </c>
      <c r="C100" s="14" t="s">
        <v>320</v>
      </c>
      <c r="D100" s="14">
        <v>48</v>
      </c>
      <c r="E100" s="14" t="s">
        <v>114</v>
      </c>
      <c r="F100" s="14">
        <v>111715</v>
      </c>
      <c r="G100" s="14" t="s">
        <v>86</v>
      </c>
      <c r="H100" s="15">
        <v>45119</v>
      </c>
      <c r="I100" s="14" t="s">
        <v>76</v>
      </c>
      <c r="J100" s="14" t="s">
        <v>95</v>
      </c>
      <c r="K100" s="14" t="s">
        <v>78</v>
      </c>
      <c r="L100" s="14" t="s">
        <v>78</v>
      </c>
      <c r="M100" s="15">
        <v>46065</v>
      </c>
      <c r="O100" s="14" t="s">
        <v>511</v>
      </c>
      <c r="P100" s="14" t="s">
        <v>181</v>
      </c>
      <c r="Q100" s="15">
        <v>45814</v>
      </c>
      <c r="R100" s="14" t="s">
        <v>117</v>
      </c>
      <c r="S100" s="14">
        <v>4630</v>
      </c>
      <c r="U100" s="1" t="str">
        <f>TEXT(tblTransactions[[#This Row],[Date]],"YYYY-MM")</f>
        <v>2025-06</v>
      </c>
      <c r="V100" s="14" t="s">
        <v>512</v>
      </c>
      <c r="W100" s="14" t="s">
        <v>509</v>
      </c>
      <c r="X100" s="14">
        <v>4</v>
      </c>
      <c r="Y100" s="14" t="s">
        <v>76</v>
      </c>
      <c r="Z100" s="14">
        <v>8</v>
      </c>
    </row>
    <row r="101" spans="1:26" ht="15" customHeight="1" x14ac:dyDescent="0.3">
      <c r="A101" s="14" t="s">
        <v>513</v>
      </c>
      <c r="B101" s="14" t="s">
        <v>514</v>
      </c>
      <c r="C101" s="14" t="s">
        <v>320</v>
      </c>
      <c r="D101" s="14">
        <v>46</v>
      </c>
      <c r="E101" s="14" t="s">
        <v>100</v>
      </c>
      <c r="F101" s="14">
        <v>99129</v>
      </c>
      <c r="G101" s="14" t="s">
        <v>127</v>
      </c>
      <c r="H101" s="15">
        <v>44614</v>
      </c>
      <c r="I101" s="14" t="s">
        <v>76</v>
      </c>
      <c r="J101" s="14" t="s">
        <v>95</v>
      </c>
      <c r="K101" s="14" t="s">
        <v>79</v>
      </c>
      <c r="L101" s="14" t="s">
        <v>87</v>
      </c>
      <c r="M101" s="15">
        <v>46095</v>
      </c>
      <c r="O101" s="14" t="s">
        <v>515</v>
      </c>
      <c r="P101" s="14" t="s">
        <v>181</v>
      </c>
      <c r="Q101" s="15">
        <v>45876</v>
      </c>
      <c r="R101" s="14" t="s">
        <v>110</v>
      </c>
      <c r="S101" s="14">
        <v>5050</v>
      </c>
      <c r="U101" s="1" t="str">
        <f>TEXT(tblTransactions[[#This Row],[Date]],"YYYY-MM")</f>
        <v>2025-08</v>
      </c>
      <c r="V101" s="14" t="s">
        <v>516</v>
      </c>
      <c r="W101" s="14" t="s">
        <v>513</v>
      </c>
      <c r="X101" s="14">
        <v>4</v>
      </c>
      <c r="Y101" s="14" t="s">
        <v>76</v>
      </c>
      <c r="Z101" s="14">
        <v>9</v>
      </c>
    </row>
    <row r="102" spans="1:26" ht="15" customHeight="1" x14ac:dyDescent="0.3">
      <c r="A102" s="14" t="s">
        <v>517</v>
      </c>
      <c r="B102" s="14" t="s">
        <v>518</v>
      </c>
      <c r="C102" s="14" t="s">
        <v>320</v>
      </c>
      <c r="D102" s="14">
        <v>20</v>
      </c>
      <c r="E102" s="14" t="s">
        <v>132</v>
      </c>
      <c r="F102" s="14">
        <v>95529</v>
      </c>
      <c r="G102" s="14" t="s">
        <v>248</v>
      </c>
      <c r="H102" s="15">
        <v>44920</v>
      </c>
      <c r="I102" s="14" t="s">
        <v>76</v>
      </c>
      <c r="J102" s="14" t="s">
        <v>95</v>
      </c>
      <c r="K102" s="14" t="s">
        <v>79</v>
      </c>
      <c r="L102" s="14" t="s">
        <v>78</v>
      </c>
      <c r="M102" s="15">
        <v>46040</v>
      </c>
      <c r="O102" s="14" t="s">
        <v>519</v>
      </c>
      <c r="P102" s="14" t="s">
        <v>181</v>
      </c>
      <c r="Q102" s="15">
        <v>46105</v>
      </c>
      <c r="R102" s="14" t="s">
        <v>122</v>
      </c>
      <c r="S102" s="14">
        <v>3110</v>
      </c>
      <c r="U102" s="1" t="str">
        <f>TEXT(tblTransactions[[#This Row],[Date]],"YYYY-MM")</f>
        <v>2026-03</v>
      </c>
      <c r="V102" s="14" t="s">
        <v>520</v>
      </c>
      <c r="W102" s="14" t="s">
        <v>517</v>
      </c>
      <c r="X102" s="14">
        <v>2</v>
      </c>
      <c r="Y102" s="14" t="s">
        <v>76</v>
      </c>
      <c r="Z102" s="14">
        <v>5</v>
      </c>
    </row>
    <row r="103" spans="1:26" ht="15" customHeight="1" x14ac:dyDescent="0.3">
      <c r="A103" s="14" t="s">
        <v>521</v>
      </c>
      <c r="B103" s="14" t="s">
        <v>522</v>
      </c>
      <c r="C103" s="14" t="s">
        <v>73</v>
      </c>
      <c r="D103" s="14">
        <v>23</v>
      </c>
      <c r="E103" s="14" t="s">
        <v>100</v>
      </c>
      <c r="F103" s="14">
        <v>82196</v>
      </c>
      <c r="G103" s="14" t="s">
        <v>127</v>
      </c>
      <c r="H103" s="15">
        <v>45576</v>
      </c>
      <c r="I103" s="14" t="s">
        <v>76</v>
      </c>
      <c r="J103" s="14" t="s">
        <v>77</v>
      </c>
      <c r="K103" s="14" t="s">
        <v>79</v>
      </c>
      <c r="L103" s="14" t="s">
        <v>87</v>
      </c>
      <c r="M103" s="15">
        <v>45764</v>
      </c>
      <c r="O103" s="14" t="s">
        <v>523</v>
      </c>
      <c r="P103" s="14" t="s">
        <v>185</v>
      </c>
      <c r="Q103" s="15">
        <v>45913</v>
      </c>
      <c r="R103" s="14" t="s">
        <v>122</v>
      </c>
      <c r="S103" s="14">
        <v>8410</v>
      </c>
      <c r="U103" s="1" t="str">
        <f>TEXT(tblTransactions[[#This Row],[Date]],"YYYY-MM")</f>
        <v>2025-09</v>
      </c>
      <c r="V103" s="14" t="s">
        <v>524</v>
      </c>
      <c r="W103" s="14" t="s">
        <v>521</v>
      </c>
      <c r="X103" s="14">
        <v>2</v>
      </c>
      <c r="Y103" s="14" t="s">
        <v>102</v>
      </c>
      <c r="Z103" s="14">
        <v>7</v>
      </c>
    </row>
    <row r="104" spans="1:26" ht="15" customHeight="1" x14ac:dyDescent="0.3">
      <c r="A104" s="14" t="s">
        <v>525</v>
      </c>
      <c r="B104" s="14" t="s">
        <v>526</v>
      </c>
      <c r="C104" s="14" t="s">
        <v>73</v>
      </c>
      <c r="D104" s="14">
        <v>57</v>
      </c>
      <c r="E104" s="14" t="s">
        <v>195</v>
      </c>
      <c r="F104" s="14">
        <v>127974</v>
      </c>
      <c r="G104" s="14" t="s">
        <v>127</v>
      </c>
      <c r="H104" s="15">
        <v>45259</v>
      </c>
      <c r="I104" s="14" t="s">
        <v>102</v>
      </c>
      <c r="J104" s="14" t="s">
        <v>77</v>
      </c>
      <c r="K104" s="14" t="s">
        <v>78</v>
      </c>
      <c r="L104" s="14" t="s">
        <v>79</v>
      </c>
      <c r="M104" s="15">
        <v>45964</v>
      </c>
      <c r="O104" s="14" t="s">
        <v>527</v>
      </c>
      <c r="P104" s="14" t="s">
        <v>185</v>
      </c>
      <c r="Q104" s="15">
        <v>46098</v>
      </c>
      <c r="R104" s="14" t="s">
        <v>135</v>
      </c>
      <c r="S104" s="14">
        <v>4790</v>
      </c>
      <c r="U104" s="1" t="str">
        <f>TEXT(tblTransactions[[#This Row],[Date]],"YYYY-MM")</f>
        <v>2026-03</v>
      </c>
      <c r="V104" s="14" t="s">
        <v>528</v>
      </c>
      <c r="W104" s="14" t="s">
        <v>525</v>
      </c>
      <c r="X104" s="14">
        <v>1</v>
      </c>
      <c r="Y104" s="14" t="s">
        <v>76</v>
      </c>
      <c r="Z104" s="14">
        <v>8</v>
      </c>
    </row>
    <row r="105" spans="1:26" ht="15" customHeight="1" x14ac:dyDescent="0.3">
      <c r="A105" s="14" t="s">
        <v>529</v>
      </c>
      <c r="B105" s="14" t="s">
        <v>530</v>
      </c>
      <c r="C105" s="14" t="s">
        <v>320</v>
      </c>
      <c r="D105" s="14">
        <v>28</v>
      </c>
      <c r="E105" s="14" t="s">
        <v>85</v>
      </c>
      <c r="F105" s="14">
        <v>117595</v>
      </c>
      <c r="G105" s="14" t="s">
        <v>94</v>
      </c>
      <c r="H105" s="15">
        <v>45351</v>
      </c>
      <c r="I105" s="14" t="s">
        <v>102</v>
      </c>
      <c r="J105" s="14" t="s">
        <v>95</v>
      </c>
      <c r="K105" s="14" t="s">
        <v>78</v>
      </c>
      <c r="L105" s="14" t="s">
        <v>79</v>
      </c>
      <c r="M105" s="15">
        <v>45983</v>
      </c>
      <c r="O105" s="14" t="s">
        <v>531</v>
      </c>
      <c r="P105" s="14" t="s">
        <v>189</v>
      </c>
      <c r="Q105" s="15">
        <v>45977</v>
      </c>
      <c r="R105" s="14" t="s">
        <v>110</v>
      </c>
      <c r="S105" s="14">
        <v>5320</v>
      </c>
      <c r="U105" s="1" t="str">
        <f>TEXT(tblTransactions[[#This Row],[Date]],"YYYY-MM")</f>
        <v>2025-11</v>
      </c>
      <c r="V105" s="14" t="s">
        <v>532</v>
      </c>
      <c r="W105" s="14" t="s">
        <v>529</v>
      </c>
      <c r="X105" s="14">
        <v>5</v>
      </c>
      <c r="Y105" s="14" t="s">
        <v>102</v>
      </c>
      <c r="Z105" s="14">
        <v>7</v>
      </c>
    </row>
    <row r="106" spans="1:26" ht="15" customHeight="1" x14ac:dyDescent="0.3">
      <c r="A106" s="14" t="s">
        <v>533</v>
      </c>
      <c r="B106" s="14" t="s">
        <v>534</v>
      </c>
      <c r="C106" s="14" t="s">
        <v>320</v>
      </c>
      <c r="D106" s="14">
        <v>62</v>
      </c>
      <c r="E106" s="14" t="s">
        <v>535</v>
      </c>
      <c r="F106" s="14">
        <v>112800</v>
      </c>
      <c r="G106" s="14" t="s">
        <v>226</v>
      </c>
      <c r="H106" s="15">
        <v>45522</v>
      </c>
      <c r="I106" s="14" t="s">
        <v>76</v>
      </c>
      <c r="J106" s="14" t="s">
        <v>77</v>
      </c>
      <c r="K106" s="14" t="s">
        <v>79</v>
      </c>
      <c r="L106" s="14" t="s">
        <v>78</v>
      </c>
      <c r="M106" s="15">
        <v>45896</v>
      </c>
      <c r="O106" s="14" t="s">
        <v>536</v>
      </c>
      <c r="P106" s="14" t="s">
        <v>189</v>
      </c>
      <c r="Q106" s="15">
        <v>45979</v>
      </c>
      <c r="R106" s="14" t="s">
        <v>117</v>
      </c>
      <c r="S106" s="14">
        <v>1750</v>
      </c>
      <c r="U106" s="1" t="str">
        <f>TEXT(tblTransactions[[#This Row],[Date]],"YYYY-MM")</f>
        <v>2025-11</v>
      </c>
      <c r="V106" s="14" t="s">
        <v>537</v>
      </c>
      <c r="W106" s="14" t="s">
        <v>533</v>
      </c>
      <c r="X106" s="14">
        <v>1</v>
      </c>
      <c r="Y106" s="14" t="s">
        <v>76</v>
      </c>
      <c r="Z106" s="14">
        <v>4</v>
      </c>
    </row>
    <row r="107" spans="1:26" ht="15" customHeight="1" x14ac:dyDescent="0.3">
      <c r="A107" s="14" t="s">
        <v>538</v>
      </c>
      <c r="B107" s="14" t="s">
        <v>539</v>
      </c>
      <c r="C107" s="14" t="s">
        <v>320</v>
      </c>
      <c r="D107" s="14">
        <v>51</v>
      </c>
      <c r="E107" s="14" t="s">
        <v>93</v>
      </c>
      <c r="F107" s="14">
        <v>60638</v>
      </c>
      <c r="G107" s="14" t="s">
        <v>86</v>
      </c>
      <c r="H107" s="15">
        <v>45355</v>
      </c>
      <c r="I107" s="14" t="s">
        <v>76</v>
      </c>
      <c r="J107" s="14" t="s">
        <v>95</v>
      </c>
      <c r="K107" s="14" t="s">
        <v>79</v>
      </c>
      <c r="L107" s="14" t="s">
        <v>79</v>
      </c>
      <c r="M107" s="15">
        <v>46079</v>
      </c>
      <c r="O107" s="14" t="s">
        <v>540</v>
      </c>
      <c r="P107" s="14" t="s">
        <v>189</v>
      </c>
      <c r="Q107" s="15">
        <v>45861</v>
      </c>
      <c r="R107" s="14" t="s">
        <v>135</v>
      </c>
      <c r="S107" s="14">
        <v>5630</v>
      </c>
      <c r="U107" s="1" t="str">
        <f>TEXT(tblTransactions[[#This Row],[Date]],"YYYY-MM")</f>
        <v>2025-07</v>
      </c>
      <c r="V107" s="14" t="s">
        <v>541</v>
      </c>
      <c r="W107" s="14" t="s">
        <v>538</v>
      </c>
      <c r="X107" s="14">
        <v>3</v>
      </c>
      <c r="Y107" s="14" t="s">
        <v>76</v>
      </c>
      <c r="Z107" s="14">
        <v>10</v>
      </c>
    </row>
    <row r="108" spans="1:26" ht="15" customHeight="1" x14ac:dyDescent="0.3">
      <c r="A108" s="14" t="s">
        <v>542</v>
      </c>
      <c r="B108" s="14" t="s">
        <v>543</v>
      </c>
      <c r="C108" s="14" t="s">
        <v>73</v>
      </c>
      <c r="D108" s="14">
        <v>32</v>
      </c>
      <c r="E108" s="14" t="s">
        <v>247</v>
      </c>
      <c r="F108" s="14">
        <v>117471</v>
      </c>
      <c r="G108" s="14" t="s">
        <v>75</v>
      </c>
      <c r="H108" s="15">
        <v>45063</v>
      </c>
      <c r="I108" s="14" t="s">
        <v>76</v>
      </c>
      <c r="J108" s="14" t="s">
        <v>95</v>
      </c>
      <c r="K108" s="14" t="s">
        <v>78</v>
      </c>
      <c r="L108" s="14" t="s">
        <v>78</v>
      </c>
      <c r="M108" s="15">
        <v>45764</v>
      </c>
      <c r="O108" s="14" t="s">
        <v>544</v>
      </c>
      <c r="P108" s="14" t="s">
        <v>189</v>
      </c>
      <c r="Q108" s="15">
        <v>46014</v>
      </c>
      <c r="R108" s="14" t="s">
        <v>89</v>
      </c>
      <c r="S108" s="14">
        <v>4150</v>
      </c>
      <c r="U108" s="1" t="str">
        <f>TEXT(tblTransactions[[#This Row],[Date]],"YYYY-MM")</f>
        <v>2025-12</v>
      </c>
      <c r="V108" s="14" t="s">
        <v>545</v>
      </c>
      <c r="W108" s="14" t="s">
        <v>542</v>
      </c>
      <c r="X108" s="14">
        <v>1</v>
      </c>
      <c r="Y108" s="14" t="s">
        <v>76</v>
      </c>
      <c r="Z108" s="14">
        <v>6</v>
      </c>
    </row>
    <row r="109" spans="1:26" ht="15" customHeight="1" x14ac:dyDescent="0.3">
      <c r="A109" s="14" t="s">
        <v>546</v>
      </c>
      <c r="B109" s="14" t="s">
        <v>547</v>
      </c>
      <c r="C109" s="14" t="s">
        <v>320</v>
      </c>
      <c r="D109" s="14">
        <v>35</v>
      </c>
      <c r="E109" s="14" t="s">
        <v>548</v>
      </c>
      <c r="F109" s="14">
        <v>121712</v>
      </c>
      <c r="G109" s="14" t="s">
        <v>549</v>
      </c>
      <c r="H109" s="15">
        <v>45060</v>
      </c>
      <c r="I109" s="14" t="s">
        <v>102</v>
      </c>
      <c r="J109" s="14" t="s">
        <v>77</v>
      </c>
      <c r="K109" s="14" t="s">
        <v>87</v>
      </c>
      <c r="L109" s="14" t="s">
        <v>78</v>
      </c>
      <c r="M109" s="15">
        <v>45874</v>
      </c>
      <c r="O109" s="14" t="s">
        <v>550</v>
      </c>
      <c r="P109" s="14" t="s">
        <v>189</v>
      </c>
      <c r="Q109" s="15">
        <v>46083</v>
      </c>
      <c r="R109" s="14" t="s">
        <v>110</v>
      </c>
      <c r="S109" s="14">
        <v>610</v>
      </c>
      <c r="U109" s="1" t="str">
        <f>TEXT(tblTransactions[[#This Row],[Date]],"YYYY-MM")</f>
        <v>2026-03</v>
      </c>
      <c r="V109" s="14" t="s">
        <v>551</v>
      </c>
      <c r="W109" s="14" t="s">
        <v>546</v>
      </c>
      <c r="X109" s="14">
        <v>3</v>
      </c>
      <c r="Y109" s="14" t="s">
        <v>76</v>
      </c>
      <c r="Z109" s="14">
        <v>8</v>
      </c>
    </row>
    <row r="110" spans="1:26" ht="15" customHeight="1" x14ac:dyDescent="0.3">
      <c r="A110" s="14" t="s">
        <v>552</v>
      </c>
      <c r="B110" s="14" t="s">
        <v>553</v>
      </c>
      <c r="C110" s="14" t="s">
        <v>320</v>
      </c>
      <c r="D110" s="14">
        <v>59</v>
      </c>
      <c r="E110" s="14" t="s">
        <v>143</v>
      </c>
      <c r="F110" s="14">
        <v>112895</v>
      </c>
      <c r="G110" s="14" t="s">
        <v>127</v>
      </c>
      <c r="H110" s="15">
        <v>45577</v>
      </c>
      <c r="I110" s="14" t="s">
        <v>102</v>
      </c>
      <c r="J110" s="14" t="s">
        <v>77</v>
      </c>
      <c r="K110" s="14" t="s">
        <v>78</v>
      </c>
      <c r="L110" s="14" t="s">
        <v>78</v>
      </c>
      <c r="M110" s="15">
        <v>45826</v>
      </c>
      <c r="O110" s="14" t="s">
        <v>554</v>
      </c>
      <c r="P110" s="14" t="s">
        <v>193</v>
      </c>
      <c r="Q110" s="15">
        <v>45999</v>
      </c>
      <c r="R110" s="14" t="s">
        <v>135</v>
      </c>
      <c r="S110" s="14">
        <v>7700</v>
      </c>
      <c r="U110" s="1" t="str">
        <f>TEXT(tblTransactions[[#This Row],[Date]],"YYYY-MM")</f>
        <v>2025-12</v>
      </c>
      <c r="V110" s="14" t="s">
        <v>555</v>
      </c>
      <c r="W110" s="14" t="s">
        <v>552</v>
      </c>
      <c r="X110" s="14">
        <v>1</v>
      </c>
      <c r="Y110" s="14" t="s">
        <v>102</v>
      </c>
      <c r="Z110" s="14">
        <v>8</v>
      </c>
    </row>
    <row r="111" spans="1:26" ht="15" customHeight="1" x14ac:dyDescent="0.3">
      <c r="A111" s="14" t="s">
        <v>556</v>
      </c>
      <c r="B111" s="14" t="s">
        <v>557</v>
      </c>
      <c r="C111" s="14" t="s">
        <v>73</v>
      </c>
      <c r="D111" s="14">
        <v>46</v>
      </c>
      <c r="E111" s="14" t="s">
        <v>143</v>
      </c>
      <c r="F111" s="14">
        <v>140696</v>
      </c>
      <c r="G111" s="14" t="s">
        <v>558</v>
      </c>
      <c r="H111" s="15">
        <v>45461</v>
      </c>
      <c r="I111" s="14" t="s">
        <v>76</v>
      </c>
      <c r="J111" s="14" t="s">
        <v>77</v>
      </c>
      <c r="K111" s="14" t="s">
        <v>79</v>
      </c>
      <c r="L111" s="14" t="s">
        <v>79</v>
      </c>
      <c r="M111" s="15">
        <v>45884</v>
      </c>
      <c r="O111" s="14" t="s">
        <v>559</v>
      </c>
      <c r="P111" s="14" t="s">
        <v>193</v>
      </c>
      <c r="Q111" s="15">
        <v>45975</v>
      </c>
      <c r="R111" s="14" t="s">
        <v>117</v>
      </c>
      <c r="S111" s="14">
        <v>6040</v>
      </c>
      <c r="U111" s="1" t="str">
        <f>TEXT(tblTransactions[[#This Row],[Date]],"YYYY-MM")</f>
        <v>2025-11</v>
      </c>
      <c r="V111" s="14" t="s">
        <v>560</v>
      </c>
      <c r="W111" s="14" t="s">
        <v>556</v>
      </c>
      <c r="X111" s="14">
        <v>5</v>
      </c>
      <c r="Y111" s="14" t="s">
        <v>102</v>
      </c>
      <c r="Z111" s="14">
        <v>10</v>
      </c>
    </row>
    <row r="112" spans="1:26" ht="15" customHeight="1" x14ac:dyDescent="0.3">
      <c r="A112" s="14" t="s">
        <v>561</v>
      </c>
      <c r="B112" s="14" t="s">
        <v>562</v>
      </c>
      <c r="C112" s="14" t="s">
        <v>73</v>
      </c>
      <c r="D112" s="14">
        <v>51</v>
      </c>
      <c r="E112" s="14" t="s">
        <v>201</v>
      </c>
      <c r="F112" s="14">
        <v>87045</v>
      </c>
      <c r="G112" s="14" t="s">
        <v>558</v>
      </c>
      <c r="H112" s="15">
        <v>44938</v>
      </c>
      <c r="I112" s="14" t="s">
        <v>76</v>
      </c>
      <c r="J112" s="14" t="s">
        <v>77</v>
      </c>
      <c r="K112" s="14" t="s">
        <v>79</v>
      </c>
      <c r="L112" s="14" t="s">
        <v>87</v>
      </c>
      <c r="M112" s="15">
        <v>46075</v>
      </c>
      <c r="O112" s="14" t="s">
        <v>563</v>
      </c>
      <c r="P112" s="14" t="s">
        <v>193</v>
      </c>
      <c r="Q112" s="15">
        <v>45823</v>
      </c>
      <c r="R112" s="14" t="s">
        <v>110</v>
      </c>
      <c r="S112" s="14">
        <v>5210</v>
      </c>
      <c r="U112" s="1" t="str">
        <f>TEXT(tblTransactions[[#This Row],[Date]],"YYYY-MM")</f>
        <v>2025-06</v>
      </c>
      <c r="V112" s="14" t="s">
        <v>564</v>
      </c>
      <c r="W112" s="14" t="s">
        <v>561</v>
      </c>
      <c r="X112" s="14">
        <v>4</v>
      </c>
      <c r="Y112" s="14" t="s">
        <v>102</v>
      </c>
      <c r="Z112" s="14">
        <v>10</v>
      </c>
    </row>
    <row r="113" spans="1:26" ht="15" customHeight="1" x14ac:dyDescent="0.3">
      <c r="A113" s="14" t="s">
        <v>565</v>
      </c>
      <c r="B113" s="14" t="s">
        <v>566</v>
      </c>
      <c r="C113" s="14" t="s">
        <v>73</v>
      </c>
      <c r="D113" s="14">
        <v>56</v>
      </c>
      <c r="E113" s="14" t="s">
        <v>107</v>
      </c>
      <c r="F113" s="14">
        <v>18149</v>
      </c>
      <c r="G113" s="14" t="s">
        <v>226</v>
      </c>
      <c r="H113" s="15">
        <v>45387</v>
      </c>
      <c r="I113" s="14" t="s">
        <v>102</v>
      </c>
      <c r="J113" s="14" t="s">
        <v>77</v>
      </c>
      <c r="K113" s="14" t="s">
        <v>78</v>
      </c>
      <c r="L113" s="14" t="s">
        <v>87</v>
      </c>
      <c r="M113" s="15">
        <v>45905</v>
      </c>
      <c r="O113" s="14" t="s">
        <v>567</v>
      </c>
      <c r="P113" s="14" t="s">
        <v>193</v>
      </c>
      <c r="Q113" s="15">
        <v>45812</v>
      </c>
      <c r="R113" s="14" t="s">
        <v>117</v>
      </c>
      <c r="S113" s="14">
        <v>3770</v>
      </c>
      <c r="U113" s="1" t="str">
        <f>TEXT(tblTransactions[[#This Row],[Date]],"YYYY-MM")</f>
        <v>2025-06</v>
      </c>
      <c r="V113" s="14" t="s">
        <v>568</v>
      </c>
      <c r="W113" s="14" t="s">
        <v>565</v>
      </c>
      <c r="X113" s="14">
        <v>1</v>
      </c>
      <c r="Y113" s="14" t="s">
        <v>102</v>
      </c>
      <c r="Z113" s="14">
        <v>6</v>
      </c>
    </row>
    <row r="114" spans="1:26" ht="15" customHeight="1" x14ac:dyDescent="0.3">
      <c r="A114" s="14" t="s">
        <v>569</v>
      </c>
      <c r="B114" s="14" t="s">
        <v>113</v>
      </c>
      <c r="C114" s="14" t="s">
        <v>73</v>
      </c>
      <c r="D114" s="14">
        <v>27</v>
      </c>
      <c r="E114" s="14" t="s">
        <v>548</v>
      </c>
      <c r="F114" s="14">
        <v>36143</v>
      </c>
      <c r="G114" s="14" t="s">
        <v>115</v>
      </c>
      <c r="H114" s="15">
        <v>45173</v>
      </c>
      <c r="I114" s="14" t="s">
        <v>76</v>
      </c>
      <c r="J114" s="14" t="s">
        <v>77</v>
      </c>
      <c r="K114" s="14" t="s">
        <v>79</v>
      </c>
      <c r="L114" s="14" t="s">
        <v>87</v>
      </c>
      <c r="M114" s="15">
        <v>46029</v>
      </c>
      <c r="O114" s="14" t="s">
        <v>570</v>
      </c>
      <c r="P114" s="14" t="s">
        <v>193</v>
      </c>
      <c r="Q114" s="15">
        <v>46036</v>
      </c>
      <c r="R114" s="14" t="s">
        <v>135</v>
      </c>
      <c r="S114" s="14">
        <v>13780</v>
      </c>
      <c r="U114" s="1" t="str">
        <f>TEXT(tblTransactions[[#This Row],[Date]],"YYYY-MM")</f>
        <v>2026-01</v>
      </c>
      <c r="V114" s="14" t="s">
        <v>571</v>
      </c>
      <c r="W114" s="14" t="s">
        <v>569</v>
      </c>
      <c r="X114" s="14">
        <v>4</v>
      </c>
      <c r="Y114" s="14" t="s">
        <v>76</v>
      </c>
      <c r="Z114" s="14">
        <v>5</v>
      </c>
    </row>
    <row r="115" spans="1:26" ht="15" customHeight="1" x14ac:dyDescent="0.3">
      <c r="A115" s="14" t="s">
        <v>572</v>
      </c>
      <c r="B115" s="14" t="s">
        <v>573</v>
      </c>
      <c r="C115" s="14" t="s">
        <v>73</v>
      </c>
      <c r="D115" s="14">
        <v>56</v>
      </c>
      <c r="E115" s="14" t="s">
        <v>574</v>
      </c>
      <c r="F115" s="14">
        <v>99714</v>
      </c>
      <c r="G115" s="14" t="s">
        <v>196</v>
      </c>
      <c r="H115" s="15">
        <v>45031</v>
      </c>
      <c r="I115" s="14" t="s">
        <v>102</v>
      </c>
      <c r="J115" s="14" t="s">
        <v>95</v>
      </c>
      <c r="K115" s="14" t="s">
        <v>79</v>
      </c>
      <c r="L115" s="14" t="s">
        <v>87</v>
      </c>
      <c r="M115" s="15">
        <v>45809</v>
      </c>
      <c r="O115" s="14" t="s">
        <v>575</v>
      </c>
      <c r="P115" s="14" t="s">
        <v>199</v>
      </c>
      <c r="Q115" s="15">
        <v>46090</v>
      </c>
      <c r="R115" s="14" t="s">
        <v>81</v>
      </c>
      <c r="S115" s="14">
        <v>3450</v>
      </c>
      <c r="U115" s="1" t="str">
        <f>TEXT(tblTransactions[[#This Row],[Date]],"YYYY-MM")</f>
        <v>2026-03</v>
      </c>
      <c r="V115" s="14" t="s">
        <v>576</v>
      </c>
      <c r="W115" s="14" t="s">
        <v>572</v>
      </c>
      <c r="X115" s="14">
        <v>5</v>
      </c>
      <c r="Y115" s="14" t="s">
        <v>76</v>
      </c>
      <c r="Z115" s="14">
        <v>3</v>
      </c>
    </row>
    <row r="116" spans="1:26" ht="15" customHeight="1" x14ac:dyDescent="0.3">
      <c r="A116" s="14" t="s">
        <v>577</v>
      </c>
      <c r="B116" s="14" t="s">
        <v>578</v>
      </c>
      <c r="C116" s="14" t="s">
        <v>73</v>
      </c>
      <c r="D116" s="14">
        <v>59</v>
      </c>
      <c r="E116" s="14" t="s">
        <v>132</v>
      </c>
      <c r="F116" s="14">
        <v>19885</v>
      </c>
      <c r="G116" s="14" t="s">
        <v>94</v>
      </c>
      <c r="H116" s="15">
        <v>44994</v>
      </c>
      <c r="I116" s="14" t="s">
        <v>76</v>
      </c>
      <c r="J116" s="14" t="s">
        <v>77</v>
      </c>
      <c r="K116" s="14" t="s">
        <v>78</v>
      </c>
      <c r="L116" s="14" t="s">
        <v>78</v>
      </c>
      <c r="M116" s="15">
        <v>45917</v>
      </c>
      <c r="O116" s="14" t="s">
        <v>579</v>
      </c>
      <c r="P116" s="14" t="s">
        <v>204</v>
      </c>
      <c r="Q116" s="15">
        <v>46106</v>
      </c>
      <c r="R116" s="14" t="s">
        <v>135</v>
      </c>
      <c r="S116" s="14">
        <v>11200</v>
      </c>
      <c r="U116" s="1" t="str">
        <f>TEXT(tblTransactions[[#This Row],[Date]],"YYYY-MM")</f>
        <v>2026-03</v>
      </c>
      <c r="V116" s="14" t="s">
        <v>580</v>
      </c>
      <c r="W116" s="14" t="s">
        <v>577</v>
      </c>
      <c r="X116" s="14">
        <v>3</v>
      </c>
      <c r="Y116" s="14" t="s">
        <v>76</v>
      </c>
      <c r="Z116" s="14">
        <v>4</v>
      </c>
    </row>
    <row r="117" spans="1:26" ht="15" customHeight="1" x14ac:dyDescent="0.3">
      <c r="A117" s="14" t="s">
        <v>581</v>
      </c>
      <c r="B117" s="14" t="s">
        <v>582</v>
      </c>
      <c r="C117" s="14" t="s">
        <v>73</v>
      </c>
      <c r="D117" s="14">
        <v>56</v>
      </c>
      <c r="E117" s="14" t="s">
        <v>168</v>
      </c>
      <c r="F117" s="14">
        <v>141907</v>
      </c>
      <c r="G117" s="14" t="s">
        <v>127</v>
      </c>
      <c r="H117" s="15">
        <v>44915</v>
      </c>
      <c r="I117" s="14" t="s">
        <v>102</v>
      </c>
      <c r="J117" s="14" t="s">
        <v>95</v>
      </c>
      <c r="K117" s="14" t="s">
        <v>78</v>
      </c>
      <c r="L117" s="14" t="s">
        <v>78</v>
      </c>
      <c r="M117" s="15">
        <v>45797</v>
      </c>
      <c r="O117" s="14" t="s">
        <v>583</v>
      </c>
      <c r="P117" s="14" t="s">
        <v>208</v>
      </c>
      <c r="Q117" s="15">
        <v>45975</v>
      </c>
      <c r="R117" s="14" t="s">
        <v>81</v>
      </c>
      <c r="S117" s="14">
        <v>4960</v>
      </c>
      <c r="U117" s="1" t="str">
        <f>TEXT(tblTransactions[[#This Row],[Date]],"YYYY-MM")</f>
        <v>2025-11</v>
      </c>
      <c r="V117" s="14" t="s">
        <v>584</v>
      </c>
      <c r="W117" s="14" t="s">
        <v>581</v>
      </c>
      <c r="X117" s="14">
        <v>3</v>
      </c>
      <c r="Y117" s="14" t="s">
        <v>76</v>
      </c>
      <c r="Z117" s="14">
        <v>3</v>
      </c>
    </row>
    <row r="118" spans="1:26" ht="15" customHeight="1" x14ac:dyDescent="0.3">
      <c r="A118" s="14" t="s">
        <v>585</v>
      </c>
      <c r="B118" s="14" t="s">
        <v>586</v>
      </c>
      <c r="C118" s="14" t="s">
        <v>73</v>
      </c>
      <c r="D118" s="14">
        <v>65</v>
      </c>
      <c r="E118" s="14" t="s">
        <v>126</v>
      </c>
      <c r="F118" s="14">
        <v>33889</v>
      </c>
      <c r="G118" s="14" t="s">
        <v>196</v>
      </c>
      <c r="H118" s="15">
        <v>44973</v>
      </c>
      <c r="I118" s="14" t="s">
        <v>102</v>
      </c>
      <c r="J118" s="14" t="s">
        <v>77</v>
      </c>
      <c r="K118" s="14" t="s">
        <v>78</v>
      </c>
      <c r="L118" s="14" t="s">
        <v>78</v>
      </c>
      <c r="M118" s="15">
        <v>45845</v>
      </c>
      <c r="O118" s="14" t="s">
        <v>587</v>
      </c>
      <c r="P118" s="14" t="s">
        <v>208</v>
      </c>
      <c r="Q118" s="15">
        <v>45850</v>
      </c>
      <c r="R118" s="14" t="s">
        <v>81</v>
      </c>
      <c r="S118" s="14">
        <v>9260</v>
      </c>
      <c r="U118" s="1" t="str">
        <f>TEXT(tblTransactions[[#This Row],[Date]],"YYYY-MM")</f>
        <v>2025-07</v>
      </c>
      <c r="V118" s="14" t="s">
        <v>588</v>
      </c>
      <c r="W118" s="14" t="s">
        <v>585</v>
      </c>
      <c r="X118" s="14">
        <v>3</v>
      </c>
      <c r="Y118" s="14" t="s">
        <v>76</v>
      </c>
      <c r="Z118" s="14">
        <v>9</v>
      </c>
    </row>
    <row r="119" spans="1:26" ht="15" customHeight="1" x14ac:dyDescent="0.3">
      <c r="A119" s="14" t="s">
        <v>589</v>
      </c>
      <c r="B119" s="14" t="s">
        <v>373</v>
      </c>
      <c r="C119" s="14" t="s">
        <v>320</v>
      </c>
      <c r="D119" s="14">
        <v>37</v>
      </c>
      <c r="E119" s="14" t="s">
        <v>85</v>
      </c>
      <c r="F119" s="14">
        <v>134164</v>
      </c>
      <c r="G119" s="14" t="s">
        <v>115</v>
      </c>
      <c r="H119" s="15">
        <v>45155</v>
      </c>
      <c r="I119" s="14" t="s">
        <v>76</v>
      </c>
      <c r="J119" s="14" t="s">
        <v>77</v>
      </c>
      <c r="K119" s="14" t="s">
        <v>79</v>
      </c>
      <c r="L119" s="14" t="s">
        <v>79</v>
      </c>
      <c r="M119" s="15">
        <v>45755</v>
      </c>
      <c r="O119" s="14" t="s">
        <v>590</v>
      </c>
      <c r="P119" s="14" t="s">
        <v>208</v>
      </c>
      <c r="Q119" s="15">
        <v>45934</v>
      </c>
      <c r="R119" s="14" t="s">
        <v>135</v>
      </c>
      <c r="S119" s="14">
        <v>9040</v>
      </c>
      <c r="U119" s="1" t="str">
        <f>TEXT(tblTransactions[[#This Row],[Date]],"YYYY-MM")</f>
        <v>2025-10</v>
      </c>
      <c r="V119" s="14" t="s">
        <v>591</v>
      </c>
      <c r="W119" s="14" t="s">
        <v>589</v>
      </c>
      <c r="X119" s="14">
        <v>4</v>
      </c>
      <c r="Y119" s="14" t="s">
        <v>102</v>
      </c>
      <c r="Z119" s="14">
        <v>10</v>
      </c>
    </row>
    <row r="120" spans="1:26" ht="15" customHeight="1" x14ac:dyDescent="0.3">
      <c r="A120" s="14" t="s">
        <v>592</v>
      </c>
      <c r="B120" s="14" t="s">
        <v>593</v>
      </c>
      <c r="C120" s="14" t="s">
        <v>320</v>
      </c>
      <c r="D120" s="14">
        <v>53</v>
      </c>
      <c r="E120" s="14" t="s">
        <v>548</v>
      </c>
      <c r="F120" s="14">
        <v>74032</v>
      </c>
      <c r="G120" s="14" t="s">
        <v>594</v>
      </c>
      <c r="H120" s="15">
        <v>45308</v>
      </c>
      <c r="I120" s="14" t="s">
        <v>76</v>
      </c>
      <c r="J120" s="14" t="s">
        <v>77</v>
      </c>
      <c r="K120" s="14" t="s">
        <v>87</v>
      </c>
      <c r="L120" s="14" t="s">
        <v>78</v>
      </c>
      <c r="M120" s="15">
        <v>45947</v>
      </c>
      <c r="O120" s="14" t="s">
        <v>595</v>
      </c>
      <c r="P120" s="14" t="s">
        <v>208</v>
      </c>
      <c r="Q120" s="15">
        <v>45813</v>
      </c>
      <c r="R120" s="14" t="s">
        <v>89</v>
      </c>
      <c r="S120" s="14">
        <v>7230</v>
      </c>
      <c r="U120" s="1" t="str">
        <f>TEXT(tblTransactions[[#This Row],[Date]],"YYYY-MM")</f>
        <v>2025-06</v>
      </c>
      <c r="V120" s="14" t="s">
        <v>596</v>
      </c>
      <c r="W120" s="14" t="s">
        <v>592</v>
      </c>
      <c r="X120" s="14">
        <v>2</v>
      </c>
      <c r="Y120" s="14" t="s">
        <v>102</v>
      </c>
      <c r="Z120" s="14">
        <v>7</v>
      </c>
    </row>
    <row r="121" spans="1:26" ht="15" customHeight="1" x14ac:dyDescent="0.3">
      <c r="A121" s="14" t="s">
        <v>597</v>
      </c>
      <c r="B121" s="14" t="s">
        <v>598</v>
      </c>
      <c r="C121" s="14" t="s">
        <v>320</v>
      </c>
      <c r="D121" s="14">
        <v>57</v>
      </c>
      <c r="E121" s="14" t="s">
        <v>548</v>
      </c>
      <c r="F121" s="14">
        <v>58579</v>
      </c>
      <c r="G121" s="14" t="s">
        <v>127</v>
      </c>
      <c r="H121" s="15">
        <v>45415</v>
      </c>
      <c r="I121" s="14" t="s">
        <v>76</v>
      </c>
      <c r="J121" s="14" t="s">
        <v>77</v>
      </c>
      <c r="K121" s="14" t="s">
        <v>79</v>
      </c>
      <c r="L121" s="14" t="s">
        <v>79</v>
      </c>
      <c r="M121" s="15">
        <v>46025</v>
      </c>
      <c r="O121" s="14" t="s">
        <v>599</v>
      </c>
      <c r="P121" s="14" t="s">
        <v>208</v>
      </c>
      <c r="Q121" s="15">
        <v>45787</v>
      </c>
      <c r="R121" s="14" t="s">
        <v>110</v>
      </c>
      <c r="S121" s="14">
        <v>3170</v>
      </c>
      <c r="U121" s="1" t="str">
        <f>TEXT(tblTransactions[[#This Row],[Date]],"YYYY-MM")</f>
        <v>2025-05</v>
      </c>
      <c r="V121" s="14" t="s">
        <v>600</v>
      </c>
      <c r="W121" s="14" t="s">
        <v>597</v>
      </c>
      <c r="X121" s="14">
        <v>2</v>
      </c>
      <c r="Y121" s="14" t="s">
        <v>102</v>
      </c>
      <c r="Z121" s="14">
        <v>9</v>
      </c>
    </row>
    <row r="122" spans="1:26" ht="15" customHeight="1" x14ac:dyDescent="0.3">
      <c r="A122" s="14" t="s">
        <v>601</v>
      </c>
      <c r="B122" s="14" t="s">
        <v>602</v>
      </c>
      <c r="C122" s="14" t="s">
        <v>320</v>
      </c>
      <c r="D122" s="14">
        <v>54</v>
      </c>
      <c r="E122" s="14" t="s">
        <v>107</v>
      </c>
      <c r="F122" s="14">
        <v>59270</v>
      </c>
      <c r="G122" s="14" t="s">
        <v>248</v>
      </c>
      <c r="H122" s="15">
        <v>45198</v>
      </c>
      <c r="I122" s="14" t="s">
        <v>76</v>
      </c>
      <c r="J122" s="14" t="s">
        <v>77</v>
      </c>
      <c r="K122" s="14" t="s">
        <v>78</v>
      </c>
      <c r="L122" s="14" t="s">
        <v>79</v>
      </c>
      <c r="M122" s="15">
        <v>45782</v>
      </c>
      <c r="O122" s="14" t="s">
        <v>603</v>
      </c>
      <c r="P122" s="14" t="s">
        <v>208</v>
      </c>
      <c r="Q122" s="15">
        <v>45979</v>
      </c>
      <c r="R122" s="14" t="s">
        <v>110</v>
      </c>
      <c r="S122" s="14">
        <v>1950</v>
      </c>
      <c r="U122" s="1" t="str">
        <f>TEXT(tblTransactions[[#This Row],[Date]],"YYYY-MM")</f>
        <v>2025-11</v>
      </c>
      <c r="V122" s="14" t="s">
        <v>604</v>
      </c>
      <c r="W122" s="14" t="s">
        <v>601</v>
      </c>
      <c r="X122" s="14">
        <v>2</v>
      </c>
      <c r="Y122" s="14" t="s">
        <v>76</v>
      </c>
      <c r="Z122" s="14">
        <v>8</v>
      </c>
    </row>
    <row r="123" spans="1:26" ht="15" customHeight="1" x14ac:dyDescent="0.3">
      <c r="A123" s="14" t="s">
        <v>605</v>
      </c>
      <c r="B123" s="14" t="s">
        <v>606</v>
      </c>
      <c r="C123" s="14" t="s">
        <v>73</v>
      </c>
      <c r="D123" s="14">
        <v>59</v>
      </c>
      <c r="E123" s="14" t="s">
        <v>535</v>
      </c>
      <c r="F123" s="14">
        <v>28418</v>
      </c>
      <c r="G123" s="14" t="s">
        <v>226</v>
      </c>
      <c r="H123" s="15">
        <v>45635</v>
      </c>
      <c r="I123" s="14" t="s">
        <v>102</v>
      </c>
      <c r="J123" s="14" t="s">
        <v>95</v>
      </c>
      <c r="K123" s="14" t="s">
        <v>87</v>
      </c>
      <c r="L123" s="14" t="s">
        <v>78</v>
      </c>
      <c r="M123" s="15">
        <v>46090</v>
      </c>
      <c r="O123" s="14" t="s">
        <v>607</v>
      </c>
      <c r="P123" s="14" t="s">
        <v>212</v>
      </c>
      <c r="Q123" s="15">
        <v>45938</v>
      </c>
      <c r="R123" s="14" t="s">
        <v>117</v>
      </c>
      <c r="S123" s="14">
        <v>6620</v>
      </c>
      <c r="U123" s="1" t="str">
        <f>TEXT(tblTransactions[[#This Row],[Date]],"YYYY-MM")</f>
        <v>2025-10</v>
      </c>
      <c r="V123" s="14" t="s">
        <v>608</v>
      </c>
      <c r="W123" s="14" t="s">
        <v>605</v>
      </c>
      <c r="X123" s="14">
        <v>3</v>
      </c>
      <c r="Y123" s="14" t="s">
        <v>76</v>
      </c>
      <c r="Z123" s="14">
        <v>3</v>
      </c>
    </row>
    <row r="124" spans="1:26" ht="15" customHeight="1" x14ac:dyDescent="0.3">
      <c r="A124" s="14" t="s">
        <v>609</v>
      </c>
      <c r="B124" s="14" t="s">
        <v>610</v>
      </c>
      <c r="C124" s="14" t="s">
        <v>320</v>
      </c>
      <c r="D124" s="14">
        <v>51</v>
      </c>
      <c r="E124" s="14" t="s">
        <v>74</v>
      </c>
      <c r="F124" s="14">
        <v>37016</v>
      </c>
      <c r="G124" s="14" t="s">
        <v>248</v>
      </c>
      <c r="H124" s="15">
        <v>45249</v>
      </c>
      <c r="I124" s="14" t="s">
        <v>76</v>
      </c>
      <c r="J124" s="14" t="s">
        <v>77</v>
      </c>
      <c r="K124" s="14" t="s">
        <v>79</v>
      </c>
      <c r="L124" s="14" t="s">
        <v>78</v>
      </c>
      <c r="M124" s="15">
        <v>46007</v>
      </c>
      <c r="O124" s="14" t="s">
        <v>611</v>
      </c>
      <c r="P124" s="14" t="s">
        <v>216</v>
      </c>
      <c r="Q124" s="15">
        <v>45929</v>
      </c>
      <c r="R124" s="14" t="s">
        <v>135</v>
      </c>
      <c r="S124" s="14">
        <v>1750</v>
      </c>
      <c r="U124" s="1" t="str">
        <f>TEXT(tblTransactions[[#This Row],[Date]],"YYYY-MM")</f>
        <v>2025-09</v>
      </c>
      <c r="V124" s="14" t="s">
        <v>612</v>
      </c>
      <c r="W124" s="14" t="s">
        <v>609</v>
      </c>
      <c r="X124" s="14">
        <v>3</v>
      </c>
      <c r="Y124" s="14" t="s">
        <v>102</v>
      </c>
      <c r="Z124" s="14">
        <v>10</v>
      </c>
    </row>
    <row r="125" spans="1:26" ht="15" customHeight="1" x14ac:dyDescent="0.3">
      <c r="A125" s="14" t="s">
        <v>613</v>
      </c>
      <c r="B125" s="14" t="s">
        <v>614</v>
      </c>
      <c r="C125" s="14" t="s">
        <v>73</v>
      </c>
      <c r="D125" s="14">
        <v>45</v>
      </c>
      <c r="E125" s="14" t="s">
        <v>148</v>
      </c>
      <c r="F125" s="14">
        <v>59352</v>
      </c>
      <c r="G125" s="14" t="s">
        <v>277</v>
      </c>
      <c r="H125" s="15">
        <v>44865</v>
      </c>
      <c r="I125" s="14" t="s">
        <v>102</v>
      </c>
      <c r="J125" s="14" t="s">
        <v>77</v>
      </c>
      <c r="K125" s="14" t="s">
        <v>79</v>
      </c>
      <c r="L125" s="14" t="s">
        <v>79</v>
      </c>
      <c r="M125" s="15">
        <v>45901</v>
      </c>
      <c r="O125" s="14" t="s">
        <v>615</v>
      </c>
      <c r="P125" s="14" t="s">
        <v>216</v>
      </c>
      <c r="Q125" s="15">
        <v>45964</v>
      </c>
      <c r="R125" s="14" t="s">
        <v>89</v>
      </c>
      <c r="S125" s="14">
        <v>10680</v>
      </c>
      <c r="U125" s="1" t="str">
        <f>TEXT(tblTransactions[[#This Row],[Date]],"YYYY-MM")</f>
        <v>2025-11</v>
      </c>
      <c r="V125" s="14" t="s">
        <v>616</v>
      </c>
      <c r="W125" s="14" t="s">
        <v>613</v>
      </c>
      <c r="X125" s="14">
        <v>1</v>
      </c>
      <c r="Y125" s="14" t="s">
        <v>102</v>
      </c>
      <c r="Z125" s="14">
        <v>1</v>
      </c>
    </row>
    <row r="126" spans="1:26" ht="15" customHeight="1" x14ac:dyDescent="0.3">
      <c r="A126" s="14" t="s">
        <v>617</v>
      </c>
      <c r="B126" s="14" t="s">
        <v>340</v>
      </c>
      <c r="C126" s="14" t="s">
        <v>320</v>
      </c>
      <c r="D126" s="14">
        <v>29</v>
      </c>
      <c r="E126" s="14" t="s">
        <v>126</v>
      </c>
      <c r="F126" s="14">
        <v>58749</v>
      </c>
      <c r="G126" s="14" t="s">
        <v>75</v>
      </c>
      <c r="H126" s="15">
        <v>45430</v>
      </c>
      <c r="I126" s="14" t="s">
        <v>76</v>
      </c>
      <c r="J126" s="14" t="s">
        <v>95</v>
      </c>
      <c r="K126" s="14" t="s">
        <v>78</v>
      </c>
      <c r="L126" s="14" t="s">
        <v>79</v>
      </c>
      <c r="M126" s="15">
        <v>46072</v>
      </c>
      <c r="O126" s="14" t="s">
        <v>618</v>
      </c>
      <c r="P126" s="14" t="s">
        <v>216</v>
      </c>
      <c r="Q126" s="15">
        <v>46055</v>
      </c>
      <c r="R126" s="14" t="s">
        <v>89</v>
      </c>
      <c r="S126" s="14">
        <v>1750</v>
      </c>
      <c r="U126" s="1" t="str">
        <f>TEXT(tblTransactions[[#This Row],[Date]],"YYYY-MM")</f>
        <v>2026-02</v>
      </c>
      <c r="V126" s="14" t="s">
        <v>619</v>
      </c>
      <c r="W126" s="14" t="s">
        <v>617</v>
      </c>
      <c r="X126" s="14">
        <v>4</v>
      </c>
      <c r="Y126" s="14" t="s">
        <v>76</v>
      </c>
      <c r="Z126" s="14">
        <v>4</v>
      </c>
    </row>
    <row r="127" spans="1:26" ht="15" customHeight="1" x14ac:dyDescent="0.3">
      <c r="A127" s="14" t="s">
        <v>620</v>
      </c>
      <c r="B127" s="14" t="s">
        <v>621</v>
      </c>
      <c r="C127" s="14" t="s">
        <v>73</v>
      </c>
      <c r="D127" s="14">
        <v>27</v>
      </c>
      <c r="E127" s="14" t="s">
        <v>158</v>
      </c>
      <c r="F127" s="14">
        <v>90530</v>
      </c>
      <c r="G127" s="14" t="s">
        <v>248</v>
      </c>
      <c r="H127" s="15">
        <v>45715</v>
      </c>
      <c r="I127" s="14" t="s">
        <v>102</v>
      </c>
      <c r="J127" s="14" t="s">
        <v>77</v>
      </c>
      <c r="K127" s="14" t="s">
        <v>79</v>
      </c>
      <c r="L127" s="14" t="s">
        <v>87</v>
      </c>
      <c r="M127" s="15">
        <v>45830</v>
      </c>
      <c r="O127" s="14" t="s">
        <v>622</v>
      </c>
      <c r="P127" s="14" t="s">
        <v>216</v>
      </c>
      <c r="Q127" s="15">
        <v>45928</v>
      </c>
      <c r="R127" s="14" t="s">
        <v>122</v>
      </c>
      <c r="S127" s="14">
        <v>9600</v>
      </c>
      <c r="U127" s="1" t="str">
        <f>TEXT(tblTransactions[[#This Row],[Date]],"YYYY-MM")</f>
        <v>2025-09</v>
      </c>
      <c r="V127" s="14" t="s">
        <v>623</v>
      </c>
      <c r="W127" s="14" t="s">
        <v>620</v>
      </c>
      <c r="X127" s="14">
        <v>4</v>
      </c>
      <c r="Y127" s="14" t="s">
        <v>102</v>
      </c>
      <c r="Z127" s="14">
        <v>7</v>
      </c>
    </row>
    <row r="128" spans="1:26" ht="15" customHeight="1" x14ac:dyDescent="0.3">
      <c r="A128" s="14" t="s">
        <v>624</v>
      </c>
      <c r="B128" s="14" t="s">
        <v>625</v>
      </c>
      <c r="C128" s="14" t="s">
        <v>73</v>
      </c>
      <c r="D128" s="14">
        <v>29</v>
      </c>
      <c r="E128" s="14" t="s">
        <v>85</v>
      </c>
      <c r="F128" s="14">
        <v>57073</v>
      </c>
      <c r="G128" s="14" t="s">
        <v>558</v>
      </c>
      <c r="H128" s="15">
        <v>45682</v>
      </c>
      <c r="I128" s="14" t="s">
        <v>102</v>
      </c>
      <c r="J128" s="14" t="s">
        <v>77</v>
      </c>
      <c r="K128" s="14" t="s">
        <v>87</v>
      </c>
      <c r="L128" s="14" t="s">
        <v>78</v>
      </c>
      <c r="M128" s="15">
        <v>45769</v>
      </c>
      <c r="O128" s="14" t="s">
        <v>626</v>
      </c>
      <c r="P128" s="14" t="s">
        <v>216</v>
      </c>
      <c r="Q128" s="15">
        <v>45994</v>
      </c>
      <c r="R128" s="14" t="s">
        <v>122</v>
      </c>
      <c r="S128" s="14">
        <v>8010</v>
      </c>
      <c r="U128" s="1" t="str">
        <f>TEXT(tblTransactions[[#This Row],[Date]],"YYYY-MM")</f>
        <v>2025-12</v>
      </c>
      <c r="V128" s="14" t="s">
        <v>627</v>
      </c>
      <c r="W128" s="14" t="s">
        <v>624</v>
      </c>
      <c r="X128" s="14">
        <v>4</v>
      </c>
      <c r="Y128" s="14" t="s">
        <v>102</v>
      </c>
      <c r="Z128" s="14">
        <v>8</v>
      </c>
    </row>
    <row r="129" spans="1:26" ht="15" customHeight="1" x14ac:dyDescent="0.3">
      <c r="A129" s="14" t="s">
        <v>628</v>
      </c>
      <c r="B129" s="14" t="s">
        <v>629</v>
      </c>
      <c r="C129" s="14" t="s">
        <v>73</v>
      </c>
      <c r="D129" s="14">
        <v>44</v>
      </c>
      <c r="E129" s="14" t="s">
        <v>195</v>
      </c>
      <c r="F129" s="14">
        <v>83412</v>
      </c>
      <c r="G129" s="14" t="s">
        <v>630</v>
      </c>
      <c r="H129" s="15">
        <v>45613</v>
      </c>
      <c r="I129" s="14" t="s">
        <v>102</v>
      </c>
      <c r="J129" s="14" t="s">
        <v>95</v>
      </c>
      <c r="K129" s="14" t="s">
        <v>79</v>
      </c>
      <c r="L129" s="14" t="s">
        <v>79</v>
      </c>
      <c r="M129" s="15">
        <v>45827</v>
      </c>
      <c r="O129" s="14" t="s">
        <v>631</v>
      </c>
      <c r="P129" s="14" t="s">
        <v>216</v>
      </c>
      <c r="Q129" s="15">
        <v>46075</v>
      </c>
      <c r="R129" s="14" t="s">
        <v>117</v>
      </c>
      <c r="S129" s="14">
        <v>6890</v>
      </c>
      <c r="U129" s="1" t="str">
        <f>TEXT(tblTransactions[[#This Row],[Date]],"YYYY-MM")</f>
        <v>2026-02</v>
      </c>
      <c r="V129" s="14" t="s">
        <v>632</v>
      </c>
      <c r="W129" s="14" t="s">
        <v>628</v>
      </c>
      <c r="X129" s="14">
        <v>4</v>
      </c>
      <c r="Y129" s="14" t="s">
        <v>76</v>
      </c>
      <c r="Z129" s="14">
        <v>2</v>
      </c>
    </row>
    <row r="130" spans="1:26" ht="15" customHeight="1" x14ac:dyDescent="0.3">
      <c r="A130" s="14" t="s">
        <v>633</v>
      </c>
      <c r="B130" s="14" t="s">
        <v>634</v>
      </c>
      <c r="C130" s="14" t="s">
        <v>73</v>
      </c>
      <c r="D130" s="14">
        <v>48</v>
      </c>
      <c r="E130" s="14" t="s">
        <v>201</v>
      </c>
      <c r="F130" s="14">
        <v>65018</v>
      </c>
      <c r="G130" s="14" t="s">
        <v>307</v>
      </c>
      <c r="H130" s="15">
        <v>45378</v>
      </c>
      <c r="I130" s="14" t="s">
        <v>102</v>
      </c>
      <c r="J130" s="14" t="s">
        <v>77</v>
      </c>
      <c r="K130" s="14" t="s">
        <v>87</v>
      </c>
      <c r="L130" s="14" t="s">
        <v>78</v>
      </c>
      <c r="M130" s="15">
        <v>46107</v>
      </c>
      <c r="O130" s="14" t="s">
        <v>635</v>
      </c>
      <c r="P130" s="14" t="s">
        <v>220</v>
      </c>
      <c r="Q130" s="15">
        <v>46035</v>
      </c>
      <c r="R130" s="14" t="s">
        <v>117</v>
      </c>
      <c r="S130" s="14">
        <v>2450</v>
      </c>
      <c r="U130" s="1" t="str">
        <f>TEXT(tblTransactions[[#This Row],[Date]],"YYYY-MM")</f>
        <v>2026-01</v>
      </c>
      <c r="V130" s="14" t="s">
        <v>636</v>
      </c>
      <c r="W130" s="14" t="s">
        <v>633</v>
      </c>
      <c r="X130" s="14">
        <v>5</v>
      </c>
      <c r="Y130" s="14" t="s">
        <v>76</v>
      </c>
      <c r="Z130" s="14">
        <v>4</v>
      </c>
    </row>
    <row r="131" spans="1:26" ht="15" customHeight="1" x14ac:dyDescent="0.3">
      <c r="A131" s="14" t="s">
        <v>637</v>
      </c>
      <c r="B131" s="14" t="s">
        <v>638</v>
      </c>
      <c r="C131" s="14" t="s">
        <v>73</v>
      </c>
      <c r="D131" s="14">
        <v>34</v>
      </c>
      <c r="E131" s="14" t="s">
        <v>247</v>
      </c>
      <c r="F131" s="14">
        <v>109660</v>
      </c>
      <c r="G131" s="14" t="s">
        <v>75</v>
      </c>
      <c r="H131" s="15">
        <v>44878</v>
      </c>
      <c r="I131" s="14" t="s">
        <v>76</v>
      </c>
      <c r="J131" s="14" t="s">
        <v>77</v>
      </c>
      <c r="K131" s="14" t="s">
        <v>78</v>
      </c>
      <c r="L131" s="14" t="s">
        <v>79</v>
      </c>
      <c r="M131" s="15">
        <v>45846</v>
      </c>
      <c r="O131" s="14" t="s">
        <v>639</v>
      </c>
      <c r="P131" s="14" t="s">
        <v>220</v>
      </c>
      <c r="Q131" s="15">
        <v>46062</v>
      </c>
      <c r="R131" s="14" t="s">
        <v>117</v>
      </c>
      <c r="S131" s="14">
        <v>2830</v>
      </c>
      <c r="U131" s="1" t="str">
        <f>TEXT(tblTransactions[[#This Row],[Date]],"YYYY-MM")</f>
        <v>2026-02</v>
      </c>
      <c r="V131" s="14" t="s">
        <v>640</v>
      </c>
      <c r="W131" s="14" t="s">
        <v>637</v>
      </c>
      <c r="X131" s="14">
        <v>3</v>
      </c>
      <c r="Y131" s="14" t="s">
        <v>76</v>
      </c>
      <c r="Z131" s="14">
        <v>5</v>
      </c>
    </row>
    <row r="132" spans="1:26" ht="15" customHeight="1" x14ac:dyDescent="0.3">
      <c r="A132" s="14" t="s">
        <v>641</v>
      </c>
      <c r="B132" s="14" t="s">
        <v>642</v>
      </c>
      <c r="C132" s="14" t="s">
        <v>320</v>
      </c>
      <c r="D132" s="14">
        <v>44</v>
      </c>
      <c r="E132" s="14" t="s">
        <v>107</v>
      </c>
      <c r="F132" s="14">
        <v>122773</v>
      </c>
      <c r="G132" s="14" t="s">
        <v>630</v>
      </c>
      <c r="H132" s="15">
        <v>44855</v>
      </c>
      <c r="I132" s="14" t="s">
        <v>102</v>
      </c>
      <c r="J132" s="14" t="s">
        <v>77</v>
      </c>
      <c r="K132" s="14" t="s">
        <v>78</v>
      </c>
      <c r="L132" s="14" t="s">
        <v>87</v>
      </c>
      <c r="M132" s="15">
        <v>45839</v>
      </c>
      <c r="O132" s="14" t="s">
        <v>643</v>
      </c>
      <c r="P132" s="14" t="s">
        <v>220</v>
      </c>
      <c r="Q132" s="15">
        <v>45884</v>
      </c>
      <c r="R132" s="14" t="s">
        <v>110</v>
      </c>
      <c r="S132" s="14">
        <v>1810</v>
      </c>
      <c r="U132" s="1" t="str">
        <f>TEXT(tblTransactions[[#This Row],[Date]],"YYYY-MM")</f>
        <v>2025-08</v>
      </c>
      <c r="V132" s="14" t="s">
        <v>644</v>
      </c>
      <c r="W132" s="14" t="s">
        <v>641</v>
      </c>
      <c r="X132" s="14">
        <v>2</v>
      </c>
      <c r="Y132" s="14" t="s">
        <v>102</v>
      </c>
      <c r="Z132" s="14">
        <v>3</v>
      </c>
    </row>
    <row r="133" spans="1:26" ht="15" customHeight="1" x14ac:dyDescent="0.3">
      <c r="A133" s="14" t="s">
        <v>645</v>
      </c>
      <c r="B133" s="14" t="s">
        <v>646</v>
      </c>
      <c r="C133" s="14" t="s">
        <v>320</v>
      </c>
      <c r="D133" s="14">
        <v>42</v>
      </c>
      <c r="E133" s="14" t="s">
        <v>158</v>
      </c>
      <c r="F133" s="14">
        <v>48315</v>
      </c>
      <c r="G133" s="14" t="s">
        <v>196</v>
      </c>
      <c r="H133" s="15">
        <v>45128</v>
      </c>
      <c r="I133" s="14" t="s">
        <v>76</v>
      </c>
      <c r="J133" s="14" t="s">
        <v>95</v>
      </c>
      <c r="K133" s="14" t="s">
        <v>78</v>
      </c>
      <c r="L133" s="14" t="s">
        <v>79</v>
      </c>
      <c r="M133" s="15">
        <v>45971</v>
      </c>
      <c r="O133" s="14" t="s">
        <v>647</v>
      </c>
      <c r="P133" s="14" t="s">
        <v>220</v>
      </c>
      <c r="Q133" s="15">
        <v>45840</v>
      </c>
      <c r="R133" s="14" t="s">
        <v>89</v>
      </c>
      <c r="S133" s="14">
        <v>3690</v>
      </c>
      <c r="U133" s="1" t="str">
        <f>TEXT(tblTransactions[[#This Row],[Date]],"YYYY-MM")</f>
        <v>2025-07</v>
      </c>
      <c r="V133" s="14" t="s">
        <v>648</v>
      </c>
      <c r="W133" s="14" t="s">
        <v>645</v>
      </c>
      <c r="X133" s="14">
        <v>4</v>
      </c>
      <c r="Y133" s="14" t="s">
        <v>102</v>
      </c>
      <c r="Z133" s="14">
        <v>9</v>
      </c>
    </row>
    <row r="134" spans="1:26" ht="15" customHeight="1" x14ac:dyDescent="0.3">
      <c r="A134" s="14" t="s">
        <v>649</v>
      </c>
      <c r="B134" s="14" t="s">
        <v>650</v>
      </c>
      <c r="C134" s="14" t="s">
        <v>73</v>
      </c>
      <c r="D134" s="14">
        <v>45</v>
      </c>
      <c r="E134" s="14" t="s">
        <v>158</v>
      </c>
      <c r="F134" s="14">
        <v>36343</v>
      </c>
      <c r="G134" s="14" t="s">
        <v>630</v>
      </c>
      <c r="H134" s="15">
        <v>45380</v>
      </c>
      <c r="I134" s="14" t="s">
        <v>102</v>
      </c>
      <c r="J134" s="14" t="s">
        <v>77</v>
      </c>
      <c r="K134" s="14" t="s">
        <v>79</v>
      </c>
      <c r="L134" s="14" t="s">
        <v>87</v>
      </c>
      <c r="M134" s="15">
        <v>46007</v>
      </c>
      <c r="O134" s="14" t="s">
        <v>651</v>
      </c>
      <c r="P134" s="14" t="s">
        <v>220</v>
      </c>
      <c r="Q134" s="15">
        <v>45927</v>
      </c>
      <c r="R134" s="14" t="s">
        <v>110</v>
      </c>
      <c r="S134" s="14">
        <v>17220</v>
      </c>
      <c r="U134" s="1" t="str">
        <f>TEXT(tblTransactions[[#This Row],[Date]],"YYYY-MM")</f>
        <v>2025-09</v>
      </c>
      <c r="V134" s="14" t="s">
        <v>652</v>
      </c>
      <c r="W134" s="14" t="s">
        <v>649</v>
      </c>
      <c r="X134" s="14">
        <v>5</v>
      </c>
      <c r="Y134" s="14" t="s">
        <v>76</v>
      </c>
      <c r="Z134" s="14">
        <v>10</v>
      </c>
    </row>
    <row r="135" spans="1:26" ht="15" customHeight="1" x14ac:dyDescent="0.3">
      <c r="A135" s="14" t="s">
        <v>653</v>
      </c>
      <c r="B135" s="14" t="s">
        <v>654</v>
      </c>
      <c r="C135" s="14" t="s">
        <v>320</v>
      </c>
      <c r="D135" s="14">
        <v>57</v>
      </c>
      <c r="E135" s="14" t="s">
        <v>168</v>
      </c>
      <c r="F135" s="14">
        <v>68289</v>
      </c>
      <c r="G135" s="14" t="s">
        <v>196</v>
      </c>
      <c r="H135" s="15">
        <v>45038</v>
      </c>
      <c r="I135" s="14" t="s">
        <v>102</v>
      </c>
      <c r="J135" s="14" t="s">
        <v>77</v>
      </c>
      <c r="K135" s="14" t="s">
        <v>79</v>
      </c>
      <c r="L135" s="14" t="s">
        <v>79</v>
      </c>
      <c r="M135" s="15">
        <v>45902</v>
      </c>
      <c r="O135" s="14" t="s">
        <v>655</v>
      </c>
      <c r="P135" s="14" t="s">
        <v>220</v>
      </c>
      <c r="Q135" s="15">
        <v>45842</v>
      </c>
      <c r="R135" s="14" t="s">
        <v>122</v>
      </c>
      <c r="S135" s="14">
        <v>2150</v>
      </c>
      <c r="U135" s="1" t="str">
        <f>TEXT(tblTransactions[[#This Row],[Date]],"YYYY-MM")</f>
        <v>2025-07</v>
      </c>
      <c r="V135" s="14" t="s">
        <v>656</v>
      </c>
      <c r="W135" s="14" t="s">
        <v>653</v>
      </c>
      <c r="X135" s="14">
        <v>1</v>
      </c>
      <c r="Y135" s="14" t="s">
        <v>102</v>
      </c>
      <c r="Z135" s="14">
        <v>9</v>
      </c>
    </row>
    <row r="136" spans="1:26" ht="15" customHeight="1" x14ac:dyDescent="0.3">
      <c r="A136" s="14" t="s">
        <v>657</v>
      </c>
      <c r="B136" s="14" t="s">
        <v>658</v>
      </c>
      <c r="C136" s="14" t="s">
        <v>73</v>
      </c>
      <c r="D136" s="14">
        <v>49</v>
      </c>
      <c r="E136" s="14" t="s">
        <v>659</v>
      </c>
      <c r="F136" s="14">
        <v>102475</v>
      </c>
      <c r="G136" s="14" t="s">
        <v>277</v>
      </c>
      <c r="H136" s="15">
        <v>45266</v>
      </c>
      <c r="I136" s="14" t="s">
        <v>102</v>
      </c>
      <c r="J136" s="14" t="s">
        <v>77</v>
      </c>
      <c r="K136" s="14" t="s">
        <v>79</v>
      </c>
      <c r="L136" s="14" t="s">
        <v>87</v>
      </c>
      <c r="M136" s="15">
        <v>45834</v>
      </c>
      <c r="O136" s="14" t="s">
        <v>660</v>
      </c>
      <c r="P136" s="14" t="s">
        <v>220</v>
      </c>
      <c r="Q136" s="15">
        <v>46072</v>
      </c>
      <c r="R136" s="14" t="s">
        <v>110</v>
      </c>
      <c r="S136" s="14">
        <v>3240</v>
      </c>
      <c r="U136" s="1" t="str">
        <f>TEXT(tblTransactions[[#This Row],[Date]],"YYYY-MM")</f>
        <v>2026-02</v>
      </c>
      <c r="V136" s="14" t="s">
        <v>661</v>
      </c>
      <c r="W136" s="14" t="s">
        <v>657</v>
      </c>
      <c r="X136" s="14">
        <v>3</v>
      </c>
      <c r="Y136" s="14" t="s">
        <v>76</v>
      </c>
      <c r="Z136" s="14">
        <v>8</v>
      </c>
    </row>
    <row r="137" spans="1:26" ht="15" customHeight="1" x14ac:dyDescent="0.3">
      <c r="A137" s="14" t="s">
        <v>662</v>
      </c>
      <c r="B137" s="14" t="s">
        <v>663</v>
      </c>
      <c r="C137" s="14" t="s">
        <v>320</v>
      </c>
      <c r="D137" s="14">
        <v>27</v>
      </c>
      <c r="E137" s="14" t="s">
        <v>132</v>
      </c>
      <c r="F137" s="14">
        <v>99374</v>
      </c>
      <c r="G137" s="14" t="s">
        <v>127</v>
      </c>
      <c r="H137" s="15">
        <v>44893</v>
      </c>
      <c r="I137" s="14" t="s">
        <v>76</v>
      </c>
      <c r="J137" s="14" t="s">
        <v>77</v>
      </c>
      <c r="K137" s="14" t="s">
        <v>78</v>
      </c>
      <c r="L137" s="14" t="s">
        <v>78</v>
      </c>
      <c r="M137" s="15">
        <v>45873</v>
      </c>
      <c r="O137" s="14" t="s">
        <v>664</v>
      </c>
      <c r="P137" s="14" t="s">
        <v>220</v>
      </c>
      <c r="Q137" s="15">
        <v>45794</v>
      </c>
      <c r="R137" s="14" t="s">
        <v>81</v>
      </c>
      <c r="S137" s="14">
        <v>4440</v>
      </c>
      <c r="U137" s="1" t="str">
        <f>TEXT(tblTransactions[[#This Row],[Date]],"YYYY-MM")</f>
        <v>2025-05</v>
      </c>
      <c r="V137" s="14" t="s">
        <v>665</v>
      </c>
      <c r="W137" s="14" t="s">
        <v>662</v>
      </c>
      <c r="X137" s="14">
        <v>5</v>
      </c>
      <c r="Y137" s="14" t="s">
        <v>76</v>
      </c>
      <c r="Z137" s="14">
        <v>7</v>
      </c>
    </row>
    <row r="138" spans="1:26" ht="15" customHeight="1" x14ac:dyDescent="0.3">
      <c r="A138" s="14" t="s">
        <v>666</v>
      </c>
      <c r="B138" s="14" t="s">
        <v>667</v>
      </c>
      <c r="C138" s="14" t="s">
        <v>320</v>
      </c>
      <c r="D138" s="14">
        <v>62</v>
      </c>
      <c r="E138" s="14" t="s">
        <v>659</v>
      </c>
      <c r="F138" s="14">
        <v>68970</v>
      </c>
      <c r="G138" s="14" t="s">
        <v>307</v>
      </c>
      <c r="H138" s="15">
        <v>45005</v>
      </c>
      <c r="I138" s="14" t="s">
        <v>102</v>
      </c>
      <c r="J138" s="14" t="s">
        <v>95</v>
      </c>
      <c r="K138" s="14" t="s">
        <v>87</v>
      </c>
      <c r="L138" s="14" t="s">
        <v>78</v>
      </c>
      <c r="M138" s="15">
        <v>45823</v>
      </c>
      <c r="O138" s="14" t="s">
        <v>668</v>
      </c>
      <c r="P138" s="14" t="s">
        <v>220</v>
      </c>
      <c r="Q138" s="15">
        <v>45980</v>
      </c>
      <c r="R138" s="14" t="s">
        <v>89</v>
      </c>
      <c r="S138" s="14">
        <v>2580</v>
      </c>
      <c r="U138" s="1" t="str">
        <f>TEXT(tblTransactions[[#This Row],[Date]],"YYYY-MM")</f>
        <v>2025-11</v>
      </c>
      <c r="V138" s="14" t="s">
        <v>669</v>
      </c>
      <c r="W138" s="14" t="s">
        <v>666</v>
      </c>
      <c r="X138" s="14">
        <v>1</v>
      </c>
      <c r="Y138" s="14" t="s">
        <v>76</v>
      </c>
      <c r="Z138" s="14">
        <v>5</v>
      </c>
    </row>
    <row r="139" spans="1:26" ht="15" customHeight="1" x14ac:dyDescent="0.3">
      <c r="A139" s="14" t="s">
        <v>670</v>
      </c>
      <c r="B139" s="14" t="s">
        <v>671</v>
      </c>
      <c r="C139" s="14" t="s">
        <v>73</v>
      </c>
      <c r="D139" s="14">
        <v>49</v>
      </c>
      <c r="E139" s="14" t="s">
        <v>132</v>
      </c>
      <c r="F139" s="14">
        <v>64107</v>
      </c>
      <c r="G139" s="14" t="s">
        <v>115</v>
      </c>
      <c r="H139" s="15">
        <v>45006</v>
      </c>
      <c r="I139" s="14" t="s">
        <v>102</v>
      </c>
      <c r="J139" s="14" t="s">
        <v>77</v>
      </c>
      <c r="K139" s="14" t="s">
        <v>79</v>
      </c>
      <c r="L139" s="14" t="s">
        <v>78</v>
      </c>
      <c r="M139" s="15">
        <v>45810</v>
      </c>
      <c r="O139" s="14" t="s">
        <v>672</v>
      </c>
      <c r="P139" s="14" t="s">
        <v>220</v>
      </c>
      <c r="Q139" s="15">
        <v>45828</v>
      </c>
      <c r="R139" s="14" t="s">
        <v>117</v>
      </c>
      <c r="S139" s="14">
        <v>1870</v>
      </c>
      <c r="U139" s="1" t="str">
        <f>TEXT(tblTransactions[[#This Row],[Date]],"YYYY-MM")</f>
        <v>2025-06</v>
      </c>
      <c r="V139" s="14" t="s">
        <v>673</v>
      </c>
      <c r="W139" s="14" t="s">
        <v>670</v>
      </c>
      <c r="X139" s="14">
        <v>1</v>
      </c>
      <c r="Y139" s="14" t="s">
        <v>102</v>
      </c>
      <c r="Z139" s="14">
        <v>5</v>
      </c>
    </row>
    <row r="140" spans="1:26" ht="15" customHeight="1" x14ac:dyDescent="0.3">
      <c r="A140" s="14" t="s">
        <v>674</v>
      </c>
      <c r="B140" s="14" t="s">
        <v>675</v>
      </c>
      <c r="C140" s="14" t="s">
        <v>320</v>
      </c>
      <c r="D140" s="14">
        <v>50</v>
      </c>
      <c r="E140" s="14" t="s">
        <v>535</v>
      </c>
      <c r="F140" s="14">
        <v>129867</v>
      </c>
      <c r="G140" s="14" t="s">
        <v>594</v>
      </c>
      <c r="H140" s="15">
        <v>45157</v>
      </c>
      <c r="I140" s="14" t="s">
        <v>102</v>
      </c>
      <c r="J140" s="14" t="s">
        <v>77</v>
      </c>
      <c r="K140" s="14" t="s">
        <v>79</v>
      </c>
      <c r="L140" s="14" t="s">
        <v>87</v>
      </c>
      <c r="M140" s="15">
        <v>45978</v>
      </c>
      <c r="O140" s="14" t="s">
        <v>676</v>
      </c>
      <c r="P140" s="14" t="s">
        <v>220</v>
      </c>
      <c r="Q140" s="15">
        <v>46053</v>
      </c>
      <c r="R140" s="14" t="s">
        <v>110</v>
      </c>
      <c r="S140" s="14">
        <v>11430</v>
      </c>
      <c r="U140" s="1" t="str">
        <f>TEXT(tblTransactions[[#This Row],[Date]],"YYYY-MM")</f>
        <v>2026-01</v>
      </c>
      <c r="V140" s="14" t="s">
        <v>677</v>
      </c>
      <c r="W140" s="14" t="s">
        <v>674</v>
      </c>
      <c r="X140" s="14">
        <v>3</v>
      </c>
      <c r="Y140" s="14" t="s">
        <v>76</v>
      </c>
      <c r="Z140" s="14">
        <v>8</v>
      </c>
    </row>
    <row r="141" spans="1:26" ht="15" customHeight="1" x14ac:dyDescent="0.3">
      <c r="A141" s="14" t="s">
        <v>678</v>
      </c>
      <c r="B141" s="14" t="s">
        <v>679</v>
      </c>
      <c r="C141" s="14" t="s">
        <v>320</v>
      </c>
      <c r="D141" s="14">
        <v>62</v>
      </c>
      <c r="E141" s="14" t="s">
        <v>132</v>
      </c>
      <c r="F141" s="14">
        <v>89984</v>
      </c>
      <c r="G141" s="14" t="s">
        <v>277</v>
      </c>
      <c r="H141" s="15">
        <v>45639</v>
      </c>
      <c r="I141" s="14" t="s">
        <v>102</v>
      </c>
      <c r="J141" s="14" t="s">
        <v>77</v>
      </c>
      <c r="K141" s="14" t="s">
        <v>87</v>
      </c>
      <c r="L141" s="14" t="s">
        <v>87</v>
      </c>
      <c r="M141" s="15">
        <v>45911</v>
      </c>
      <c r="O141" s="14" t="s">
        <v>680</v>
      </c>
      <c r="P141" s="14" t="s">
        <v>220</v>
      </c>
      <c r="Q141" s="15">
        <v>46077</v>
      </c>
      <c r="R141" s="14" t="s">
        <v>117</v>
      </c>
      <c r="S141" s="14">
        <v>6360</v>
      </c>
      <c r="U141" s="1" t="str">
        <f>TEXT(tblTransactions[[#This Row],[Date]],"YYYY-MM")</f>
        <v>2026-02</v>
      </c>
      <c r="V141" s="14" t="s">
        <v>681</v>
      </c>
      <c r="W141" s="14" t="s">
        <v>678</v>
      </c>
      <c r="X141" s="14">
        <v>1</v>
      </c>
      <c r="Y141" s="14" t="s">
        <v>76</v>
      </c>
      <c r="Z141" s="14">
        <v>4</v>
      </c>
    </row>
    <row r="142" spans="1:26" ht="15" customHeight="1" x14ac:dyDescent="0.3">
      <c r="A142" s="14" t="s">
        <v>682</v>
      </c>
      <c r="B142" s="14" t="s">
        <v>683</v>
      </c>
      <c r="C142" s="14" t="s">
        <v>320</v>
      </c>
      <c r="D142" s="14">
        <v>31</v>
      </c>
      <c r="E142" s="14" t="s">
        <v>195</v>
      </c>
      <c r="F142" s="14">
        <v>34837</v>
      </c>
      <c r="G142" s="14" t="s">
        <v>196</v>
      </c>
      <c r="H142" s="15">
        <v>45301</v>
      </c>
      <c r="I142" s="14" t="s">
        <v>102</v>
      </c>
      <c r="J142" s="14" t="s">
        <v>95</v>
      </c>
      <c r="K142" s="14" t="s">
        <v>87</v>
      </c>
      <c r="L142" s="14" t="s">
        <v>78</v>
      </c>
      <c r="M142" s="15">
        <v>45853</v>
      </c>
      <c r="O142" s="14" t="s">
        <v>684</v>
      </c>
      <c r="P142" s="14" t="s">
        <v>224</v>
      </c>
      <c r="Q142" s="15">
        <v>45965</v>
      </c>
      <c r="R142" s="14" t="s">
        <v>81</v>
      </c>
      <c r="S142" s="14">
        <v>3300</v>
      </c>
      <c r="U142" s="1" t="str">
        <f>TEXT(tblTransactions[[#This Row],[Date]],"YYYY-MM")</f>
        <v>2025-11</v>
      </c>
      <c r="V142" s="14" t="s">
        <v>685</v>
      </c>
      <c r="W142" s="14" t="s">
        <v>682</v>
      </c>
      <c r="X142" s="14">
        <v>5</v>
      </c>
      <c r="Y142" s="14" t="s">
        <v>102</v>
      </c>
      <c r="Z142" s="14">
        <v>10</v>
      </c>
    </row>
    <row r="143" spans="1:26" ht="15" customHeight="1" x14ac:dyDescent="0.3">
      <c r="A143" s="14" t="s">
        <v>686</v>
      </c>
      <c r="B143" s="14" t="s">
        <v>687</v>
      </c>
      <c r="C143" s="14" t="s">
        <v>73</v>
      </c>
      <c r="D143" s="14">
        <v>58</v>
      </c>
      <c r="E143" s="14" t="s">
        <v>143</v>
      </c>
      <c r="F143" s="14">
        <v>143037</v>
      </c>
      <c r="G143" s="14" t="s">
        <v>248</v>
      </c>
      <c r="H143" s="15">
        <v>45358</v>
      </c>
      <c r="I143" s="14" t="s">
        <v>102</v>
      </c>
      <c r="J143" s="14" t="s">
        <v>95</v>
      </c>
      <c r="K143" s="14" t="s">
        <v>87</v>
      </c>
      <c r="L143" s="14" t="s">
        <v>79</v>
      </c>
      <c r="M143" s="15">
        <v>46027</v>
      </c>
      <c r="O143" s="14" t="s">
        <v>688</v>
      </c>
      <c r="P143" s="14" t="s">
        <v>229</v>
      </c>
      <c r="Q143" s="15">
        <v>45806</v>
      </c>
      <c r="R143" s="14" t="s">
        <v>135</v>
      </c>
      <c r="S143" s="14">
        <v>3620</v>
      </c>
      <c r="U143" s="1" t="str">
        <f>TEXT(tblTransactions[[#This Row],[Date]],"YYYY-MM")</f>
        <v>2025-05</v>
      </c>
      <c r="V143" s="14" t="s">
        <v>689</v>
      </c>
      <c r="W143" s="14" t="s">
        <v>686</v>
      </c>
      <c r="X143" s="14">
        <v>4</v>
      </c>
      <c r="Y143" s="14" t="s">
        <v>76</v>
      </c>
      <c r="Z143" s="14">
        <v>10</v>
      </c>
    </row>
    <row r="144" spans="1:26" ht="15" customHeight="1" x14ac:dyDescent="0.3">
      <c r="A144" s="14" t="s">
        <v>690</v>
      </c>
      <c r="B144" s="14" t="s">
        <v>691</v>
      </c>
      <c r="C144" s="14" t="s">
        <v>320</v>
      </c>
      <c r="D144" s="14">
        <v>49</v>
      </c>
      <c r="E144" s="14" t="s">
        <v>548</v>
      </c>
      <c r="F144" s="14">
        <v>25608</v>
      </c>
      <c r="G144" s="14" t="s">
        <v>196</v>
      </c>
      <c r="H144" s="15">
        <v>45374</v>
      </c>
      <c r="I144" s="14" t="s">
        <v>102</v>
      </c>
      <c r="J144" s="14" t="s">
        <v>77</v>
      </c>
      <c r="K144" s="14" t="s">
        <v>87</v>
      </c>
      <c r="L144" s="14" t="s">
        <v>78</v>
      </c>
      <c r="M144" s="15">
        <v>46066</v>
      </c>
      <c r="O144" s="14" t="s">
        <v>692</v>
      </c>
      <c r="P144" s="14" t="s">
        <v>229</v>
      </c>
      <c r="Q144" s="15">
        <v>45997</v>
      </c>
      <c r="R144" s="14" t="s">
        <v>117</v>
      </c>
      <c r="S144" s="14">
        <v>6200</v>
      </c>
      <c r="U144" s="1" t="str">
        <f>TEXT(tblTransactions[[#This Row],[Date]],"YYYY-MM")</f>
        <v>2025-12</v>
      </c>
      <c r="V144" s="14" t="s">
        <v>693</v>
      </c>
      <c r="W144" s="14" t="s">
        <v>690</v>
      </c>
      <c r="X144" s="14">
        <v>2</v>
      </c>
      <c r="Y144" s="14" t="s">
        <v>76</v>
      </c>
      <c r="Z144" s="14">
        <v>4</v>
      </c>
    </row>
    <row r="145" spans="1:26" ht="15" customHeight="1" x14ac:dyDescent="0.3">
      <c r="A145" s="14" t="s">
        <v>694</v>
      </c>
      <c r="B145" s="14" t="s">
        <v>695</v>
      </c>
      <c r="C145" s="14" t="s">
        <v>73</v>
      </c>
      <c r="D145" s="14">
        <v>27</v>
      </c>
      <c r="E145" s="14" t="s">
        <v>158</v>
      </c>
      <c r="F145" s="14">
        <v>53572</v>
      </c>
      <c r="G145" s="14" t="s">
        <v>594</v>
      </c>
      <c r="H145" s="15">
        <v>45246</v>
      </c>
      <c r="I145" s="14" t="s">
        <v>76</v>
      </c>
      <c r="J145" s="14" t="s">
        <v>77</v>
      </c>
      <c r="K145" s="14" t="s">
        <v>87</v>
      </c>
      <c r="L145" s="14" t="s">
        <v>87</v>
      </c>
      <c r="M145" s="15">
        <v>45915</v>
      </c>
      <c r="O145" s="14" t="s">
        <v>696</v>
      </c>
      <c r="P145" s="14" t="s">
        <v>229</v>
      </c>
      <c r="Q145" s="15">
        <v>45905</v>
      </c>
      <c r="R145" s="14" t="s">
        <v>117</v>
      </c>
      <c r="S145" s="14">
        <v>9720</v>
      </c>
      <c r="U145" s="1" t="str">
        <f>TEXT(tblTransactions[[#This Row],[Date]],"YYYY-MM")</f>
        <v>2025-09</v>
      </c>
      <c r="V145" s="14" t="s">
        <v>697</v>
      </c>
      <c r="W145" s="14" t="s">
        <v>694</v>
      </c>
      <c r="X145" s="14">
        <v>1</v>
      </c>
      <c r="Y145" s="14" t="s">
        <v>102</v>
      </c>
      <c r="Z145" s="14">
        <v>9</v>
      </c>
    </row>
    <row r="146" spans="1:26" ht="15" customHeight="1" x14ac:dyDescent="0.3">
      <c r="A146" s="14" t="s">
        <v>698</v>
      </c>
      <c r="B146" s="14" t="s">
        <v>699</v>
      </c>
      <c r="C146" s="14" t="s">
        <v>320</v>
      </c>
      <c r="D146" s="14">
        <v>39</v>
      </c>
      <c r="E146" s="14" t="s">
        <v>158</v>
      </c>
      <c r="F146" s="14">
        <v>84131</v>
      </c>
      <c r="G146" s="14" t="s">
        <v>594</v>
      </c>
      <c r="H146" s="15">
        <v>45635</v>
      </c>
      <c r="I146" s="14" t="s">
        <v>102</v>
      </c>
      <c r="J146" s="14" t="s">
        <v>77</v>
      </c>
      <c r="K146" s="14" t="s">
        <v>79</v>
      </c>
      <c r="L146" s="14" t="s">
        <v>79</v>
      </c>
      <c r="M146" s="15">
        <v>45774</v>
      </c>
      <c r="O146" s="14" t="s">
        <v>700</v>
      </c>
      <c r="P146" s="14" t="s">
        <v>229</v>
      </c>
      <c r="Q146" s="15">
        <v>45776</v>
      </c>
      <c r="R146" s="14" t="s">
        <v>110</v>
      </c>
      <c r="S146" s="14">
        <v>5640</v>
      </c>
      <c r="U146" s="1" t="str">
        <f>TEXT(tblTransactions[[#This Row],[Date]],"YYYY-MM")</f>
        <v>2025-04</v>
      </c>
      <c r="V146" s="14" t="s">
        <v>701</v>
      </c>
      <c r="W146" s="14" t="s">
        <v>698</v>
      </c>
      <c r="X146" s="14">
        <v>3</v>
      </c>
      <c r="Y146" s="14" t="s">
        <v>76</v>
      </c>
      <c r="Z146" s="14">
        <v>6</v>
      </c>
    </row>
    <row r="147" spans="1:26" ht="15" customHeight="1" x14ac:dyDescent="0.3">
      <c r="A147" s="14" t="s">
        <v>702</v>
      </c>
      <c r="B147" s="14" t="s">
        <v>703</v>
      </c>
      <c r="C147" s="14" t="s">
        <v>73</v>
      </c>
      <c r="D147" s="14">
        <v>23</v>
      </c>
      <c r="E147" s="14" t="s">
        <v>132</v>
      </c>
      <c r="F147" s="14">
        <v>70261</v>
      </c>
      <c r="G147" s="14" t="s">
        <v>594</v>
      </c>
      <c r="H147" s="15">
        <v>45698</v>
      </c>
      <c r="I147" s="14" t="s">
        <v>76</v>
      </c>
      <c r="J147" s="14" t="s">
        <v>77</v>
      </c>
      <c r="K147" s="14" t="s">
        <v>78</v>
      </c>
      <c r="L147" s="14" t="s">
        <v>87</v>
      </c>
      <c r="M147" s="15">
        <v>46090</v>
      </c>
      <c r="O147" s="14" t="s">
        <v>704</v>
      </c>
      <c r="P147" s="14" t="s">
        <v>229</v>
      </c>
      <c r="Q147" s="15">
        <v>45852</v>
      </c>
      <c r="R147" s="14" t="s">
        <v>122</v>
      </c>
      <c r="S147" s="14">
        <v>3780</v>
      </c>
      <c r="U147" s="1" t="str">
        <f>TEXT(tblTransactions[[#This Row],[Date]],"YYYY-MM")</f>
        <v>2025-07</v>
      </c>
      <c r="V147" s="14" t="s">
        <v>705</v>
      </c>
      <c r="W147" s="14" t="s">
        <v>702</v>
      </c>
      <c r="X147" s="14">
        <v>3</v>
      </c>
      <c r="Y147" s="14" t="s">
        <v>102</v>
      </c>
      <c r="Z147" s="14">
        <v>10</v>
      </c>
    </row>
    <row r="148" spans="1:26" ht="15" customHeight="1" x14ac:dyDescent="0.3">
      <c r="A148" s="14" t="s">
        <v>706</v>
      </c>
      <c r="B148" s="14" t="s">
        <v>707</v>
      </c>
      <c r="C148" s="14" t="s">
        <v>320</v>
      </c>
      <c r="D148" s="14">
        <v>45</v>
      </c>
      <c r="E148" s="14" t="s">
        <v>114</v>
      </c>
      <c r="F148" s="14">
        <v>48024</v>
      </c>
      <c r="G148" s="14" t="s">
        <v>115</v>
      </c>
      <c r="H148" s="15">
        <v>44880</v>
      </c>
      <c r="I148" s="14" t="s">
        <v>76</v>
      </c>
      <c r="J148" s="14" t="s">
        <v>95</v>
      </c>
      <c r="K148" s="14" t="s">
        <v>78</v>
      </c>
      <c r="L148" s="14" t="s">
        <v>79</v>
      </c>
      <c r="M148" s="15">
        <v>45761</v>
      </c>
      <c r="O148" s="14" t="s">
        <v>708</v>
      </c>
      <c r="P148" s="14" t="s">
        <v>229</v>
      </c>
      <c r="Q148" s="15">
        <v>46010</v>
      </c>
      <c r="R148" s="14" t="s">
        <v>89</v>
      </c>
      <c r="S148" s="14">
        <v>7590</v>
      </c>
      <c r="U148" s="1" t="str">
        <f>TEXT(tblTransactions[[#This Row],[Date]],"YYYY-MM")</f>
        <v>2025-12</v>
      </c>
      <c r="V148" s="14" t="s">
        <v>709</v>
      </c>
      <c r="W148" s="14" t="s">
        <v>706</v>
      </c>
      <c r="X148" s="14">
        <v>3</v>
      </c>
      <c r="Y148" s="14" t="s">
        <v>76</v>
      </c>
      <c r="Z148" s="14">
        <v>3</v>
      </c>
    </row>
    <row r="149" spans="1:26" ht="15" customHeight="1" x14ac:dyDescent="0.3">
      <c r="A149" s="14" t="s">
        <v>710</v>
      </c>
      <c r="B149" s="14" t="s">
        <v>711</v>
      </c>
      <c r="C149" s="14" t="s">
        <v>320</v>
      </c>
      <c r="D149" s="14">
        <v>47</v>
      </c>
      <c r="E149" s="14" t="s">
        <v>195</v>
      </c>
      <c r="F149" s="14">
        <v>37922</v>
      </c>
      <c r="G149" s="14" t="s">
        <v>226</v>
      </c>
      <c r="H149" s="15">
        <v>45011</v>
      </c>
      <c r="I149" s="14" t="s">
        <v>76</v>
      </c>
      <c r="J149" s="14" t="s">
        <v>77</v>
      </c>
      <c r="K149" s="14" t="s">
        <v>79</v>
      </c>
      <c r="L149" s="14" t="s">
        <v>87</v>
      </c>
      <c r="M149" s="15">
        <v>46098</v>
      </c>
      <c r="O149" s="14" t="s">
        <v>712</v>
      </c>
      <c r="P149" s="14" t="s">
        <v>233</v>
      </c>
      <c r="Q149" s="15">
        <v>46002</v>
      </c>
      <c r="R149" s="14" t="s">
        <v>81</v>
      </c>
      <c r="S149" s="14">
        <v>4460</v>
      </c>
      <c r="U149" s="1" t="str">
        <f>TEXT(tblTransactions[[#This Row],[Date]],"YYYY-MM")</f>
        <v>2025-12</v>
      </c>
      <c r="V149" s="14" t="s">
        <v>713</v>
      </c>
      <c r="W149" s="14" t="s">
        <v>710</v>
      </c>
      <c r="X149" s="14">
        <v>4</v>
      </c>
      <c r="Y149" s="14" t="s">
        <v>76</v>
      </c>
      <c r="Z149" s="14">
        <v>5</v>
      </c>
    </row>
    <row r="150" spans="1:26" ht="15" customHeight="1" x14ac:dyDescent="0.3">
      <c r="A150" s="14" t="s">
        <v>714</v>
      </c>
      <c r="B150" s="14" t="s">
        <v>634</v>
      </c>
      <c r="C150" s="14" t="s">
        <v>73</v>
      </c>
      <c r="D150" s="14">
        <v>44</v>
      </c>
      <c r="E150" s="14" t="s">
        <v>173</v>
      </c>
      <c r="F150" s="14">
        <v>130296</v>
      </c>
      <c r="G150" s="14" t="s">
        <v>630</v>
      </c>
      <c r="H150" s="15">
        <v>45339</v>
      </c>
      <c r="I150" s="14" t="s">
        <v>76</v>
      </c>
      <c r="J150" s="14" t="s">
        <v>95</v>
      </c>
      <c r="K150" s="14" t="s">
        <v>78</v>
      </c>
      <c r="L150" s="14" t="s">
        <v>87</v>
      </c>
      <c r="M150" s="15">
        <v>45998</v>
      </c>
      <c r="O150" s="14" t="s">
        <v>715</v>
      </c>
      <c r="P150" s="14" t="s">
        <v>237</v>
      </c>
      <c r="Q150" s="15">
        <v>45929</v>
      </c>
      <c r="R150" s="14" t="s">
        <v>110</v>
      </c>
      <c r="S150" s="14">
        <v>2740</v>
      </c>
      <c r="U150" s="1" t="str">
        <f>TEXT(tblTransactions[[#This Row],[Date]],"YYYY-MM")</f>
        <v>2025-09</v>
      </c>
      <c r="V150" s="14" t="s">
        <v>716</v>
      </c>
      <c r="W150" s="14" t="s">
        <v>714</v>
      </c>
      <c r="X150" s="14">
        <v>2</v>
      </c>
      <c r="Y150" s="14" t="s">
        <v>76</v>
      </c>
      <c r="Z150" s="14">
        <v>4</v>
      </c>
    </row>
    <row r="151" spans="1:26" ht="15" customHeight="1" x14ac:dyDescent="0.3">
      <c r="A151" s="14" t="s">
        <v>717</v>
      </c>
      <c r="B151" s="14" t="s">
        <v>718</v>
      </c>
      <c r="C151" s="14" t="s">
        <v>320</v>
      </c>
      <c r="D151" s="14">
        <v>31</v>
      </c>
      <c r="E151" s="14" t="s">
        <v>158</v>
      </c>
      <c r="F151" s="14">
        <v>64173</v>
      </c>
      <c r="G151" s="14" t="s">
        <v>307</v>
      </c>
      <c r="H151" s="15">
        <v>45184</v>
      </c>
      <c r="I151" s="14" t="s">
        <v>102</v>
      </c>
      <c r="J151" s="14" t="s">
        <v>95</v>
      </c>
      <c r="K151" s="14" t="s">
        <v>87</v>
      </c>
      <c r="L151" s="14" t="s">
        <v>87</v>
      </c>
      <c r="M151" s="15">
        <v>46051</v>
      </c>
      <c r="O151" s="14" t="s">
        <v>719</v>
      </c>
      <c r="P151" s="14" t="s">
        <v>237</v>
      </c>
      <c r="Q151" s="15">
        <v>45951</v>
      </c>
      <c r="R151" s="14" t="s">
        <v>110</v>
      </c>
      <c r="S151" s="14">
        <v>5240</v>
      </c>
      <c r="U151" s="1" t="str">
        <f>TEXT(tblTransactions[[#This Row],[Date]],"YYYY-MM")</f>
        <v>2025-10</v>
      </c>
      <c r="V151" s="14" t="s">
        <v>720</v>
      </c>
      <c r="W151" s="14" t="s">
        <v>717</v>
      </c>
      <c r="X151" s="14">
        <v>2</v>
      </c>
      <c r="Y151" s="14" t="s">
        <v>102</v>
      </c>
      <c r="Z151" s="14">
        <v>4</v>
      </c>
    </row>
    <row r="152" spans="1:26" ht="15" customHeight="1" x14ac:dyDescent="0.3">
      <c r="A152" s="14" t="s">
        <v>721</v>
      </c>
      <c r="B152" s="14" t="s">
        <v>722</v>
      </c>
      <c r="C152" s="14" t="s">
        <v>73</v>
      </c>
      <c r="D152" s="14">
        <v>39</v>
      </c>
      <c r="E152" s="14" t="s">
        <v>247</v>
      </c>
      <c r="F152" s="14">
        <v>81927</v>
      </c>
      <c r="G152" s="14" t="s">
        <v>115</v>
      </c>
      <c r="H152" s="15">
        <v>45243</v>
      </c>
      <c r="I152" s="14" t="s">
        <v>102</v>
      </c>
      <c r="J152" s="14" t="s">
        <v>95</v>
      </c>
      <c r="K152" s="14" t="s">
        <v>78</v>
      </c>
      <c r="L152" s="14" t="s">
        <v>87</v>
      </c>
      <c r="M152" s="15">
        <v>45914</v>
      </c>
      <c r="O152" s="14" t="s">
        <v>723</v>
      </c>
      <c r="P152" s="14" t="s">
        <v>237</v>
      </c>
      <c r="Q152" s="15">
        <v>46108</v>
      </c>
      <c r="R152" s="14" t="s">
        <v>81</v>
      </c>
      <c r="S152" s="14">
        <v>3760</v>
      </c>
      <c r="U152" s="1" t="str">
        <f>TEXT(tblTransactions[[#This Row],[Date]],"YYYY-MM")</f>
        <v>2026-03</v>
      </c>
      <c r="V152" s="14" t="s">
        <v>724</v>
      </c>
      <c r="W152" s="14" t="s">
        <v>721</v>
      </c>
      <c r="X152" s="14">
        <v>4</v>
      </c>
      <c r="Y152" s="14" t="s">
        <v>102</v>
      </c>
      <c r="Z152" s="14">
        <v>3</v>
      </c>
    </row>
    <row r="153" spans="1:26" ht="15" customHeight="1" x14ac:dyDescent="0.3">
      <c r="A153" s="14" t="s">
        <v>725</v>
      </c>
      <c r="B153" s="14" t="s">
        <v>726</v>
      </c>
      <c r="C153" s="14" t="s">
        <v>320</v>
      </c>
      <c r="D153" s="14">
        <v>39</v>
      </c>
      <c r="E153" s="14" t="s">
        <v>535</v>
      </c>
      <c r="F153" s="14">
        <v>90422</v>
      </c>
      <c r="G153" s="14" t="s">
        <v>558</v>
      </c>
      <c r="H153" s="15">
        <v>45708</v>
      </c>
      <c r="I153" s="14" t="s">
        <v>76</v>
      </c>
      <c r="J153" s="14" t="s">
        <v>77</v>
      </c>
      <c r="K153" s="14" t="s">
        <v>78</v>
      </c>
      <c r="L153" s="14" t="s">
        <v>79</v>
      </c>
      <c r="M153" s="15">
        <v>45956</v>
      </c>
      <c r="O153" s="14" t="s">
        <v>727</v>
      </c>
      <c r="P153" s="14" t="s">
        <v>241</v>
      </c>
      <c r="Q153" s="15">
        <v>46096</v>
      </c>
      <c r="R153" s="14" t="s">
        <v>135</v>
      </c>
      <c r="S153" s="14">
        <v>2160</v>
      </c>
      <c r="U153" s="1" t="str">
        <f>TEXT(tblTransactions[[#This Row],[Date]],"YYYY-MM")</f>
        <v>2026-03</v>
      </c>
      <c r="V153" s="14" t="s">
        <v>728</v>
      </c>
      <c r="W153" s="14" t="s">
        <v>725</v>
      </c>
      <c r="X153" s="14">
        <v>5</v>
      </c>
      <c r="Y153" s="14" t="s">
        <v>102</v>
      </c>
      <c r="Z153" s="14">
        <v>7</v>
      </c>
    </row>
    <row r="154" spans="1:26" ht="15" customHeight="1" x14ac:dyDescent="0.3">
      <c r="A154" s="14" t="s">
        <v>729</v>
      </c>
      <c r="B154" s="14" t="s">
        <v>730</v>
      </c>
      <c r="C154" s="14" t="s">
        <v>320</v>
      </c>
      <c r="D154" s="14">
        <v>50</v>
      </c>
      <c r="E154" s="14" t="s">
        <v>201</v>
      </c>
      <c r="F154" s="14">
        <v>42393</v>
      </c>
      <c r="G154" s="14" t="s">
        <v>75</v>
      </c>
      <c r="H154" s="15">
        <v>45492</v>
      </c>
      <c r="I154" s="14" t="s">
        <v>102</v>
      </c>
      <c r="J154" s="14" t="s">
        <v>77</v>
      </c>
      <c r="K154" s="14" t="s">
        <v>87</v>
      </c>
      <c r="L154" s="14" t="s">
        <v>79</v>
      </c>
      <c r="M154" s="15">
        <v>46045</v>
      </c>
      <c r="O154" s="14" t="s">
        <v>731</v>
      </c>
      <c r="P154" s="14" t="s">
        <v>245</v>
      </c>
      <c r="Q154" s="15">
        <v>45835</v>
      </c>
      <c r="R154" s="14" t="s">
        <v>117</v>
      </c>
      <c r="S154" s="14">
        <v>6390</v>
      </c>
      <c r="U154" s="1" t="str">
        <f>TEXT(tblTransactions[[#This Row],[Date]],"YYYY-MM")</f>
        <v>2025-06</v>
      </c>
      <c r="V154" s="14" t="s">
        <v>732</v>
      </c>
      <c r="W154" s="14" t="s">
        <v>729</v>
      </c>
      <c r="X154" s="14">
        <v>4</v>
      </c>
      <c r="Y154" s="14" t="s">
        <v>102</v>
      </c>
      <c r="Z154" s="14">
        <v>2</v>
      </c>
    </row>
    <row r="155" spans="1:26" ht="15" customHeight="1" x14ac:dyDescent="0.3">
      <c r="A155" s="14" t="s">
        <v>733</v>
      </c>
      <c r="B155" s="14" t="s">
        <v>734</v>
      </c>
      <c r="C155" s="14" t="s">
        <v>320</v>
      </c>
      <c r="D155" s="14">
        <v>44</v>
      </c>
      <c r="E155" s="14" t="s">
        <v>247</v>
      </c>
      <c r="F155" s="14">
        <v>89019</v>
      </c>
      <c r="G155" s="14" t="s">
        <v>75</v>
      </c>
      <c r="H155" s="15">
        <v>45461</v>
      </c>
      <c r="I155" s="14" t="s">
        <v>76</v>
      </c>
      <c r="J155" s="14" t="s">
        <v>77</v>
      </c>
      <c r="K155" s="14" t="s">
        <v>79</v>
      </c>
      <c r="L155" s="14" t="s">
        <v>78</v>
      </c>
      <c r="M155" s="15">
        <v>45909</v>
      </c>
      <c r="O155" s="14" t="s">
        <v>735</v>
      </c>
      <c r="P155" s="14" t="s">
        <v>245</v>
      </c>
      <c r="Q155" s="15">
        <v>45983</v>
      </c>
      <c r="R155" s="14" t="s">
        <v>110</v>
      </c>
      <c r="S155" s="14">
        <v>10910</v>
      </c>
      <c r="U155" s="1" t="str">
        <f>TEXT(tblTransactions[[#This Row],[Date]],"YYYY-MM")</f>
        <v>2025-11</v>
      </c>
      <c r="V155" s="14" t="s">
        <v>736</v>
      </c>
      <c r="W155" s="14" t="s">
        <v>733</v>
      </c>
      <c r="X155" s="14">
        <v>1</v>
      </c>
      <c r="Y155" s="14" t="s">
        <v>102</v>
      </c>
      <c r="Z155" s="14">
        <v>9</v>
      </c>
    </row>
    <row r="156" spans="1:26" ht="15" customHeight="1" x14ac:dyDescent="0.3">
      <c r="A156" s="14" t="s">
        <v>737</v>
      </c>
      <c r="B156" s="14" t="s">
        <v>738</v>
      </c>
      <c r="C156" s="14" t="s">
        <v>73</v>
      </c>
      <c r="D156" s="14">
        <v>34</v>
      </c>
      <c r="E156" s="14" t="s">
        <v>195</v>
      </c>
      <c r="F156" s="14">
        <v>144929</v>
      </c>
      <c r="G156" s="14" t="s">
        <v>75</v>
      </c>
      <c r="H156" s="15">
        <v>44977</v>
      </c>
      <c r="I156" s="14" t="s">
        <v>102</v>
      </c>
      <c r="J156" s="14" t="s">
        <v>77</v>
      </c>
      <c r="K156" s="14" t="s">
        <v>78</v>
      </c>
      <c r="L156" s="14" t="s">
        <v>87</v>
      </c>
      <c r="M156" s="15">
        <v>45864</v>
      </c>
      <c r="O156" s="14" t="s">
        <v>739</v>
      </c>
      <c r="P156" s="14" t="s">
        <v>245</v>
      </c>
      <c r="Q156" s="15">
        <v>45971</v>
      </c>
      <c r="R156" s="14" t="s">
        <v>110</v>
      </c>
      <c r="S156" s="14">
        <v>940</v>
      </c>
      <c r="U156" s="1" t="str">
        <f>TEXT(tblTransactions[[#This Row],[Date]],"YYYY-MM")</f>
        <v>2025-11</v>
      </c>
      <c r="V156" s="14" t="s">
        <v>740</v>
      </c>
      <c r="W156" s="14" t="s">
        <v>737</v>
      </c>
      <c r="X156" s="14">
        <v>3</v>
      </c>
      <c r="Y156" s="14" t="s">
        <v>102</v>
      </c>
      <c r="Z156" s="14">
        <v>8</v>
      </c>
    </row>
    <row r="157" spans="1:26" ht="15" customHeight="1" x14ac:dyDescent="0.3">
      <c r="A157" s="14" t="s">
        <v>741</v>
      </c>
      <c r="B157" s="14" t="s">
        <v>742</v>
      </c>
      <c r="C157" s="14" t="s">
        <v>73</v>
      </c>
      <c r="D157" s="14">
        <v>39</v>
      </c>
      <c r="E157" s="14" t="s">
        <v>178</v>
      </c>
      <c r="F157" s="14">
        <v>32293</v>
      </c>
      <c r="G157" s="14" t="s">
        <v>558</v>
      </c>
      <c r="H157" s="15">
        <v>45419</v>
      </c>
      <c r="I157" s="14" t="s">
        <v>76</v>
      </c>
      <c r="J157" s="14" t="s">
        <v>95</v>
      </c>
      <c r="K157" s="14" t="s">
        <v>78</v>
      </c>
      <c r="L157" s="14" t="s">
        <v>78</v>
      </c>
      <c r="M157" s="15">
        <v>46041</v>
      </c>
      <c r="O157" s="14" t="s">
        <v>743</v>
      </c>
      <c r="P157" s="14" t="s">
        <v>245</v>
      </c>
      <c r="Q157" s="15">
        <v>45872</v>
      </c>
      <c r="R157" s="14" t="s">
        <v>110</v>
      </c>
      <c r="S157" s="14">
        <v>2140</v>
      </c>
      <c r="U157" s="1" t="str">
        <f>TEXT(tblTransactions[[#This Row],[Date]],"YYYY-MM")</f>
        <v>2025-08</v>
      </c>
      <c r="V157" s="14" t="s">
        <v>744</v>
      </c>
      <c r="W157" s="14" t="s">
        <v>741</v>
      </c>
      <c r="X157" s="14">
        <v>4</v>
      </c>
      <c r="Y157" s="14" t="s">
        <v>102</v>
      </c>
      <c r="Z157" s="14">
        <v>10</v>
      </c>
    </row>
    <row r="158" spans="1:26" ht="15" customHeight="1" x14ac:dyDescent="0.3">
      <c r="A158" s="14" t="s">
        <v>745</v>
      </c>
      <c r="B158" s="14" t="s">
        <v>746</v>
      </c>
      <c r="C158" s="14" t="s">
        <v>73</v>
      </c>
      <c r="D158" s="14">
        <v>38</v>
      </c>
      <c r="E158" s="14" t="s">
        <v>548</v>
      </c>
      <c r="F158" s="14">
        <v>47907</v>
      </c>
      <c r="G158" s="14" t="s">
        <v>594</v>
      </c>
      <c r="H158" s="15">
        <v>45652</v>
      </c>
      <c r="I158" s="14" t="s">
        <v>102</v>
      </c>
      <c r="J158" s="14" t="s">
        <v>95</v>
      </c>
      <c r="K158" s="14" t="s">
        <v>78</v>
      </c>
      <c r="L158" s="14" t="s">
        <v>79</v>
      </c>
      <c r="M158" s="15">
        <v>46070</v>
      </c>
      <c r="O158" s="14" t="s">
        <v>747</v>
      </c>
      <c r="P158" s="14" t="s">
        <v>245</v>
      </c>
      <c r="Q158" s="15">
        <v>46064</v>
      </c>
      <c r="R158" s="14" t="s">
        <v>81</v>
      </c>
      <c r="S158" s="14">
        <v>6190</v>
      </c>
      <c r="U158" s="1" t="str">
        <f>TEXT(tblTransactions[[#This Row],[Date]],"YYYY-MM")</f>
        <v>2026-02</v>
      </c>
      <c r="V158" s="14" t="s">
        <v>748</v>
      </c>
      <c r="W158" s="14" t="s">
        <v>745</v>
      </c>
      <c r="X158" s="14">
        <v>1</v>
      </c>
      <c r="Y158" s="14" t="s">
        <v>76</v>
      </c>
      <c r="Z158" s="14">
        <v>8</v>
      </c>
    </row>
    <row r="159" spans="1:26" ht="15" customHeight="1" x14ac:dyDescent="0.3">
      <c r="A159" s="14" t="s">
        <v>749</v>
      </c>
      <c r="B159" s="14" t="s">
        <v>750</v>
      </c>
      <c r="C159" s="14" t="s">
        <v>320</v>
      </c>
      <c r="D159" s="14">
        <v>27</v>
      </c>
      <c r="E159" s="14" t="s">
        <v>132</v>
      </c>
      <c r="F159" s="14">
        <v>49051</v>
      </c>
      <c r="G159" s="14" t="s">
        <v>558</v>
      </c>
      <c r="H159" s="15">
        <v>44936</v>
      </c>
      <c r="I159" s="14" t="s">
        <v>102</v>
      </c>
      <c r="J159" s="14" t="s">
        <v>77</v>
      </c>
      <c r="K159" s="14" t="s">
        <v>79</v>
      </c>
      <c r="L159" s="14" t="s">
        <v>87</v>
      </c>
      <c r="M159" s="15">
        <v>45978</v>
      </c>
      <c r="O159" s="14" t="s">
        <v>751</v>
      </c>
      <c r="P159" s="14" t="s">
        <v>251</v>
      </c>
      <c r="Q159" s="15">
        <v>45757</v>
      </c>
      <c r="R159" s="14" t="s">
        <v>117</v>
      </c>
      <c r="S159" s="14">
        <v>3040</v>
      </c>
      <c r="U159" s="1" t="str">
        <f>TEXT(tblTransactions[[#This Row],[Date]],"YYYY-MM")</f>
        <v>2025-04</v>
      </c>
      <c r="V159" s="14" t="s">
        <v>752</v>
      </c>
      <c r="W159" s="14" t="s">
        <v>749</v>
      </c>
      <c r="X159" s="14">
        <v>3</v>
      </c>
      <c r="Y159" s="14" t="s">
        <v>76</v>
      </c>
      <c r="Z159" s="14">
        <v>9</v>
      </c>
    </row>
    <row r="160" spans="1:26" ht="15" customHeight="1" x14ac:dyDescent="0.3">
      <c r="A160" s="14" t="s">
        <v>753</v>
      </c>
      <c r="B160" s="14" t="s">
        <v>754</v>
      </c>
      <c r="C160" s="14" t="s">
        <v>320</v>
      </c>
      <c r="D160" s="14">
        <v>41</v>
      </c>
      <c r="E160" s="14" t="s">
        <v>659</v>
      </c>
      <c r="F160" s="14">
        <v>33789</v>
      </c>
      <c r="G160" s="14" t="s">
        <v>226</v>
      </c>
      <c r="H160" s="15">
        <v>44961</v>
      </c>
      <c r="I160" s="14" t="s">
        <v>76</v>
      </c>
      <c r="J160" s="14" t="s">
        <v>77</v>
      </c>
      <c r="K160" s="14" t="s">
        <v>79</v>
      </c>
      <c r="L160" s="14" t="s">
        <v>78</v>
      </c>
      <c r="M160" s="15">
        <v>45883</v>
      </c>
      <c r="O160" s="14" t="s">
        <v>755</v>
      </c>
      <c r="P160" s="14" t="s">
        <v>251</v>
      </c>
      <c r="Q160" s="15">
        <v>45772</v>
      </c>
      <c r="R160" s="14" t="s">
        <v>89</v>
      </c>
      <c r="S160" s="14">
        <v>4380</v>
      </c>
      <c r="U160" s="1" t="str">
        <f>TEXT(tblTransactions[[#This Row],[Date]],"YYYY-MM")</f>
        <v>2025-04</v>
      </c>
      <c r="V160" s="14" t="s">
        <v>756</v>
      </c>
      <c r="W160" s="14" t="s">
        <v>753</v>
      </c>
      <c r="X160" s="14">
        <v>4</v>
      </c>
      <c r="Y160" s="14" t="s">
        <v>76</v>
      </c>
      <c r="Z160" s="14">
        <v>7</v>
      </c>
    </row>
    <row r="161" spans="1:26" ht="15" customHeight="1" x14ac:dyDescent="0.3">
      <c r="A161" s="14" t="s">
        <v>757</v>
      </c>
      <c r="B161" s="14" t="s">
        <v>758</v>
      </c>
      <c r="C161" s="14" t="s">
        <v>73</v>
      </c>
      <c r="D161" s="14">
        <v>32</v>
      </c>
      <c r="E161" s="14" t="s">
        <v>201</v>
      </c>
      <c r="F161" s="14">
        <v>125090</v>
      </c>
      <c r="G161" s="14" t="s">
        <v>277</v>
      </c>
      <c r="H161" s="15">
        <v>45013</v>
      </c>
      <c r="I161" s="14" t="s">
        <v>102</v>
      </c>
      <c r="J161" s="14" t="s">
        <v>95</v>
      </c>
      <c r="K161" s="14" t="s">
        <v>78</v>
      </c>
      <c r="L161" s="14" t="s">
        <v>78</v>
      </c>
      <c r="M161" s="15">
        <v>45895</v>
      </c>
      <c r="O161" s="14" t="s">
        <v>759</v>
      </c>
      <c r="P161" s="14" t="s">
        <v>251</v>
      </c>
      <c r="Q161" s="15">
        <v>45792</v>
      </c>
      <c r="R161" s="14" t="s">
        <v>122</v>
      </c>
      <c r="S161" s="14">
        <v>3650</v>
      </c>
      <c r="U161" s="1" t="str">
        <f>TEXT(tblTransactions[[#This Row],[Date]],"YYYY-MM")</f>
        <v>2025-05</v>
      </c>
      <c r="V161" s="14" t="s">
        <v>760</v>
      </c>
      <c r="W161" s="14" t="s">
        <v>757</v>
      </c>
      <c r="X161" s="14">
        <v>2</v>
      </c>
      <c r="Y161" s="14" t="s">
        <v>102</v>
      </c>
      <c r="Z161" s="14">
        <v>5</v>
      </c>
    </row>
    <row r="162" spans="1:26" ht="15" customHeight="1" x14ac:dyDescent="0.3">
      <c r="A162" s="14" t="s">
        <v>761</v>
      </c>
      <c r="B162" s="14" t="s">
        <v>762</v>
      </c>
      <c r="C162" s="14" t="s">
        <v>73</v>
      </c>
      <c r="D162" s="14">
        <v>38</v>
      </c>
      <c r="E162" s="14" t="s">
        <v>659</v>
      </c>
      <c r="F162" s="14">
        <v>69857</v>
      </c>
      <c r="G162" s="14" t="s">
        <v>196</v>
      </c>
      <c r="H162" s="15">
        <v>45601</v>
      </c>
      <c r="I162" s="14" t="s">
        <v>76</v>
      </c>
      <c r="J162" s="14" t="s">
        <v>77</v>
      </c>
      <c r="K162" s="14" t="s">
        <v>87</v>
      </c>
      <c r="L162" s="14" t="s">
        <v>78</v>
      </c>
      <c r="M162" s="15">
        <v>45784</v>
      </c>
      <c r="O162" s="14" t="s">
        <v>763</v>
      </c>
      <c r="P162" s="14" t="s">
        <v>251</v>
      </c>
      <c r="Q162" s="15">
        <v>45834</v>
      </c>
      <c r="R162" s="14" t="s">
        <v>122</v>
      </c>
      <c r="S162" s="14">
        <v>1040</v>
      </c>
      <c r="U162" s="1" t="str">
        <f>TEXT(tblTransactions[[#This Row],[Date]],"YYYY-MM")</f>
        <v>2025-06</v>
      </c>
      <c r="V162" s="14" t="s">
        <v>764</v>
      </c>
      <c r="W162" s="14" t="s">
        <v>761</v>
      </c>
      <c r="X162" s="14">
        <v>3</v>
      </c>
      <c r="Y162" s="14" t="s">
        <v>102</v>
      </c>
      <c r="Z162" s="14">
        <v>6</v>
      </c>
    </row>
    <row r="163" spans="1:26" ht="15" customHeight="1" x14ac:dyDescent="0.3">
      <c r="A163" s="14" t="s">
        <v>765</v>
      </c>
      <c r="B163" s="14" t="s">
        <v>766</v>
      </c>
      <c r="C163" s="14" t="s">
        <v>320</v>
      </c>
      <c r="D163" s="14">
        <v>50</v>
      </c>
      <c r="E163" s="14" t="s">
        <v>126</v>
      </c>
      <c r="F163" s="14">
        <v>140866</v>
      </c>
      <c r="G163" s="14" t="s">
        <v>307</v>
      </c>
      <c r="H163" s="15">
        <v>45407</v>
      </c>
      <c r="I163" s="14" t="s">
        <v>102</v>
      </c>
      <c r="J163" s="14" t="s">
        <v>95</v>
      </c>
      <c r="K163" s="14" t="s">
        <v>79</v>
      </c>
      <c r="L163" s="14" t="s">
        <v>79</v>
      </c>
      <c r="M163" s="15">
        <v>46000</v>
      </c>
      <c r="O163" s="14" t="s">
        <v>767</v>
      </c>
      <c r="P163" s="14" t="s">
        <v>255</v>
      </c>
      <c r="Q163" s="15">
        <v>45836</v>
      </c>
      <c r="R163" s="14" t="s">
        <v>135</v>
      </c>
      <c r="S163" s="14">
        <v>1530</v>
      </c>
      <c r="U163" s="1" t="str">
        <f>TEXT(tblTransactions[[#This Row],[Date]],"YYYY-MM")</f>
        <v>2025-06</v>
      </c>
      <c r="V163" s="14" t="s">
        <v>768</v>
      </c>
      <c r="W163" s="14" t="s">
        <v>765</v>
      </c>
      <c r="X163" s="14">
        <v>5</v>
      </c>
      <c r="Y163" s="14" t="s">
        <v>76</v>
      </c>
      <c r="Z163" s="14">
        <v>10</v>
      </c>
    </row>
    <row r="164" spans="1:26" ht="15" customHeight="1" x14ac:dyDescent="0.3">
      <c r="A164" s="14" t="s">
        <v>769</v>
      </c>
      <c r="B164" s="14" t="s">
        <v>726</v>
      </c>
      <c r="C164" s="14" t="s">
        <v>320</v>
      </c>
      <c r="D164" s="14">
        <v>60</v>
      </c>
      <c r="E164" s="14" t="s">
        <v>100</v>
      </c>
      <c r="F164" s="14">
        <v>24780</v>
      </c>
      <c r="G164" s="14" t="s">
        <v>94</v>
      </c>
      <c r="H164" s="15">
        <v>45484</v>
      </c>
      <c r="I164" s="14" t="s">
        <v>76</v>
      </c>
      <c r="J164" s="14" t="s">
        <v>95</v>
      </c>
      <c r="K164" s="14" t="s">
        <v>79</v>
      </c>
      <c r="L164" s="14" t="s">
        <v>78</v>
      </c>
      <c r="M164" s="15">
        <v>45837</v>
      </c>
      <c r="O164" s="14" t="s">
        <v>770</v>
      </c>
      <c r="P164" s="14" t="s">
        <v>259</v>
      </c>
      <c r="Q164" s="15">
        <v>46044</v>
      </c>
      <c r="R164" s="14" t="s">
        <v>81</v>
      </c>
      <c r="S164" s="14">
        <v>2000</v>
      </c>
      <c r="U164" s="1" t="str">
        <f>TEXT(tblTransactions[[#This Row],[Date]],"YYYY-MM")</f>
        <v>2026-01</v>
      </c>
      <c r="V164" s="14" t="s">
        <v>771</v>
      </c>
      <c r="W164" s="14" t="s">
        <v>769</v>
      </c>
      <c r="X164" s="14">
        <v>4</v>
      </c>
      <c r="Y164" s="14" t="s">
        <v>102</v>
      </c>
      <c r="Z164" s="14">
        <v>1</v>
      </c>
    </row>
    <row r="165" spans="1:26" ht="15" customHeight="1" x14ac:dyDescent="0.3">
      <c r="A165" s="14" t="s">
        <v>772</v>
      </c>
      <c r="B165" s="14" t="s">
        <v>773</v>
      </c>
      <c r="C165" s="14" t="s">
        <v>73</v>
      </c>
      <c r="D165" s="14">
        <v>59</v>
      </c>
      <c r="E165" s="14" t="s">
        <v>158</v>
      </c>
      <c r="F165" s="14">
        <v>146902</v>
      </c>
      <c r="G165" s="14" t="s">
        <v>94</v>
      </c>
      <c r="H165" s="15">
        <v>45237</v>
      </c>
      <c r="I165" s="14" t="s">
        <v>102</v>
      </c>
      <c r="J165" s="14" t="s">
        <v>95</v>
      </c>
      <c r="K165" s="14" t="s">
        <v>87</v>
      </c>
      <c r="L165" s="14" t="s">
        <v>87</v>
      </c>
      <c r="M165" s="15">
        <v>46091</v>
      </c>
      <c r="O165" s="14" t="s">
        <v>774</v>
      </c>
      <c r="P165" s="14" t="s">
        <v>259</v>
      </c>
      <c r="Q165" s="15">
        <v>46037</v>
      </c>
      <c r="R165" s="14" t="s">
        <v>89</v>
      </c>
      <c r="S165" s="14">
        <v>1040</v>
      </c>
      <c r="U165" s="1" t="str">
        <f>TEXT(tblTransactions[[#This Row],[Date]],"YYYY-MM")</f>
        <v>2026-01</v>
      </c>
      <c r="V165" s="14" t="s">
        <v>775</v>
      </c>
      <c r="W165" s="14" t="s">
        <v>772</v>
      </c>
      <c r="X165" s="14">
        <v>1</v>
      </c>
      <c r="Y165" s="14" t="s">
        <v>76</v>
      </c>
      <c r="Z165" s="14">
        <v>8</v>
      </c>
    </row>
    <row r="166" spans="1:26" ht="15" customHeight="1" x14ac:dyDescent="0.3">
      <c r="A166" s="14" t="s">
        <v>776</v>
      </c>
      <c r="B166" s="14" t="s">
        <v>777</v>
      </c>
      <c r="C166" s="14" t="s">
        <v>320</v>
      </c>
      <c r="D166" s="14">
        <v>40</v>
      </c>
      <c r="E166" s="14" t="s">
        <v>778</v>
      </c>
      <c r="F166" s="14">
        <v>27619</v>
      </c>
      <c r="G166" s="14" t="s">
        <v>277</v>
      </c>
      <c r="H166" s="15">
        <v>45628</v>
      </c>
      <c r="I166" s="14" t="s">
        <v>102</v>
      </c>
      <c r="J166" s="14" t="s">
        <v>95</v>
      </c>
      <c r="K166" s="14" t="s">
        <v>87</v>
      </c>
      <c r="L166" s="14" t="s">
        <v>78</v>
      </c>
      <c r="M166" s="15">
        <v>45954</v>
      </c>
      <c r="O166" s="14" t="s">
        <v>779</v>
      </c>
      <c r="P166" s="14" t="s">
        <v>259</v>
      </c>
      <c r="Q166" s="15">
        <v>46069</v>
      </c>
      <c r="R166" s="14" t="s">
        <v>89</v>
      </c>
      <c r="S166" s="14">
        <v>720</v>
      </c>
      <c r="U166" s="1" t="str">
        <f>TEXT(tblTransactions[[#This Row],[Date]],"YYYY-MM")</f>
        <v>2026-02</v>
      </c>
      <c r="V166" s="14" t="s">
        <v>780</v>
      </c>
      <c r="W166" s="14" t="s">
        <v>776</v>
      </c>
      <c r="X166" s="14">
        <v>1</v>
      </c>
      <c r="Y166" s="14" t="s">
        <v>76</v>
      </c>
      <c r="Z166" s="14">
        <v>3</v>
      </c>
    </row>
    <row r="167" spans="1:26" ht="15" customHeight="1" x14ac:dyDescent="0.3">
      <c r="A167" s="14" t="s">
        <v>781</v>
      </c>
      <c r="B167" s="14" t="s">
        <v>782</v>
      </c>
      <c r="C167" s="14" t="s">
        <v>320</v>
      </c>
      <c r="D167" s="14">
        <v>48</v>
      </c>
      <c r="E167" s="14" t="s">
        <v>178</v>
      </c>
      <c r="F167" s="14">
        <v>67173</v>
      </c>
      <c r="G167" s="14" t="s">
        <v>558</v>
      </c>
      <c r="H167" s="15">
        <v>45348</v>
      </c>
      <c r="I167" s="14" t="s">
        <v>102</v>
      </c>
      <c r="J167" s="14" t="s">
        <v>95</v>
      </c>
      <c r="K167" s="14" t="s">
        <v>78</v>
      </c>
      <c r="L167" s="14" t="s">
        <v>78</v>
      </c>
      <c r="M167" s="15">
        <v>45884</v>
      </c>
      <c r="O167" s="14" t="s">
        <v>783</v>
      </c>
      <c r="P167" s="14" t="s">
        <v>259</v>
      </c>
      <c r="Q167" s="15">
        <v>45825</v>
      </c>
      <c r="R167" s="14" t="s">
        <v>135</v>
      </c>
      <c r="S167" s="14">
        <v>1950</v>
      </c>
      <c r="U167" s="1" t="str">
        <f>TEXT(tblTransactions[[#This Row],[Date]],"YYYY-MM")</f>
        <v>2025-06</v>
      </c>
      <c r="V167" s="14" t="s">
        <v>784</v>
      </c>
      <c r="W167" s="14" t="s">
        <v>781</v>
      </c>
      <c r="X167" s="14">
        <v>4</v>
      </c>
      <c r="Y167" s="14" t="s">
        <v>102</v>
      </c>
      <c r="Z167" s="14">
        <v>1</v>
      </c>
    </row>
    <row r="168" spans="1:26" ht="15" customHeight="1" x14ac:dyDescent="0.3">
      <c r="A168" s="14" t="s">
        <v>785</v>
      </c>
      <c r="B168" s="14" t="s">
        <v>786</v>
      </c>
      <c r="C168" s="14" t="s">
        <v>320</v>
      </c>
      <c r="D168" s="14">
        <v>29</v>
      </c>
      <c r="E168" s="14" t="s">
        <v>201</v>
      </c>
      <c r="F168" s="14">
        <v>80730</v>
      </c>
      <c r="G168" s="14" t="s">
        <v>307</v>
      </c>
      <c r="H168" s="15">
        <v>45556</v>
      </c>
      <c r="I168" s="14" t="s">
        <v>102</v>
      </c>
      <c r="J168" s="14" t="s">
        <v>77</v>
      </c>
      <c r="K168" s="14" t="s">
        <v>79</v>
      </c>
      <c r="L168" s="14" t="s">
        <v>87</v>
      </c>
      <c r="M168" s="15">
        <v>45795</v>
      </c>
      <c r="O168" s="14" t="s">
        <v>787</v>
      </c>
      <c r="P168" s="14" t="s">
        <v>259</v>
      </c>
      <c r="Q168" s="15">
        <v>45903</v>
      </c>
      <c r="R168" s="14" t="s">
        <v>89</v>
      </c>
      <c r="S168" s="14">
        <v>6280</v>
      </c>
      <c r="U168" s="1" t="str">
        <f>TEXT(tblTransactions[[#This Row],[Date]],"YYYY-MM")</f>
        <v>2025-09</v>
      </c>
      <c r="V168" s="14" t="s">
        <v>788</v>
      </c>
      <c r="W168" s="14" t="s">
        <v>785</v>
      </c>
      <c r="X168" s="14">
        <v>4</v>
      </c>
      <c r="Y168" s="14" t="s">
        <v>76</v>
      </c>
      <c r="Z168" s="14">
        <v>3</v>
      </c>
    </row>
    <row r="169" spans="1:26" ht="15" customHeight="1" x14ac:dyDescent="0.3">
      <c r="A169" s="14" t="s">
        <v>789</v>
      </c>
      <c r="B169" s="14" t="s">
        <v>695</v>
      </c>
      <c r="C169" s="14" t="s">
        <v>73</v>
      </c>
      <c r="D169" s="14">
        <v>63</v>
      </c>
      <c r="E169" s="14" t="s">
        <v>168</v>
      </c>
      <c r="F169" s="14">
        <v>148646</v>
      </c>
      <c r="G169" s="14" t="s">
        <v>549</v>
      </c>
      <c r="H169" s="15">
        <v>44985</v>
      </c>
      <c r="I169" s="14" t="s">
        <v>102</v>
      </c>
      <c r="J169" s="14" t="s">
        <v>95</v>
      </c>
      <c r="K169" s="14" t="s">
        <v>87</v>
      </c>
      <c r="L169" s="14" t="s">
        <v>87</v>
      </c>
      <c r="M169" s="15">
        <v>45989</v>
      </c>
      <c r="O169" s="14" t="s">
        <v>790</v>
      </c>
      <c r="P169" s="14" t="s">
        <v>259</v>
      </c>
      <c r="Q169" s="15">
        <v>46050</v>
      </c>
      <c r="R169" s="14" t="s">
        <v>89</v>
      </c>
      <c r="S169" s="14">
        <v>10990</v>
      </c>
      <c r="U169" s="1" t="str">
        <f>TEXT(tblTransactions[[#This Row],[Date]],"YYYY-MM")</f>
        <v>2026-01</v>
      </c>
      <c r="V169" s="14" t="s">
        <v>791</v>
      </c>
      <c r="W169" s="14" t="s">
        <v>789</v>
      </c>
      <c r="X169" s="14">
        <v>3</v>
      </c>
      <c r="Y169" s="14" t="s">
        <v>76</v>
      </c>
      <c r="Z169" s="14">
        <v>5</v>
      </c>
    </row>
    <row r="170" spans="1:26" ht="15" customHeight="1" x14ac:dyDescent="0.3">
      <c r="A170" s="14" t="s">
        <v>792</v>
      </c>
      <c r="B170" s="14" t="s">
        <v>793</v>
      </c>
      <c r="C170" s="14" t="s">
        <v>73</v>
      </c>
      <c r="D170" s="14">
        <v>26</v>
      </c>
      <c r="E170" s="14" t="s">
        <v>100</v>
      </c>
      <c r="F170" s="14">
        <v>126774</v>
      </c>
      <c r="G170" s="14" t="s">
        <v>86</v>
      </c>
      <c r="H170" s="15">
        <v>44912</v>
      </c>
      <c r="I170" s="14" t="s">
        <v>102</v>
      </c>
      <c r="J170" s="14" t="s">
        <v>77</v>
      </c>
      <c r="K170" s="14" t="s">
        <v>87</v>
      </c>
      <c r="L170" s="14" t="s">
        <v>79</v>
      </c>
      <c r="M170" s="15">
        <v>45900</v>
      </c>
      <c r="O170" s="14" t="s">
        <v>794</v>
      </c>
      <c r="P170" s="14" t="s">
        <v>259</v>
      </c>
      <c r="Q170" s="15">
        <v>45984</v>
      </c>
      <c r="R170" s="14" t="s">
        <v>81</v>
      </c>
      <c r="S170" s="14">
        <v>6250</v>
      </c>
      <c r="U170" s="1" t="str">
        <f>TEXT(tblTransactions[[#This Row],[Date]],"YYYY-MM")</f>
        <v>2025-11</v>
      </c>
      <c r="V170" s="14" t="s">
        <v>795</v>
      </c>
      <c r="W170" s="14" t="s">
        <v>792</v>
      </c>
      <c r="X170" s="14">
        <v>1</v>
      </c>
      <c r="Y170" s="14" t="s">
        <v>102</v>
      </c>
      <c r="Z170" s="14">
        <v>5</v>
      </c>
    </row>
    <row r="171" spans="1:26" ht="15" customHeight="1" x14ac:dyDescent="0.3">
      <c r="A171" s="14" t="s">
        <v>796</v>
      </c>
      <c r="B171" s="14" t="s">
        <v>138</v>
      </c>
      <c r="C171" s="14" t="s">
        <v>73</v>
      </c>
      <c r="D171" s="14">
        <v>50</v>
      </c>
      <c r="E171" s="14" t="s">
        <v>173</v>
      </c>
      <c r="F171" s="14">
        <v>144967</v>
      </c>
      <c r="G171" s="14" t="s">
        <v>86</v>
      </c>
      <c r="H171" s="15">
        <v>45378</v>
      </c>
      <c r="I171" s="14" t="s">
        <v>102</v>
      </c>
      <c r="J171" s="14" t="s">
        <v>95</v>
      </c>
      <c r="K171" s="14" t="s">
        <v>87</v>
      </c>
      <c r="L171" s="14" t="s">
        <v>78</v>
      </c>
      <c r="M171" s="15">
        <v>46105</v>
      </c>
      <c r="O171" s="14" t="s">
        <v>797</v>
      </c>
      <c r="P171" s="14" t="s">
        <v>259</v>
      </c>
      <c r="Q171" s="15">
        <v>45767</v>
      </c>
      <c r="R171" s="14" t="s">
        <v>110</v>
      </c>
      <c r="S171" s="14">
        <v>18520</v>
      </c>
      <c r="U171" s="1" t="str">
        <f>TEXT(tblTransactions[[#This Row],[Date]],"YYYY-MM")</f>
        <v>2025-04</v>
      </c>
      <c r="V171" s="14" t="s">
        <v>798</v>
      </c>
      <c r="W171" s="14" t="s">
        <v>796</v>
      </c>
      <c r="X171" s="14">
        <v>1</v>
      </c>
      <c r="Y171" s="14" t="s">
        <v>102</v>
      </c>
      <c r="Z171" s="14">
        <v>3</v>
      </c>
    </row>
    <row r="172" spans="1:26" ht="15" customHeight="1" x14ac:dyDescent="0.3">
      <c r="A172" s="14" t="s">
        <v>799</v>
      </c>
      <c r="B172" s="14" t="s">
        <v>800</v>
      </c>
      <c r="C172" s="14" t="s">
        <v>320</v>
      </c>
      <c r="D172" s="14">
        <v>24</v>
      </c>
      <c r="E172" s="14" t="s">
        <v>74</v>
      </c>
      <c r="F172" s="14">
        <v>141987</v>
      </c>
      <c r="G172" s="14" t="s">
        <v>307</v>
      </c>
      <c r="H172" s="15">
        <v>44888</v>
      </c>
      <c r="I172" s="14" t="s">
        <v>102</v>
      </c>
      <c r="J172" s="14" t="s">
        <v>95</v>
      </c>
      <c r="K172" s="14" t="s">
        <v>79</v>
      </c>
      <c r="L172" s="14" t="s">
        <v>79</v>
      </c>
      <c r="M172" s="15">
        <v>45825</v>
      </c>
      <c r="O172" s="14" t="s">
        <v>801</v>
      </c>
      <c r="P172" s="14" t="s">
        <v>259</v>
      </c>
      <c r="Q172" s="15">
        <v>46078</v>
      </c>
      <c r="R172" s="14" t="s">
        <v>110</v>
      </c>
      <c r="S172" s="14">
        <v>7630</v>
      </c>
      <c r="U172" s="1" t="str">
        <f>TEXT(tblTransactions[[#This Row],[Date]],"YYYY-MM")</f>
        <v>2026-02</v>
      </c>
      <c r="V172" s="14" t="s">
        <v>802</v>
      </c>
      <c r="W172" s="14" t="s">
        <v>799</v>
      </c>
      <c r="X172" s="14">
        <v>1</v>
      </c>
      <c r="Y172" s="14" t="s">
        <v>102</v>
      </c>
      <c r="Z172" s="14">
        <v>5</v>
      </c>
    </row>
    <row r="173" spans="1:26" ht="15" customHeight="1" x14ac:dyDescent="0.3">
      <c r="A173" s="14" t="s">
        <v>803</v>
      </c>
      <c r="B173" s="14" t="s">
        <v>804</v>
      </c>
      <c r="C173" s="14" t="s">
        <v>320</v>
      </c>
      <c r="D173" s="14">
        <v>28</v>
      </c>
      <c r="E173" s="14" t="s">
        <v>247</v>
      </c>
      <c r="F173" s="14">
        <v>44138</v>
      </c>
      <c r="G173" s="14" t="s">
        <v>558</v>
      </c>
      <c r="H173" s="15">
        <v>45251</v>
      </c>
      <c r="I173" s="14" t="s">
        <v>76</v>
      </c>
      <c r="J173" s="14" t="s">
        <v>77</v>
      </c>
      <c r="K173" s="14" t="s">
        <v>87</v>
      </c>
      <c r="L173" s="14" t="s">
        <v>79</v>
      </c>
      <c r="M173" s="15">
        <v>45827</v>
      </c>
      <c r="O173" s="14" t="s">
        <v>805</v>
      </c>
      <c r="P173" s="14" t="s">
        <v>259</v>
      </c>
      <c r="Q173" s="15">
        <v>46062</v>
      </c>
      <c r="R173" s="14" t="s">
        <v>117</v>
      </c>
      <c r="S173" s="14">
        <v>2340</v>
      </c>
      <c r="U173" s="1" t="str">
        <f>TEXT(tblTransactions[[#This Row],[Date]],"YYYY-MM")</f>
        <v>2026-02</v>
      </c>
      <c r="V173" s="14" t="s">
        <v>806</v>
      </c>
      <c r="W173" s="14" t="s">
        <v>803</v>
      </c>
      <c r="X173" s="14">
        <v>2</v>
      </c>
      <c r="Y173" s="14" t="s">
        <v>102</v>
      </c>
      <c r="Z173" s="14">
        <v>2</v>
      </c>
    </row>
    <row r="174" spans="1:26" ht="15" customHeight="1" x14ac:dyDescent="0.3">
      <c r="A174" s="14" t="s">
        <v>807</v>
      </c>
      <c r="B174" s="14" t="s">
        <v>808</v>
      </c>
      <c r="C174" s="14" t="s">
        <v>320</v>
      </c>
      <c r="D174" s="14">
        <v>63</v>
      </c>
      <c r="E174" s="14" t="s">
        <v>85</v>
      </c>
      <c r="F174" s="14">
        <v>104131</v>
      </c>
      <c r="G174" s="14" t="s">
        <v>594</v>
      </c>
      <c r="H174" s="15">
        <v>45028</v>
      </c>
      <c r="I174" s="14" t="s">
        <v>102</v>
      </c>
      <c r="J174" s="14" t="s">
        <v>95</v>
      </c>
      <c r="K174" s="14" t="s">
        <v>79</v>
      </c>
      <c r="L174" s="14" t="s">
        <v>79</v>
      </c>
      <c r="M174" s="15">
        <v>45997</v>
      </c>
      <c r="O174" s="14" t="s">
        <v>809</v>
      </c>
      <c r="P174" s="14" t="s">
        <v>259</v>
      </c>
      <c r="Q174" s="15">
        <v>46031</v>
      </c>
      <c r="R174" s="14" t="s">
        <v>135</v>
      </c>
      <c r="S174" s="14">
        <v>2900</v>
      </c>
      <c r="U174" s="1" t="str">
        <f>TEXT(tblTransactions[[#This Row],[Date]],"YYYY-MM")</f>
        <v>2026-01</v>
      </c>
      <c r="V174" s="14" t="s">
        <v>810</v>
      </c>
      <c r="W174" s="14" t="s">
        <v>807</v>
      </c>
      <c r="X174" s="14">
        <v>1</v>
      </c>
      <c r="Y174" s="14" t="s">
        <v>76</v>
      </c>
      <c r="Z174" s="14">
        <v>4</v>
      </c>
    </row>
    <row r="175" spans="1:26" ht="15" customHeight="1" x14ac:dyDescent="0.3">
      <c r="A175" s="14" t="s">
        <v>811</v>
      </c>
      <c r="B175" s="14" t="s">
        <v>812</v>
      </c>
      <c r="C175" s="14" t="s">
        <v>320</v>
      </c>
      <c r="D175" s="14">
        <v>36</v>
      </c>
      <c r="E175" s="14" t="s">
        <v>85</v>
      </c>
      <c r="F175" s="14">
        <v>131763</v>
      </c>
      <c r="G175" s="14" t="s">
        <v>94</v>
      </c>
      <c r="H175" s="15">
        <v>44940</v>
      </c>
      <c r="I175" s="14" t="s">
        <v>76</v>
      </c>
      <c r="J175" s="14" t="s">
        <v>95</v>
      </c>
      <c r="K175" s="14" t="s">
        <v>78</v>
      </c>
      <c r="L175" s="14" t="s">
        <v>79</v>
      </c>
      <c r="M175" s="15">
        <v>45901</v>
      </c>
      <c r="O175" s="14" t="s">
        <v>813</v>
      </c>
      <c r="P175" s="14" t="s">
        <v>259</v>
      </c>
      <c r="Q175" s="15">
        <v>45769</v>
      </c>
      <c r="R175" s="14" t="s">
        <v>135</v>
      </c>
      <c r="S175" s="14">
        <v>1130</v>
      </c>
      <c r="U175" s="1" t="str">
        <f>TEXT(tblTransactions[[#This Row],[Date]],"YYYY-MM")</f>
        <v>2025-04</v>
      </c>
      <c r="V175" s="14" t="s">
        <v>814</v>
      </c>
      <c r="W175" s="14" t="s">
        <v>811</v>
      </c>
      <c r="X175" s="14">
        <v>4</v>
      </c>
      <c r="Y175" s="14" t="s">
        <v>76</v>
      </c>
      <c r="Z175" s="14">
        <v>3</v>
      </c>
    </row>
    <row r="176" spans="1:26" ht="15" customHeight="1" x14ac:dyDescent="0.3">
      <c r="A176" s="14" t="s">
        <v>815</v>
      </c>
      <c r="B176" s="14" t="s">
        <v>816</v>
      </c>
      <c r="C176" s="14" t="s">
        <v>320</v>
      </c>
      <c r="D176" s="14">
        <v>44</v>
      </c>
      <c r="E176" s="14" t="s">
        <v>93</v>
      </c>
      <c r="F176" s="14">
        <v>130901</v>
      </c>
      <c r="G176" s="14" t="s">
        <v>101</v>
      </c>
      <c r="H176" s="15">
        <v>45468</v>
      </c>
      <c r="I176" s="14" t="s">
        <v>102</v>
      </c>
      <c r="J176" s="14" t="s">
        <v>77</v>
      </c>
      <c r="K176" s="14" t="s">
        <v>78</v>
      </c>
      <c r="L176" s="14" t="s">
        <v>78</v>
      </c>
      <c r="M176" s="15">
        <v>45788</v>
      </c>
      <c r="O176" s="14" t="s">
        <v>817</v>
      </c>
      <c r="P176" s="14" t="s">
        <v>259</v>
      </c>
      <c r="Q176" s="15">
        <v>45844</v>
      </c>
      <c r="R176" s="14" t="s">
        <v>89</v>
      </c>
      <c r="S176" s="14">
        <v>7080</v>
      </c>
      <c r="U176" s="1" t="str">
        <f>TEXT(tblTransactions[[#This Row],[Date]],"YYYY-MM")</f>
        <v>2025-07</v>
      </c>
      <c r="V176" s="14" t="s">
        <v>818</v>
      </c>
      <c r="W176" s="14" t="s">
        <v>815</v>
      </c>
      <c r="X176" s="14">
        <v>5</v>
      </c>
      <c r="Y176" s="14" t="s">
        <v>76</v>
      </c>
      <c r="Z176" s="14">
        <v>9</v>
      </c>
    </row>
    <row r="177" spans="1:26" ht="15" customHeight="1" x14ac:dyDescent="0.3">
      <c r="A177" s="14" t="s">
        <v>819</v>
      </c>
      <c r="B177" s="14" t="s">
        <v>820</v>
      </c>
      <c r="C177" s="14" t="s">
        <v>320</v>
      </c>
      <c r="D177" s="14">
        <v>59</v>
      </c>
      <c r="E177" s="14" t="s">
        <v>168</v>
      </c>
      <c r="F177" s="14">
        <v>78866</v>
      </c>
      <c r="G177" s="14" t="s">
        <v>277</v>
      </c>
      <c r="H177" s="15">
        <v>45065</v>
      </c>
      <c r="I177" s="14" t="s">
        <v>102</v>
      </c>
      <c r="J177" s="14" t="s">
        <v>95</v>
      </c>
      <c r="K177" s="14" t="s">
        <v>87</v>
      </c>
      <c r="L177" s="14" t="s">
        <v>79</v>
      </c>
      <c r="M177" s="15">
        <v>45752</v>
      </c>
      <c r="O177" s="14" t="s">
        <v>821</v>
      </c>
      <c r="P177" s="14" t="s">
        <v>259</v>
      </c>
      <c r="Q177" s="15">
        <v>46057</v>
      </c>
      <c r="R177" s="14" t="s">
        <v>110</v>
      </c>
      <c r="S177" s="14">
        <v>2860</v>
      </c>
      <c r="U177" s="1" t="str">
        <f>TEXT(tblTransactions[[#This Row],[Date]],"YYYY-MM")</f>
        <v>2026-02</v>
      </c>
      <c r="V177" s="14" t="s">
        <v>822</v>
      </c>
      <c r="W177" s="14" t="s">
        <v>819</v>
      </c>
      <c r="X177" s="14">
        <v>4</v>
      </c>
      <c r="Y177" s="14" t="s">
        <v>76</v>
      </c>
      <c r="Z177" s="14">
        <v>1</v>
      </c>
    </row>
    <row r="178" spans="1:26" ht="15" customHeight="1" x14ac:dyDescent="0.3">
      <c r="A178" s="14" t="s">
        <v>823</v>
      </c>
      <c r="B178" s="14" t="s">
        <v>824</v>
      </c>
      <c r="C178" s="14" t="s">
        <v>73</v>
      </c>
      <c r="D178" s="14">
        <v>26</v>
      </c>
      <c r="E178" s="14" t="s">
        <v>247</v>
      </c>
      <c r="F178" s="14">
        <v>108587</v>
      </c>
      <c r="G178" s="14" t="s">
        <v>226</v>
      </c>
      <c r="H178" s="15">
        <v>45412</v>
      </c>
      <c r="I178" s="14" t="s">
        <v>102</v>
      </c>
      <c r="J178" s="14" t="s">
        <v>95</v>
      </c>
      <c r="K178" s="14" t="s">
        <v>87</v>
      </c>
      <c r="L178" s="14" t="s">
        <v>87</v>
      </c>
      <c r="M178" s="15">
        <v>45849</v>
      </c>
      <c r="O178" s="14" t="s">
        <v>825</v>
      </c>
      <c r="P178" s="14" t="s">
        <v>259</v>
      </c>
      <c r="Q178" s="15">
        <v>46095</v>
      </c>
      <c r="R178" s="14" t="s">
        <v>81</v>
      </c>
      <c r="S178" s="14">
        <v>4830</v>
      </c>
      <c r="U178" s="1" t="str">
        <f>TEXT(tblTransactions[[#This Row],[Date]],"YYYY-MM")</f>
        <v>2026-03</v>
      </c>
      <c r="V178" s="14" t="s">
        <v>826</v>
      </c>
      <c r="W178" s="14" t="s">
        <v>823</v>
      </c>
      <c r="X178" s="14">
        <v>3</v>
      </c>
      <c r="Y178" s="14" t="s">
        <v>76</v>
      </c>
      <c r="Z178" s="14">
        <v>7</v>
      </c>
    </row>
    <row r="179" spans="1:26" ht="15" customHeight="1" x14ac:dyDescent="0.3">
      <c r="A179" s="14" t="s">
        <v>827</v>
      </c>
      <c r="B179" s="14" t="s">
        <v>828</v>
      </c>
      <c r="C179" s="14" t="s">
        <v>320</v>
      </c>
      <c r="D179" s="14">
        <v>58</v>
      </c>
      <c r="E179" s="14" t="s">
        <v>148</v>
      </c>
      <c r="F179" s="14">
        <v>95392</v>
      </c>
      <c r="G179" s="14" t="s">
        <v>248</v>
      </c>
      <c r="H179" s="15">
        <v>44869</v>
      </c>
      <c r="I179" s="14" t="s">
        <v>102</v>
      </c>
      <c r="J179" s="14" t="s">
        <v>95</v>
      </c>
      <c r="K179" s="14" t="s">
        <v>78</v>
      </c>
      <c r="L179" s="14" t="s">
        <v>79</v>
      </c>
      <c r="M179" s="15">
        <v>46099</v>
      </c>
      <c r="O179" s="14" t="s">
        <v>829</v>
      </c>
      <c r="P179" s="14" t="s">
        <v>263</v>
      </c>
      <c r="Q179" s="15">
        <v>46006</v>
      </c>
      <c r="R179" s="14" t="s">
        <v>135</v>
      </c>
      <c r="S179" s="14">
        <v>3920</v>
      </c>
      <c r="U179" s="1" t="str">
        <f>TEXT(tblTransactions[[#This Row],[Date]],"YYYY-MM")</f>
        <v>2025-12</v>
      </c>
      <c r="V179" s="14" t="s">
        <v>830</v>
      </c>
      <c r="W179" s="14" t="s">
        <v>827</v>
      </c>
      <c r="X179" s="14">
        <v>2</v>
      </c>
      <c r="Y179" s="14" t="s">
        <v>102</v>
      </c>
      <c r="Z179" s="14">
        <v>2</v>
      </c>
    </row>
    <row r="180" spans="1:26" ht="15" customHeight="1" x14ac:dyDescent="0.3">
      <c r="A180" s="14" t="s">
        <v>831</v>
      </c>
      <c r="B180" s="14" t="s">
        <v>602</v>
      </c>
      <c r="C180" s="14" t="s">
        <v>320</v>
      </c>
      <c r="D180" s="14">
        <v>40</v>
      </c>
      <c r="E180" s="14" t="s">
        <v>132</v>
      </c>
      <c r="F180" s="14">
        <v>110358</v>
      </c>
      <c r="G180" s="14" t="s">
        <v>127</v>
      </c>
      <c r="H180" s="15">
        <v>45067</v>
      </c>
      <c r="I180" s="14" t="s">
        <v>76</v>
      </c>
      <c r="J180" s="14" t="s">
        <v>95</v>
      </c>
      <c r="K180" s="14" t="s">
        <v>79</v>
      </c>
      <c r="L180" s="14" t="s">
        <v>79</v>
      </c>
      <c r="M180" s="15">
        <v>46085</v>
      </c>
      <c r="O180" s="14" t="s">
        <v>832</v>
      </c>
      <c r="P180" s="14" t="s">
        <v>263</v>
      </c>
      <c r="Q180" s="15">
        <v>45972</v>
      </c>
      <c r="R180" s="14" t="s">
        <v>81</v>
      </c>
      <c r="S180" s="14">
        <v>3760</v>
      </c>
      <c r="U180" s="1" t="str">
        <f>TEXT(tblTransactions[[#This Row],[Date]],"YYYY-MM")</f>
        <v>2025-11</v>
      </c>
      <c r="V180" s="14" t="s">
        <v>833</v>
      </c>
      <c r="W180" s="14" t="s">
        <v>831</v>
      </c>
      <c r="X180" s="14">
        <v>2</v>
      </c>
      <c r="Y180" s="14" t="s">
        <v>102</v>
      </c>
      <c r="Z180" s="14">
        <v>2</v>
      </c>
    </row>
    <row r="181" spans="1:26" ht="15" customHeight="1" x14ac:dyDescent="0.3">
      <c r="A181" s="14" t="s">
        <v>834</v>
      </c>
      <c r="B181" s="14" t="s">
        <v>835</v>
      </c>
      <c r="C181" s="14" t="s">
        <v>73</v>
      </c>
      <c r="D181" s="14">
        <v>41</v>
      </c>
      <c r="E181" s="14" t="s">
        <v>247</v>
      </c>
      <c r="F181" s="14">
        <v>26746</v>
      </c>
      <c r="G181" s="14" t="s">
        <v>226</v>
      </c>
      <c r="H181" s="15">
        <v>45345</v>
      </c>
      <c r="I181" s="14" t="s">
        <v>76</v>
      </c>
      <c r="J181" s="14" t="s">
        <v>77</v>
      </c>
      <c r="K181" s="14" t="s">
        <v>87</v>
      </c>
      <c r="L181" s="14" t="s">
        <v>87</v>
      </c>
      <c r="M181" s="15">
        <v>45960</v>
      </c>
      <c r="O181" s="14" t="s">
        <v>836</v>
      </c>
      <c r="P181" s="14" t="s">
        <v>263</v>
      </c>
      <c r="Q181" s="15">
        <v>46016</v>
      </c>
      <c r="R181" s="14" t="s">
        <v>89</v>
      </c>
      <c r="S181" s="14">
        <v>2820</v>
      </c>
      <c r="U181" s="1" t="str">
        <f>TEXT(tblTransactions[[#This Row],[Date]],"YYYY-MM")</f>
        <v>2025-12</v>
      </c>
      <c r="V181" s="14" t="s">
        <v>837</v>
      </c>
      <c r="W181" s="14" t="s">
        <v>834</v>
      </c>
      <c r="X181" s="14">
        <v>1</v>
      </c>
      <c r="Y181" s="14" t="s">
        <v>76</v>
      </c>
      <c r="Z181" s="14">
        <v>6</v>
      </c>
    </row>
    <row r="182" spans="1:26" ht="15" customHeight="1" x14ac:dyDescent="0.3">
      <c r="A182" s="14" t="s">
        <v>838</v>
      </c>
      <c r="B182" s="14" t="s">
        <v>839</v>
      </c>
      <c r="C182" s="14" t="s">
        <v>320</v>
      </c>
      <c r="D182" s="14">
        <v>55</v>
      </c>
      <c r="E182" s="14" t="s">
        <v>107</v>
      </c>
      <c r="F182" s="14">
        <v>89441</v>
      </c>
      <c r="G182" s="14" t="s">
        <v>594</v>
      </c>
      <c r="H182" s="15">
        <v>45550</v>
      </c>
      <c r="I182" s="14" t="s">
        <v>102</v>
      </c>
      <c r="J182" s="14" t="s">
        <v>95</v>
      </c>
      <c r="K182" s="14" t="s">
        <v>87</v>
      </c>
      <c r="L182" s="14" t="s">
        <v>79</v>
      </c>
      <c r="M182" s="15">
        <v>45921</v>
      </c>
      <c r="O182" s="14" t="s">
        <v>840</v>
      </c>
      <c r="P182" s="14" t="s">
        <v>263</v>
      </c>
      <c r="Q182" s="15">
        <v>45892</v>
      </c>
      <c r="R182" s="14" t="s">
        <v>81</v>
      </c>
      <c r="S182" s="14">
        <v>4210</v>
      </c>
      <c r="U182" s="1" t="str">
        <f>TEXT(tblTransactions[[#This Row],[Date]],"YYYY-MM")</f>
        <v>2025-08</v>
      </c>
      <c r="V182" s="14" t="s">
        <v>841</v>
      </c>
      <c r="W182" s="14" t="s">
        <v>838</v>
      </c>
      <c r="X182" s="14">
        <v>3</v>
      </c>
      <c r="Y182" s="14" t="s">
        <v>102</v>
      </c>
      <c r="Z182" s="14">
        <v>3</v>
      </c>
    </row>
    <row r="183" spans="1:26" ht="15" customHeight="1" x14ac:dyDescent="0.3">
      <c r="A183" s="14" t="s">
        <v>842</v>
      </c>
      <c r="B183" s="14" t="s">
        <v>843</v>
      </c>
      <c r="C183" s="14" t="s">
        <v>73</v>
      </c>
      <c r="D183" s="14">
        <v>65</v>
      </c>
      <c r="E183" s="14" t="s">
        <v>143</v>
      </c>
      <c r="F183" s="14">
        <v>113885</v>
      </c>
      <c r="G183" s="14" t="s">
        <v>94</v>
      </c>
      <c r="H183" s="15">
        <v>44909</v>
      </c>
      <c r="I183" s="14" t="s">
        <v>102</v>
      </c>
      <c r="J183" s="14" t="s">
        <v>77</v>
      </c>
      <c r="K183" s="14" t="s">
        <v>87</v>
      </c>
      <c r="L183" s="14" t="s">
        <v>79</v>
      </c>
      <c r="M183" s="15">
        <v>45811</v>
      </c>
      <c r="O183" s="14" t="s">
        <v>844</v>
      </c>
      <c r="P183" s="14" t="s">
        <v>263</v>
      </c>
      <c r="Q183" s="15">
        <v>45957</v>
      </c>
      <c r="R183" s="14" t="s">
        <v>110</v>
      </c>
      <c r="S183" s="14">
        <v>5410</v>
      </c>
      <c r="U183" s="1" t="str">
        <f>TEXT(tblTransactions[[#This Row],[Date]],"YYYY-MM")</f>
        <v>2025-10</v>
      </c>
      <c r="V183" s="14" t="s">
        <v>845</v>
      </c>
      <c r="W183" s="14" t="s">
        <v>842</v>
      </c>
      <c r="X183" s="14">
        <v>4</v>
      </c>
      <c r="Y183" s="14" t="s">
        <v>76</v>
      </c>
      <c r="Z183" s="14">
        <v>3</v>
      </c>
    </row>
    <row r="184" spans="1:26" ht="15" customHeight="1" x14ac:dyDescent="0.3">
      <c r="A184" s="14" t="s">
        <v>846</v>
      </c>
      <c r="B184" s="14" t="s">
        <v>847</v>
      </c>
      <c r="C184" s="14" t="s">
        <v>320</v>
      </c>
      <c r="D184" s="14">
        <v>62</v>
      </c>
      <c r="E184" s="14" t="s">
        <v>93</v>
      </c>
      <c r="F184" s="14">
        <v>46402</v>
      </c>
      <c r="G184" s="14" t="s">
        <v>630</v>
      </c>
      <c r="H184" s="15">
        <v>45479</v>
      </c>
      <c r="I184" s="14" t="s">
        <v>102</v>
      </c>
      <c r="J184" s="14" t="s">
        <v>77</v>
      </c>
      <c r="K184" s="14" t="s">
        <v>79</v>
      </c>
      <c r="L184" s="14" t="s">
        <v>79</v>
      </c>
      <c r="M184" s="15">
        <v>45915</v>
      </c>
      <c r="O184" s="14" t="s">
        <v>848</v>
      </c>
      <c r="P184" s="14" t="s">
        <v>263</v>
      </c>
      <c r="Q184" s="15">
        <v>45919</v>
      </c>
      <c r="R184" s="14" t="s">
        <v>110</v>
      </c>
      <c r="S184" s="14">
        <v>1370</v>
      </c>
      <c r="U184" s="1" t="str">
        <f>TEXT(tblTransactions[[#This Row],[Date]],"YYYY-MM")</f>
        <v>2025-09</v>
      </c>
      <c r="V184" s="14" t="s">
        <v>849</v>
      </c>
      <c r="W184" s="14" t="s">
        <v>846</v>
      </c>
      <c r="X184" s="14">
        <v>1</v>
      </c>
      <c r="Y184" s="14" t="s">
        <v>76</v>
      </c>
      <c r="Z184" s="14">
        <v>10</v>
      </c>
    </row>
    <row r="185" spans="1:26" ht="15" customHeight="1" x14ac:dyDescent="0.3">
      <c r="A185" s="14" t="s">
        <v>850</v>
      </c>
      <c r="B185" s="14" t="s">
        <v>851</v>
      </c>
      <c r="C185" s="14" t="s">
        <v>320</v>
      </c>
      <c r="D185" s="14">
        <v>41</v>
      </c>
      <c r="E185" s="14" t="s">
        <v>158</v>
      </c>
      <c r="F185" s="14">
        <v>48585</v>
      </c>
      <c r="G185" s="14" t="s">
        <v>101</v>
      </c>
      <c r="H185" s="15">
        <v>45672</v>
      </c>
      <c r="I185" s="14" t="s">
        <v>76</v>
      </c>
      <c r="J185" s="14" t="s">
        <v>95</v>
      </c>
      <c r="K185" s="14" t="s">
        <v>87</v>
      </c>
      <c r="L185" s="14" t="s">
        <v>78</v>
      </c>
      <c r="M185" s="15">
        <v>45797</v>
      </c>
      <c r="O185" s="14" t="s">
        <v>852</v>
      </c>
      <c r="P185" s="14" t="s">
        <v>263</v>
      </c>
      <c r="Q185" s="15">
        <v>46033</v>
      </c>
      <c r="R185" s="14" t="s">
        <v>81</v>
      </c>
      <c r="S185" s="14">
        <v>2750</v>
      </c>
      <c r="U185" s="1" t="str">
        <f>TEXT(tblTransactions[[#This Row],[Date]],"YYYY-MM")</f>
        <v>2026-01</v>
      </c>
      <c r="V185" s="14" t="s">
        <v>853</v>
      </c>
      <c r="W185" s="14" t="s">
        <v>850</v>
      </c>
      <c r="X185" s="14">
        <v>2</v>
      </c>
      <c r="Y185" s="14" t="s">
        <v>102</v>
      </c>
      <c r="Z185" s="14">
        <v>6</v>
      </c>
    </row>
    <row r="186" spans="1:26" ht="15" customHeight="1" x14ac:dyDescent="0.3">
      <c r="A186" s="14" t="s">
        <v>854</v>
      </c>
      <c r="B186" s="14" t="s">
        <v>855</v>
      </c>
      <c r="C186" s="14" t="s">
        <v>320</v>
      </c>
      <c r="D186" s="14">
        <v>64</v>
      </c>
      <c r="E186" s="14" t="s">
        <v>173</v>
      </c>
      <c r="F186" s="14">
        <v>127871</v>
      </c>
      <c r="G186" s="14" t="s">
        <v>226</v>
      </c>
      <c r="H186" s="15">
        <v>44958</v>
      </c>
      <c r="I186" s="14" t="s">
        <v>76</v>
      </c>
      <c r="J186" s="14" t="s">
        <v>95</v>
      </c>
      <c r="K186" s="14" t="s">
        <v>79</v>
      </c>
      <c r="L186" s="14" t="s">
        <v>78</v>
      </c>
      <c r="M186" s="15">
        <v>45998</v>
      </c>
      <c r="O186" s="14" t="s">
        <v>856</v>
      </c>
      <c r="P186" s="14" t="s">
        <v>267</v>
      </c>
      <c r="Q186" s="15">
        <v>45824</v>
      </c>
      <c r="R186" s="14" t="s">
        <v>89</v>
      </c>
      <c r="S186" s="14">
        <v>11030</v>
      </c>
      <c r="U186" s="1" t="str">
        <f>TEXT(tblTransactions[[#This Row],[Date]],"YYYY-MM")</f>
        <v>2025-06</v>
      </c>
      <c r="V186" s="14" t="s">
        <v>857</v>
      </c>
      <c r="W186" s="14" t="s">
        <v>854</v>
      </c>
      <c r="X186" s="14">
        <v>2</v>
      </c>
      <c r="Y186" s="14" t="s">
        <v>76</v>
      </c>
      <c r="Z186" s="14">
        <v>7</v>
      </c>
    </row>
    <row r="187" spans="1:26" ht="15" customHeight="1" x14ac:dyDescent="0.3">
      <c r="A187" s="14" t="s">
        <v>858</v>
      </c>
      <c r="B187" s="14" t="s">
        <v>859</v>
      </c>
      <c r="C187" s="14" t="s">
        <v>320</v>
      </c>
      <c r="D187" s="14">
        <v>35</v>
      </c>
      <c r="E187" s="14" t="s">
        <v>247</v>
      </c>
      <c r="F187" s="14">
        <v>134574</v>
      </c>
      <c r="G187" s="14" t="s">
        <v>127</v>
      </c>
      <c r="H187" s="15">
        <v>45347</v>
      </c>
      <c r="I187" s="14" t="s">
        <v>76</v>
      </c>
      <c r="J187" s="14" t="s">
        <v>95</v>
      </c>
      <c r="K187" s="14" t="s">
        <v>79</v>
      </c>
      <c r="L187" s="14" t="s">
        <v>79</v>
      </c>
      <c r="M187" s="15">
        <v>45931</v>
      </c>
      <c r="O187" s="14" t="s">
        <v>860</v>
      </c>
      <c r="P187" s="14" t="s">
        <v>267</v>
      </c>
      <c r="Q187" s="15">
        <v>45789</v>
      </c>
      <c r="R187" s="14" t="s">
        <v>89</v>
      </c>
      <c r="S187" s="14">
        <v>3070</v>
      </c>
      <c r="U187" s="1" t="str">
        <f>TEXT(tblTransactions[[#This Row],[Date]],"YYYY-MM")</f>
        <v>2025-05</v>
      </c>
      <c r="V187" s="14" t="s">
        <v>861</v>
      </c>
      <c r="W187" s="14" t="s">
        <v>858</v>
      </c>
      <c r="X187" s="14">
        <v>5</v>
      </c>
      <c r="Y187" s="14" t="s">
        <v>102</v>
      </c>
      <c r="Z187" s="14">
        <v>4</v>
      </c>
    </row>
    <row r="188" spans="1:26" ht="15" customHeight="1" x14ac:dyDescent="0.3">
      <c r="A188" s="14" t="s">
        <v>862</v>
      </c>
      <c r="B188" s="14" t="s">
        <v>534</v>
      </c>
      <c r="C188" s="14" t="s">
        <v>320</v>
      </c>
      <c r="D188" s="14">
        <v>27</v>
      </c>
      <c r="E188" s="14" t="s">
        <v>195</v>
      </c>
      <c r="F188" s="14">
        <v>23598</v>
      </c>
      <c r="G188" s="14" t="s">
        <v>248</v>
      </c>
      <c r="H188" s="15">
        <v>44913</v>
      </c>
      <c r="I188" s="14" t="s">
        <v>102</v>
      </c>
      <c r="J188" s="14" t="s">
        <v>77</v>
      </c>
      <c r="K188" s="14" t="s">
        <v>78</v>
      </c>
      <c r="L188" s="14" t="s">
        <v>79</v>
      </c>
      <c r="M188" s="15">
        <v>45853</v>
      </c>
      <c r="O188" s="14" t="s">
        <v>863</v>
      </c>
      <c r="P188" s="14" t="s">
        <v>267</v>
      </c>
      <c r="Q188" s="15">
        <v>45906</v>
      </c>
      <c r="R188" s="14" t="s">
        <v>135</v>
      </c>
      <c r="S188" s="14">
        <v>3610</v>
      </c>
      <c r="U188" s="1" t="str">
        <f>TEXT(tblTransactions[[#This Row],[Date]],"YYYY-MM")</f>
        <v>2025-09</v>
      </c>
      <c r="V188" s="14" t="s">
        <v>864</v>
      </c>
      <c r="W188" s="14" t="s">
        <v>862</v>
      </c>
      <c r="X188" s="14">
        <v>1</v>
      </c>
      <c r="Y188" s="14" t="s">
        <v>76</v>
      </c>
      <c r="Z188" s="14">
        <v>3</v>
      </c>
    </row>
    <row r="189" spans="1:26" ht="15" customHeight="1" x14ac:dyDescent="0.3">
      <c r="A189" s="14" t="s">
        <v>865</v>
      </c>
      <c r="B189" s="14" t="s">
        <v>866</v>
      </c>
      <c r="C189" s="14" t="s">
        <v>73</v>
      </c>
      <c r="D189" s="14">
        <v>36</v>
      </c>
      <c r="E189" s="14" t="s">
        <v>74</v>
      </c>
      <c r="F189" s="14">
        <v>56680</v>
      </c>
      <c r="G189" s="14" t="s">
        <v>115</v>
      </c>
      <c r="H189" s="15">
        <v>45108</v>
      </c>
      <c r="I189" s="14" t="s">
        <v>76</v>
      </c>
      <c r="J189" s="14" t="s">
        <v>95</v>
      </c>
      <c r="K189" s="14" t="s">
        <v>78</v>
      </c>
      <c r="L189" s="14" t="s">
        <v>78</v>
      </c>
      <c r="M189" s="15">
        <v>46024</v>
      </c>
      <c r="O189" s="14" t="s">
        <v>867</v>
      </c>
      <c r="P189" s="14" t="s">
        <v>267</v>
      </c>
      <c r="Q189" s="15">
        <v>46100</v>
      </c>
      <c r="R189" s="14" t="s">
        <v>117</v>
      </c>
      <c r="S189" s="14">
        <v>3490</v>
      </c>
      <c r="U189" s="1" t="str">
        <f>TEXT(tblTransactions[[#This Row],[Date]],"YYYY-MM")</f>
        <v>2026-03</v>
      </c>
      <c r="V189" s="14" t="s">
        <v>868</v>
      </c>
      <c r="W189" s="14" t="s">
        <v>865</v>
      </c>
      <c r="X189" s="14">
        <v>1</v>
      </c>
      <c r="Y189" s="14" t="s">
        <v>102</v>
      </c>
      <c r="Z189" s="14">
        <v>6</v>
      </c>
    </row>
    <row r="190" spans="1:26" ht="15" customHeight="1" x14ac:dyDescent="0.3">
      <c r="A190" s="14" t="s">
        <v>869</v>
      </c>
      <c r="B190" s="14" t="s">
        <v>762</v>
      </c>
      <c r="C190" s="14" t="s">
        <v>73</v>
      </c>
      <c r="D190" s="14">
        <v>30</v>
      </c>
      <c r="E190" s="14" t="s">
        <v>201</v>
      </c>
      <c r="F190" s="14">
        <v>111911</v>
      </c>
      <c r="G190" s="14" t="s">
        <v>115</v>
      </c>
      <c r="H190" s="15">
        <v>44911</v>
      </c>
      <c r="I190" s="14" t="s">
        <v>76</v>
      </c>
      <c r="J190" s="14" t="s">
        <v>95</v>
      </c>
      <c r="K190" s="14" t="s">
        <v>78</v>
      </c>
      <c r="L190" s="14" t="s">
        <v>78</v>
      </c>
      <c r="M190" s="15">
        <v>45883</v>
      </c>
      <c r="O190" s="14" t="s">
        <v>870</v>
      </c>
      <c r="P190" s="14" t="s">
        <v>271</v>
      </c>
      <c r="Q190" s="15">
        <v>45916</v>
      </c>
      <c r="R190" s="14" t="s">
        <v>122</v>
      </c>
      <c r="S190" s="14">
        <v>2110</v>
      </c>
      <c r="U190" s="1" t="str">
        <f>TEXT(tblTransactions[[#This Row],[Date]],"YYYY-MM")</f>
        <v>2025-09</v>
      </c>
      <c r="V190" s="14" t="s">
        <v>871</v>
      </c>
      <c r="W190" s="14" t="s">
        <v>869</v>
      </c>
      <c r="X190" s="14">
        <v>4</v>
      </c>
      <c r="Y190" s="14" t="s">
        <v>102</v>
      </c>
      <c r="Z190" s="14">
        <v>3</v>
      </c>
    </row>
    <row r="191" spans="1:26" ht="15" customHeight="1" x14ac:dyDescent="0.3">
      <c r="A191" s="14" t="s">
        <v>872</v>
      </c>
      <c r="B191" s="14" t="s">
        <v>873</v>
      </c>
      <c r="C191" s="14" t="s">
        <v>73</v>
      </c>
      <c r="D191" s="14">
        <v>52</v>
      </c>
      <c r="E191" s="14" t="s">
        <v>247</v>
      </c>
      <c r="F191" s="14">
        <v>112906</v>
      </c>
      <c r="G191" s="14" t="s">
        <v>558</v>
      </c>
      <c r="H191" s="15">
        <v>45111</v>
      </c>
      <c r="I191" s="14" t="s">
        <v>76</v>
      </c>
      <c r="J191" s="14" t="s">
        <v>95</v>
      </c>
      <c r="K191" s="14" t="s">
        <v>79</v>
      </c>
      <c r="L191" s="14" t="s">
        <v>78</v>
      </c>
      <c r="M191" s="15">
        <v>46062</v>
      </c>
      <c r="O191" s="14" t="s">
        <v>874</v>
      </c>
      <c r="P191" s="14" t="s">
        <v>271</v>
      </c>
      <c r="Q191" s="15">
        <v>46017</v>
      </c>
      <c r="R191" s="14" t="s">
        <v>117</v>
      </c>
      <c r="S191" s="14">
        <v>12140</v>
      </c>
      <c r="U191" s="1" t="str">
        <f>TEXT(tblTransactions[[#This Row],[Date]],"YYYY-MM")</f>
        <v>2025-12</v>
      </c>
      <c r="V191" s="14" t="s">
        <v>875</v>
      </c>
      <c r="W191" s="14" t="s">
        <v>872</v>
      </c>
      <c r="X191" s="14">
        <v>2</v>
      </c>
      <c r="Y191" s="14" t="s">
        <v>102</v>
      </c>
      <c r="Z191" s="14">
        <v>2</v>
      </c>
    </row>
    <row r="192" spans="1:26" ht="15" customHeight="1" x14ac:dyDescent="0.3">
      <c r="A192" s="14" t="s">
        <v>876</v>
      </c>
      <c r="B192" s="14" t="s">
        <v>877</v>
      </c>
      <c r="C192" s="14" t="s">
        <v>320</v>
      </c>
      <c r="D192" s="14">
        <v>51</v>
      </c>
      <c r="E192" s="14" t="s">
        <v>201</v>
      </c>
      <c r="F192" s="14">
        <v>33945</v>
      </c>
      <c r="G192" s="14" t="s">
        <v>277</v>
      </c>
      <c r="H192" s="15">
        <v>44851</v>
      </c>
      <c r="I192" s="14" t="s">
        <v>102</v>
      </c>
      <c r="J192" s="14" t="s">
        <v>95</v>
      </c>
      <c r="K192" s="14" t="s">
        <v>79</v>
      </c>
      <c r="L192" s="14" t="s">
        <v>78</v>
      </c>
      <c r="M192" s="15">
        <v>45999</v>
      </c>
      <c r="O192" s="14" t="s">
        <v>878</v>
      </c>
      <c r="P192" s="14" t="s">
        <v>271</v>
      </c>
      <c r="Q192" s="15">
        <v>46071</v>
      </c>
      <c r="R192" s="14" t="s">
        <v>89</v>
      </c>
      <c r="S192" s="14">
        <v>8710</v>
      </c>
      <c r="U192" s="1" t="str">
        <f>TEXT(tblTransactions[[#This Row],[Date]],"YYYY-MM")</f>
        <v>2026-02</v>
      </c>
      <c r="V192" s="14" t="s">
        <v>879</v>
      </c>
      <c r="W192" s="14" t="s">
        <v>876</v>
      </c>
      <c r="X192" s="14">
        <v>2</v>
      </c>
      <c r="Y192" s="14" t="s">
        <v>102</v>
      </c>
      <c r="Z192" s="14">
        <v>1</v>
      </c>
    </row>
    <row r="193" spans="1:26" ht="15" customHeight="1" x14ac:dyDescent="0.3">
      <c r="A193" s="14" t="s">
        <v>880</v>
      </c>
      <c r="B193" s="14" t="s">
        <v>726</v>
      </c>
      <c r="C193" s="14" t="s">
        <v>320</v>
      </c>
      <c r="D193" s="14">
        <v>60</v>
      </c>
      <c r="E193" s="14" t="s">
        <v>168</v>
      </c>
      <c r="F193" s="14">
        <v>35218</v>
      </c>
      <c r="G193" s="14" t="s">
        <v>101</v>
      </c>
      <c r="H193" s="15">
        <v>45437</v>
      </c>
      <c r="I193" s="14" t="s">
        <v>102</v>
      </c>
      <c r="J193" s="14" t="s">
        <v>95</v>
      </c>
      <c r="K193" s="14" t="s">
        <v>79</v>
      </c>
      <c r="L193" s="14" t="s">
        <v>79</v>
      </c>
      <c r="M193" s="15">
        <v>45898</v>
      </c>
      <c r="O193" s="14" t="s">
        <v>881</v>
      </c>
      <c r="P193" s="14" t="s">
        <v>275</v>
      </c>
      <c r="Q193" s="15">
        <v>46050</v>
      </c>
      <c r="R193" s="14" t="s">
        <v>122</v>
      </c>
      <c r="S193" s="14">
        <v>2140</v>
      </c>
      <c r="U193" s="1" t="str">
        <f>TEXT(tblTransactions[[#This Row],[Date]],"YYYY-MM")</f>
        <v>2026-01</v>
      </c>
      <c r="V193" s="14" t="s">
        <v>882</v>
      </c>
      <c r="W193" s="14" t="s">
        <v>880</v>
      </c>
      <c r="X193" s="14">
        <v>3</v>
      </c>
      <c r="Y193" s="14" t="s">
        <v>76</v>
      </c>
      <c r="Z193" s="14">
        <v>9</v>
      </c>
    </row>
    <row r="194" spans="1:26" ht="15" customHeight="1" x14ac:dyDescent="0.3">
      <c r="A194" s="14" t="s">
        <v>883</v>
      </c>
      <c r="B194" s="14" t="s">
        <v>884</v>
      </c>
      <c r="C194" s="14" t="s">
        <v>73</v>
      </c>
      <c r="D194" s="14">
        <v>63</v>
      </c>
      <c r="E194" s="14" t="s">
        <v>173</v>
      </c>
      <c r="F194" s="14">
        <v>74367</v>
      </c>
      <c r="G194" s="14" t="s">
        <v>196</v>
      </c>
      <c r="H194" s="15">
        <v>45256</v>
      </c>
      <c r="I194" s="14" t="s">
        <v>76</v>
      </c>
      <c r="J194" s="14" t="s">
        <v>95</v>
      </c>
      <c r="K194" s="14" t="s">
        <v>87</v>
      </c>
      <c r="L194" s="14" t="s">
        <v>87</v>
      </c>
      <c r="M194" s="15">
        <v>45952</v>
      </c>
      <c r="O194" s="14" t="s">
        <v>885</v>
      </c>
      <c r="P194" s="14" t="s">
        <v>280</v>
      </c>
      <c r="Q194" s="15">
        <v>45899</v>
      </c>
      <c r="R194" s="14" t="s">
        <v>110</v>
      </c>
      <c r="S194" s="14">
        <v>14120</v>
      </c>
      <c r="U194" s="1" t="str">
        <f>TEXT(tblTransactions[[#This Row],[Date]],"YYYY-MM")</f>
        <v>2025-08</v>
      </c>
      <c r="V194" s="14" t="s">
        <v>886</v>
      </c>
      <c r="W194" s="14" t="s">
        <v>883</v>
      </c>
      <c r="X194" s="14">
        <v>5</v>
      </c>
      <c r="Y194" s="14" t="s">
        <v>76</v>
      </c>
      <c r="Z194" s="14">
        <v>7</v>
      </c>
    </row>
    <row r="195" spans="1:26" ht="15" customHeight="1" x14ac:dyDescent="0.3">
      <c r="A195" s="14" t="s">
        <v>887</v>
      </c>
      <c r="B195" s="14" t="s">
        <v>888</v>
      </c>
      <c r="C195" s="14" t="s">
        <v>320</v>
      </c>
      <c r="D195" s="14">
        <v>45</v>
      </c>
      <c r="E195" s="14" t="s">
        <v>168</v>
      </c>
      <c r="F195" s="14">
        <v>142326</v>
      </c>
      <c r="G195" s="14" t="s">
        <v>94</v>
      </c>
      <c r="H195" s="15">
        <v>45625</v>
      </c>
      <c r="I195" s="14" t="s">
        <v>76</v>
      </c>
      <c r="J195" s="14" t="s">
        <v>77</v>
      </c>
      <c r="K195" s="14" t="s">
        <v>87</v>
      </c>
      <c r="L195" s="14" t="s">
        <v>78</v>
      </c>
      <c r="M195" s="15">
        <v>45938</v>
      </c>
      <c r="O195" s="14" t="s">
        <v>889</v>
      </c>
      <c r="P195" s="14" t="s">
        <v>284</v>
      </c>
      <c r="Q195" s="15">
        <v>46090</v>
      </c>
      <c r="R195" s="14" t="s">
        <v>117</v>
      </c>
      <c r="S195" s="14">
        <v>9100</v>
      </c>
      <c r="U195" s="1" t="str">
        <f>TEXT(tblTransactions[[#This Row],[Date]],"YYYY-MM")</f>
        <v>2026-03</v>
      </c>
      <c r="V195" s="14" t="s">
        <v>890</v>
      </c>
      <c r="W195" s="14" t="s">
        <v>887</v>
      </c>
      <c r="X195" s="14">
        <v>3</v>
      </c>
      <c r="Y195" s="14" t="s">
        <v>76</v>
      </c>
      <c r="Z195" s="14">
        <v>4</v>
      </c>
    </row>
    <row r="196" spans="1:26" ht="15" customHeight="1" x14ac:dyDescent="0.3">
      <c r="A196" s="14" t="s">
        <v>891</v>
      </c>
      <c r="B196" s="14" t="s">
        <v>336</v>
      </c>
      <c r="C196" s="14" t="s">
        <v>320</v>
      </c>
      <c r="D196" s="14">
        <v>64</v>
      </c>
      <c r="E196" s="14" t="s">
        <v>126</v>
      </c>
      <c r="F196" s="14">
        <v>125691</v>
      </c>
      <c r="G196" s="14" t="s">
        <v>86</v>
      </c>
      <c r="H196" s="15">
        <v>45037</v>
      </c>
      <c r="I196" s="14" t="s">
        <v>102</v>
      </c>
      <c r="J196" s="14" t="s">
        <v>77</v>
      </c>
      <c r="K196" s="14" t="s">
        <v>87</v>
      </c>
      <c r="L196" s="14" t="s">
        <v>79</v>
      </c>
      <c r="M196" s="15">
        <v>45907</v>
      </c>
      <c r="O196" s="14" t="s">
        <v>892</v>
      </c>
      <c r="P196" s="14" t="s">
        <v>288</v>
      </c>
      <c r="Q196" s="15">
        <v>45836</v>
      </c>
      <c r="R196" s="14" t="s">
        <v>117</v>
      </c>
      <c r="S196" s="14">
        <v>5340</v>
      </c>
      <c r="U196" s="1" t="str">
        <f>TEXT(tblTransactions[[#This Row],[Date]],"YYYY-MM")</f>
        <v>2025-06</v>
      </c>
      <c r="V196" s="14" t="s">
        <v>893</v>
      </c>
      <c r="W196" s="14" t="s">
        <v>891</v>
      </c>
      <c r="X196" s="14">
        <v>4</v>
      </c>
      <c r="Y196" s="14" t="s">
        <v>102</v>
      </c>
      <c r="Z196" s="14">
        <v>2</v>
      </c>
    </row>
    <row r="197" spans="1:26" ht="15" customHeight="1" x14ac:dyDescent="0.3">
      <c r="A197" s="14" t="s">
        <v>894</v>
      </c>
      <c r="B197" s="14" t="s">
        <v>895</v>
      </c>
      <c r="C197" s="14" t="s">
        <v>320</v>
      </c>
      <c r="D197" s="14">
        <v>36</v>
      </c>
      <c r="E197" s="14" t="s">
        <v>126</v>
      </c>
      <c r="F197" s="14">
        <v>109780</v>
      </c>
      <c r="G197" s="14" t="s">
        <v>594</v>
      </c>
      <c r="H197" s="15">
        <v>45149</v>
      </c>
      <c r="I197" s="14" t="s">
        <v>102</v>
      </c>
      <c r="J197" s="14" t="s">
        <v>77</v>
      </c>
      <c r="K197" s="14" t="s">
        <v>87</v>
      </c>
      <c r="L197" s="14" t="s">
        <v>79</v>
      </c>
      <c r="M197" s="15">
        <v>45863</v>
      </c>
      <c r="O197" s="14" t="s">
        <v>896</v>
      </c>
      <c r="P197" s="14" t="s">
        <v>288</v>
      </c>
      <c r="Q197" s="15">
        <v>45769</v>
      </c>
      <c r="R197" s="14" t="s">
        <v>89</v>
      </c>
      <c r="S197" s="14">
        <v>4310</v>
      </c>
      <c r="U197" s="1" t="str">
        <f>TEXT(tblTransactions[[#This Row],[Date]],"YYYY-MM")</f>
        <v>2025-04</v>
      </c>
      <c r="V197" s="14" t="s">
        <v>897</v>
      </c>
      <c r="W197" s="14" t="s">
        <v>894</v>
      </c>
      <c r="X197" s="14">
        <v>2</v>
      </c>
      <c r="Y197" s="14" t="s">
        <v>102</v>
      </c>
      <c r="Z197" s="14">
        <v>10</v>
      </c>
    </row>
    <row r="198" spans="1:26" ht="15" customHeight="1" x14ac:dyDescent="0.3">
      <c r="A198" s="14" t="s">
        <v>898</v>
      </c>
      <c r="B198" s="14" t="s">
        <v>899</v>
      </c>
      <c r="C198" s="14" t="s">
        <v>73</v>
      </c>
      <c r="D198" s="14">
        <v>60</v>
      </c>
      <c r="E198" s="14" t="s">
        <v>100</v>
      </c>
      <c r="F198" s="14">
        <v>25589</v>
      </c>
      <c r="G198" s="14" t="s">
        <v>101</v>
      </c>
      <c r="H198" s="15">
        <v>45439</v>
      </c>
      <c r="I198" s="14" t="s">
        <v>102</v>
      </c>
      <c r="J198" s="14" t="s">
        <v>95</v>
      </c>
      <c r="K198" s="14" t="s">
        <v>87</v>
      </c>
      <c r="L198" s="14" t="s">
        <v>78</v>
      </c>
      <c r="M198" s="15">
        <v>45840</v>
      </c>
      <c r="O198" s="14" t="s">
        <v>900</v>
      </c>
      <c r="P198" s="14" t="s">
        <v>288</v>
      </c>
      <c r="Q198" s="15">
        <v>45840</v>
      </c>
      <c r="R198" s="14" t="s">
        <v>135</v>
      </c>
      <c r="S198" s="14">
        <v>3560</v>
      </c>
      <c r="U198" s="1" t="str">
        <f>TEXT(tblTransactions[[#This Row],[Date]],"YYYY-MM")</f>
        <v>2025-07</v>
      </c>
      <c r="V198" s="14" t="s">
        <v>901</v>
      </c>
      <c r="W198" s="14" t="s">
        <v>898</v>
      </c>
      <c r="X198" s="14">
        <v>1</v>
      </c>
      <c r="Y198" s="14" t="s">
        <v>76</v>
      </c>
      <c r="Z198" s="14">
        <v>6</v>
      </c>
    </row>
    <row r="199" spans="1:26" ht="15" customHeight="1" x14ac:dyDescent="0.3">
      <c r="A199" s="14" t="s">
        <v>902</v>
      </c>
      <c r="B199" s="14" t="s">
        <v>903</v>
      </c>
      <c r="C199" s="14" t="s">
        <v>73</v>
      </c>
      <c r="D199" s="14">
        <v>62</v>
      </c>
      <c r="E199" s="14" t="s">
        <v>201</v>
      </c>
      <c r="F199" s="14">
        <v>42053</v>
      </c>
      <c r="G199" s="14" t="s">
        <v>307</v>
      </c>
      <c r="H199" s="15">
        <v>45175</v>
      </c>
      <c r="I199" s="14" t="s">
        <v>76</v>
      </c>
      <c r="J199" s="14" t="s">
        <v>95</v>
      </c>
      <c r="K199" s="14" t="s">
        <v>87</v>
      </c>
      <c r="L199" s="14" t="s">
        <v>87</v>
      </c>
      <c r="M199" s="15">
        <v>45922</v>
      </c>
      <c r="O199" s="14" t="s">
        <v>904</v>
      </c>
      <c r="P199" s="14" t="s">
        <v>292</v>
      </c>
      <c r="Q199" s="15">
        <v>45867</v>
      </c>
      <c r="R199" s="14" t="s">
        <v>81</v>
      </c>
      <c r="S199" s="14">
        <v>2300</v>
      </c>
      <c r="U199" s="1" t="str">
        <f>TEXT(tblTransactions[[#This Row],[Date]],"YYYY-MM")</f>
        <v>2025-07</v>
      </c>
      <c r="V199" s="14" t="s">
        <v>905</v>
      </c>
      <c r="W199" s="14" t="s">
        <v>902</v>
      </c>
      <c r="X199" s="14">
        <v>3</v>
      </c>
      <c r="Y199" s="14" t="s">
        <v>76</v>
      </c>
      <c r="Z199" s="14">
        <v>7</v>
      </c>
    </row>
    <row r="200" spans="1:26" ht="15" customHeight="1" x14ac:dyDescent="0.3">
      <c r="A200" s="14" t="s">
        <v>906</v>
      </c>
      <c r="B200" s="14" t="s">
        <v>907</v>
      </c>
      <c r="C200" s="14" t="s">
        <v>73</v>
      </c>
      <c r="D200" s="14">
        <v>25</v>
      </c>
      <c r="E200" s="14" t="s">
        <v>168</v>
      </c>
      <c r="F200" s="14">
        <v>59264</v>
      </c>
      <c r="G200" s="14" t="s">
        <v>115</v>
      </c>
      <c r="H200" s="15">
        <v>45086</v>
      </c>
      <c r="I200" s="14" t="s">
        <v>76</v>
      </c>
      <c r="J200" s="14" t="s">
        <v>77</v>
      </c>
      <c r="K200" s="14" t="s">
        <v>87</v>
      </c>
      <c r="L200" s="14" t="s">
        <v>87</v>
      </c>
      <c r="M200" s="15">
        <v>46086</v>
      </c>
      <c r="O200" s="14" t="s">
        <v>908</v>
      </c>
      <c r="P200" s="14" t="s">
        <v>292</v>
      </c>
      <c r="Q200" s="15">
        <v>45847</v>
      </c>
      <c r="R200" s="14" t="s">
        <v>89</v>
      </c>
      <c r="S200" s="14">
        <v>3890</v>
      </c>
      <c r="U200" s="1" t="str">
        <f>TEXT(tblTransactions[[#This Row],[Date]],"YYYY-MM")</f>
        <v>2025-07</v>
      </c>
      <c r="V200" s="14" t="s">
        <v>909</v>
      </c>
      <c r="W200" s="14" t="s">
        <v>906</v>
      </c>
      <c r="X200" s="14">
        <v>5</v>
      </c>
      <c r="Y200" s="14" t="s">
        <v>102</v>
      </c>
      <c r="Z200" s="14">
        <v>6</v>
      </c>
    </row>
    <row r="201" spans="1:26" ht="15" customHeight="1" x14ac:dyDescent="0.3">
      <c r="A201" s="14" t="s">
        <v>910</v>
      </c>
      <c r="B201" s="14" t="s">
        <v>911</v>
      </c>
      <c r="C201" s="14" t="s">
        <v>73</v>
      </c>
      <c r="D201" s="14">
        <v>54</v>
      </c>
      <c r="E201" s="14" t="s">
        <v>126</v>
      </c>
      <c r="F201" s="14">
        <v>108484</v>
      </c>
      <c r="G201" s="14" t="s">
        <v>196</v>
      </c>
      <c r="H201" s="15">
        <v>45605</v>
      </c>
      <c r="I201" s="14" t="s">
        <v>102</v>
      </c>
      <c r="J201" s="14" t="s">
        <v>95</v>
      </c>
      <c r="K201" s="14" t="s">
        <v>79</v>
      </c>
      <c r="L201" s="14" t="s">
        <v>79</v>
      </c>
      <c r="M201" s="15">
        <v>45905</v>
      </c>
      <c r="O201" s="14" t="s">
        <v>912</v>
      </c>
      <c r="P201" s="14" t="s">
        <v>292</v>
      </c>
      <c r="Q201" s="15">
        <v>46040</v>
      </c>
      <c r="R201" s="14" t="s">
        <v>89</v>
      </c>
      <c r="S201" s="14">
        <v>10920</v>
      </c>
      <c r="U201" s="1" t="str">
        <f>TEXT(tblTransactions[[#This Row],[Date]],"YYYY-MM")</f>
        <v>2026-01</v>
      </c>
      <c r="V201" s="14" t="s">
        <v>913</v>
      </c>
      <c r="W201" s="14" t="s">
        <v>910</v>
      </c>
      <c r="X201" s="14">
        <v>5</v>
      </c>
      <c r="Y201" s="14" t="s">
        <v>76</v>
      </c>
      <c r="Z201" s="14">
        <v>8</v>
      </c>
    </row>
    <row r="202" spans="1:26" ht="15" customHeight="1" x14ac:dyDescent="0.3">
      <c r="A202" s="14" t="s">
        <v>914</v>
      </c>
      <c r="B202" s="14" t="s">
        <v>915</v>
      </c>
      <c r="C202" s="14" t="s">
        <v>73</v>
      </c>
      <c r="D202" s="14">
        <v>35</v>
      </c>
      <c r="E202" s="14" t="s">
        <v>148</v>
      </c>
      <c r="F202" s="14">
        <v>73373</v>
      </c>
      <c r="G202" s="14" t="s">
        <v>115</v>
      </c>
      <c r="H202" s="15">
        <v>45578</v>
      </c>
      <c r="I202" s="14" t="s">
        <v>102</v>
      </c>
      <c r="J202" s="14" t="s">
        <v>95</v>
      </c>
      <c r="K202" s="14" t="s">
        <v>87</v>
      </c>
      <c r="L202" s="14" t="s">
        <v>78</v>
      </c>
      <c r="M202" s="15">
        <v>45751</v>
      </c>
      <c r="O202" s="14" t="s">
        <v>916</v>
      </c>
      <c r="P202" s="14" t="s">
        <v>292</v>
      </c>
      <c r="Q202" s="15">
        <v>45943</v>
      </c>
      <c r="R202" s="14" t="s">
        <v>117</v>
      </c>
      <c r="S202" s="14">
        <v>4130</v>
      </c>
      <c r="U202" s="1" t="str">
        <f>TEXT(tblTransactions[[#This Row],[Date]],"YYYY-MM")</f>
        <v>2025-10</v>
      </c>
      <c r="V202" s="14" t="s">
        <v>917</v>
      </c>
      <c r="W202" s="14" t="s">
        <v>914</v>
      </c>
      <c r="X202" s="14">
        <v>1</v>
      </c>
      <c r="Y202" s="14" t="s">
        <v>76</v>
      </c>
      <c r="Z202" s="14">
        <v>10</v>
      </c>
    </row>
    <row r="203" spans="1:26" ht="15" customHeight="1" x14ac:dyDescent="0.3">
      <c r="O203" s="14" t="s">
        <v>918</v>
      </c>
      <c r="P203" s="14" t="s">
        <v>292</v>
      </c>
      <c r="Q203" s="15">
        <v>46018</v>
      </c>
      <c r="R203" s="14" t="s">
        <v>122</v>
      </c>
      <c r="S203" s="14">
        <v>2970</v>
      </c>
      <c r="U203" s="1" t="str">
        <f>TEXT(tblTransactions[[#This Row],[Date]],"YYYY-MM")</f>
        <v>2025-12</v>
      </c>
      <c r="Z203" s="1"/>
    </row>
    <row r="204" spans="1:26" ht="15" customHeight="1" x14ac:dyDescent="0.3">
      <c r="O204" s="14" t="s">
        <v>919</v>
      </c>
      <c r="P204" s="14" t="s">
        <v>292</v>
      </c>
      <c r="Q204" s="15">
        <v>46057</v>
      </c>
      <c r="R204" s="14" t="s">
        <v>122</v>
      </c>
      <c r="S204" s="14">
        <v>5680</v>
      </c>
      <c r="U204" s="1" t="str">
        <f>TEXT(tblTransactions[[#This Row],[Date]],"YYYY-MM")</f>
        <v>2026-02</v>
      </c>
      <c r="Z204" s="1"/>
    </row>
    <row r="205" spans="1:26" ht="15" customHeight="1" x14ac:dyDescent="0.3">
      <c r="O205" s="14" t="s">
        <v>920</v>
      </c>
      <c r="P205" s="14" t="s">
        <v>292</v>
      </c>
      <c r="Q205" s="15">
        <v>45876</v>
      </c>
      <c r="R205" s="14" t="s">
        <v>89</v>
      </c>
      <c r="S205" s="14">
        <v>10710</v>
      </c>
      <c r="U205" s="1" t="str">
        <f>TEXT(tblTransactions[[#This Row],[Date]],"YYYY-MM")</f>
        <v>2025-08</v>
      </c>
      <c r="Z205" s="1"/>
    </row>
    <row r="206" spans="1:26" ht="15" customHeight="1" x14ac:dyDescent="0.3">
      <c r="O206" s="14" t="s">
        <v>921</v>
      </c>
      <c r="P206" s="14" t="s">
        <v>292</v>
      </c>
      <c r="Q206" s="15">
        <v>46031</v>
      </c>
      <c r="R206" s="14" t="s">
        <v>110</v>
      </c>
      <c r="S206" s="14">
        <v>6040</v>
      </c>
      <c r="U206" s="1" t="str">
        <f>TEXT(tblTransactions[[#This Row],[Date]],"YYYY-MM")</f>
        <v>2026-01</v>
      </c>
      <c r="Z206" s="1"/>
    </row>
    <row r="207" spans="1:26" ht="15" customHeight="1" x14ac:dyDescent="0.3">
      <c r="O207" s="14" t="s">
        <v>922</v>
      </c>
      <c r="P207" s="14" t="s">
        <v>292</v>
      </c>
      <c r="Q207" s="15">
        <v>46080</v>
      </c>
      <c r="R207" s="14" t="s">
        <v>110</v>
      </c>
      <c r="S207" s="14">
        <v>3570</v>
      </c>
      <c r="U207" s="1" t="str">
        <f>TEXT(tblTransactions[[#This Row],[Date]],"YYYY-MM")</f>
        <v>2026-02</v>
      </c>
      <c r="Z207" s="1"/>
    </row>
    <row r="208" spans="1:26" ht="15" customHeight="1" x14ac:dyDescent="0.3">
      <c r="O208" s="14" t="s">
        <v>923</v>
      </c>
      <c r="P208" s="14" t="s">
        <v>297</v>
      </c>
      <c r="Q208" s="15">
        <v>45823</v>
      </c>
      <c r="R208" s="14" t="s">
        <v>81</v>
      </c>
      <c r="S208" s="14">
        <v>1770</v>
      </c>
      <c r="U208" s="1" t="str">
        <f>TEXT(tblTransactions[[#This Row],[Date]],"YYYY-MM")</f>
        <v>2025-06</v>
      </c>
      <c r="Z208" s="1"/>
    </row>
    <row r="209" spans="15:26" ht="15" customHeight="1" x14ac:dyDescent="0.3">
      <c r="O209" s="14" t="s">
        <v>924</v>
      </c>
      <c r="P209" s="14" t="s">
        <v>297</v>
      </c>
      <c r="Q209" s="15">
        <v>45794</v>
      </c>
      <c r="R209" s="14" t="s">
        <v>81</v>
      </c>
      <c r="S209" s="14">
        <v>7680</v>
      </c>
      <c r="U209" s="1" t="str">
        <f>TEXT(tblTransactions[[#This Row],[Date]],"YYYY-MM")</f>
        <v>2025-05</v>
      </c>
      <c r="Z209" s="1"/>
    </row>
    <row r="210" spans="15:26" ht="15" customHeight="1" x14ac:dyDescent="0.3">
      <c r="O210" s="14" t="s">
        <v>925</v>
      </c>
      <c r="P210" s="14" t="s">
        <v>297</v>
      </c>
      <c r="Q210" s="15">
        <v>45926</v>
      </c>
      <c r="R210" s="14" t="s">
        <v>110</v>
      </c>
      <c r="S210" s="14">
        <v>3730</v>
      </c>
      <c r="U210" s="1" t="str">
        <f>TEXT(tblTransactions[[#This Row],[Date]],"YYYY-MM")</f>
        <v>2025-09</v>
      </c>
      <c r="Z210" s="1"/>
    </row>
    <row r="211" spans="15:26" ht="15" customHeight="1" x14ac:dyDescent="0.3">
      <c r="O211" s="14" t="s">
        <v>926</v>
      </c>
      <c r="P211" s="14" t="s">
        <v>297</v>
      </c>
      <c r="Q211" s="15">
        <v>45960</v>
      </c>
      <c r="R211" s="14" t="s">
        <v>122</v>
      </c>
      <c r="S211" s="14">
        <v>10980</v>
      </c>
      <c r="U211" s="1" t="str">
        <f>TEXT(tblTransactions[[#This Row],[Date]],"YYYY-MM")</f>
        <v>2025-10</v>
      </c>
      <c r="Z211" s="1"/>
    </row>
    <row r="212" spans="15:26" ht="15" customHeight="1" x14ac:dyDescent="0.3">
      <c r="O212" s="14" t="s">
        <v>927</v>
      </c>
      <c r="P212" s="14" t="s">
        <v>297</v>
      </c>
      <c r="Q212" s="15">
        <v>45945</v>
      </c>
      <c r="R212" s="14" t="s">
        <v>110</v>
      </c>
      <c r="S212" s="14">
        <v>6140</v>
      </c>
      <c r="U212" s="1" t="str">
        <f>TEXT(tblTransactions[[#This Row],[Date]],"YYYY-MM")</f>
        <v>2025-10</v>
      </c>
      <c r="Z212" s="1"/>
    </row>
    <row r="213" spans="15:26" ht="15" customHeight="1" x14ac:dyDescent="0.3">
      <c r="O213" s="14" t="s">
        <v>928</v>
      </c>
      <c r="P213" s="14" t="s">
        <v>297</v>
      </c>
      <c r="Q213" s="15">
        <v>45939</v>
      </c>
      <c r="R213" s="14" t="s">
        <v>110</v>
      </c>
      <c r="S213" s="14">
        <v>5030</v>
      </c>
      <c r="U213" s="1" t="str">
        <f>TEXT(tblTransactions[[#This Row],[Date]],"YYYY-MM")</f>
        <v>2025-10</v>
      </c>
      <c r="Z213" s="1"/>
    </row>
    <row r="214" spans="15:26" ht="15" customHeight="1" x14ac:dyDescent="0.3">
      <c r="O214" s="14" t="s">
        <v>929</v>
      </c>
      <c r="P214" s="14" t="s">
        <v>297</v>
      </c>
      <c r="Q214" s="15">
        <v>45919</v>
      </c>
      <c r="R214" s="14" t="s">
        <v>122</v>
      </c>
      <c r="S214" s="14">
        <v>8990</v>
      </c>
      <c r="U214" s="1" t="str">
        <f>TEXT(tblTransactions[[#This Row],[Date]],"YYYY-MM")</f>
        <v>2025-09</v>
      </c>
      <c r="Z214" s="1"/>
    </row>
    <row r="215" spans="15:26" ht="15" customHeight="1" x14ac:dyDescent="0.3">
      <c r="O215" s="14" t="s">
        <v>930</v>
      </c>
      <c r="P215" s="14" t="s">
        <v>297</v>
      </c>
      <c r="Q215" s="15">
        <v>45818</v>
      </c>
      <c r="R215" s="14" t="s">
        <v>81</v>
      </c>
      <c r="S215" s="14">
        <v>25000</v>
      </c>
      <c r="U215" s="1" t="str">
        <f>TEXT(tblTransactions[[#This Row],[Date]],"YYYY-MM")</f>
        <v>2025-06</v>
      </c>
      <c r="Z215" s="1"/>
    </row>
    <row r="216" spans="15:26" ht="15" customHeight="1" x14ac:dyDescent="0.3">
      <c r="O216" s="14" t="s">
        <v>931</v>
      </c>
      <c r="P216" s="14" t="s">
        <v>297</v>
      </c>
      <c r="Q216" s="15">
        <v>45819</v>
      </c>
      <c r="R216" s="14" t="s">
        <v>135</v>
      </c>
      <c r="S216" s="14">
        <v>6890</v>
      </c>
      <c r="U216" s="1" t="str">
        <f>TEXT(tblTransactions[[#This Row],[Date]],"YYYY-MM")</f>
        <v>2025-06</v>
      </c>
      <c r="Z216" s="1"/>
    </row>
    <row r="217" spans="15:26" ht="15" customHeight="1" x14ac:dyDescent="0.3">
      <c r="O217" s="14" t="s">
        <v>932</v>
      </c>
      <c r="P217" s="14" t="s">
        <v>297</v>
      </c>
      <c r="Q217" s="15">
        <v>46010</v>
      </c>
      <c r="R217" s="14" t="s">
        <v>110</v>
      </c>
      <c r="S217" s="14">
        <v>1520</v>
      </c>
      <c r="U217" s="1" t="str">
        <f>TEXT(tblTransactions[[#This Row],[Date]],"YYYY-MM")</f>
        <v>2025-12</v>
      </c>
      <c r="Z217" s="1"/>
    </row>
    <row r="218" spans="15:26" ht="15" customHeight="1" x14ac:dyDescent="0.3">
      <c r="O218" s="14" t="s">
        <v>933</v>
      </c>
      <c r="P218" s="14" t="s">
        <v>301</v>
      </c>
      <c r="Q218" s="15">
        <v>45824</v>
      </c>
      <c r="R218" s="14" t="s">
        <v>117</v>
      </c>
      <c r="S218" s="14">
        <v>5570</v>
      </c>
      <c r="U218" s="1" t="str">
        <f>TEXT(tblTransactions[[#This Row],[Date]],"YYYY-MM")</f>
        <v>2025-06</v>
      </c>
      <c r="Z218" s="1"/>
    </row>
    <row r="219" spans="15:26" ht="15" customHeight="1" x14ac:dyDescent="0.3">
      <c r="O219" s="14" t="s">
        <v>934</v>
      </c>
      <c r="P219" s="14" t="s">
        <v>305</v>
      </c>
      <c r="Q219" s="15">
        <v>45869</v>
      </c>
      <c r="R219" s="14" t="s">
        <v>81</v>
      </c>
      <c r="S219" s="14">
        <v>4160</v>
      </c>
      <c r="U219" s="1" t="str">
        <f>TEXT(tblTransactions[[#This Row],[Date]],"YYYY-MM")</f>
        <v>2025-07</v>
      </c>
      <c r="Z219" s="1"/>
    </row>
    <row r="220" spans="15:26" ht="15" customHeight="1" x14ac:dyDescent="0.3">
      <c r="O220" s="14" t="s">
        <v>935</v>
      </c>
      <c r="P220" s="14" t="s">
        <v>305</v>
      </c>
      <c r="Q220" s="15">
        <v>45982</v>
      </c>
      <c r="R220" s="14" t="s">
        <v>110</v>
      </c>
      <c r="S220" s="14">
        <v>5710</v>
      </c>
      <c r="U220" s="1" t="str">
        <f>TEXT(tblTransactions[[#This Row],[Date]],"YYYY-MM")</f>
        <v>2025-11</v>
      </c>
      <c r="Z220" s="1"/>
    </row>
    <row r="221" spans="15:26" ht="15" customHeight="1" x14ac:dyDescent="0.3">
      <c r="O221" s="14" t="s">
        <v>936</v>
      </c>
      <c r="P221" s="14" t="s">
        <v>305</v>
      </c>
      <c r="Q221" s="15">
        <v>45804</v>
      </c>
      <c r="R221" s="14" t="s">
        <v>117</v>
      </c>
      <c r="S221" s="14">
        <v>7330</v>
      </c>
      <c r="U221" s="1" t="str">
        <f>TEXT(tblTransactions[[#This Row],[Date]],"YYYY-MM")</f>
        <v>2025-05</v>
      </c>
      <c r="Z221" s="1"/>
    </row>
    <row r="222" spans="15:26" ht="15" customHeight="1" x14ac:dyDescent="0.3">
      <c r="O222" s="14" t="s">
        <v>937</v>
      </c>
      <c r="P222" s="14" t="s">
        <v>305</v>
      </c>
      <c r="Q222" s="15">
        <v>45756</v>
      </c>
      <c r="R222" s="14" t="s">
        <v>135</v>
      </c>
      <c r="S222" s="14">
        <v>2010</v>
      </c>
      <c r="U222" s="1" t="str">
        <f>TEXT(tblTransactions[[#This Row],[Date]],"YYYY-MM")</f>
        <v>2025-04</v>
      </c>
      <c r="Z222" s="1"/>
    </row>
    <row r="223" spans="15:26" ht="15" customHeight="1" x14ac:dyDescent="0.3">
      <c r="O223" s="14" t="s">
        <v>938</v>
      </c>
      <c r="P223" s="14" t="s">
        <v>305</v>
      </c>
      <c r="Q223" s="15">
        <v>46011</v>
      </c>
      <c r="R223" s="14" t="s">
        <v>89</v>
      </c>
      <c r="S223" s="14">
        <v>1450</v>
      </c>
      <c r="U223" s="1" t="str">
        <f>TEXT(tblTransactions[[#This Row],[Date]],"YYYY-MM")</f>
        <v>2025-12</v>
      </c>
      <c r="Z223" s="1"/>
    </row>
    <row r="224" spans="15:26" ht="15" customHeight="1" x14ac:dyDescent="0.3">
      <c r="O224" s="14" t="s">
        <v>939</v>
      </c>
      <c r="P224" s="14" t="s">
        <v>305</v>
      </c>
      <c r="Q224" s="15">
        <v>45967</v>
      </c>
      <c r="R224" s="14" t="s">
        <v>110</v>
      </c>
      <c r="S224" s="14">
        <v>2520</v>
      </c>
      <c r="U224" s="1" t="str">
        <f>TEXT(tblTransactions[[#This Row],[Date]],"YYYY-MM")</f>
        <v>2025-11</v>
      </c>
      <c r="Z224" s="1"/>
    </row>
    <row r="225" spans="15:26" ht="15" customHeight="1" x14ac:dyDescent="0.3">
      <c r="O225" s="14" t="s">
        <v>940</v>
      </c>
      <c r="P225" s="14" t="s">
        <v>305</v>
      </c>
      <c r="Q225" s="15">
        <v>46059</v>
      </c>
      <c r="R225" s="14" t="s">
        <v>81</v>
      </c>
      <c r="S225" s="14">
        <v>2880</v>
      </c>
      <c r="U225" s="1" t="str">
        <f>TEXT(tblTransactions[[#This Row],[Date]],"YYYY-MM")</f>
        <v>2026-02</v>
      </c>
      <c r="Z225" s="1"/>
    </row>
    <row r="226" spans="15:26" ht="15" customHeight="1" x14ac:dyDescent="0.3">
      <c r="O226" s="14" t="s">
        <v>941</v>
      </c>
      <c r="P226" s="14" t="s">
        <v>310</v>
      </c>
      <c r="Q226" s="15">
        <v>45765</v>
      </c>
      <c r="R226" s="14" t="s">
        <v>117</v>
      </c>
      <c r="S226" s="14">
        <v>3040</v>
      </c>
      <c r="U226" s="1" t="str">
        <f>TEXT(tblTransactions[[#This Row],[Date]],"YYYY-MM")</f>
        <v>2025-04</v>
      </c>
      <c r="Z226" s="1"/>
    </row>
    <row r="227" spans="15:26" ht="15" customHeight="1" x14ac:dyDescent="0.3">
      <c r="O227" s="14" t="s">
        <v>942</v>
      </c>
      <c r="P227" s="14" t="s">
        <v>310</v>
      </c>
      <c r="Q227" s="15">
        <v>45887</v>
      </c>
      <c r="R227" s="14" t="s">
        <v>117</v>
      </c>
      <c r="S227" s="14">
        <v>500</v>
      </c>
      <c r="U227" s="1" t="str">
        <f>TEXT(tblTransactions[[#This Row],[Date]],"YYYY-MM")</f>
        <v>2025-08</v>
      </c>
      <c r="Z227" s="1"/>
    </row>
    <row r="228" spans="15:26" ht="15" customHeight="1" x14ac:dyDescent="0.3">
      <c r="O228" s="14" t="s">
        <v>943</v>
      </c>
      <c r="P228" s="14" t="s">
        <v>310</v>
      </c>
      <c r="Q228" s="15">
        <v>45932</v>
      </c>
      <c r="R228" s="14" t="s">
        <v>110</v>
      </c>
      <c r="S228" s="14">
        <v>4030</v>
      </c>
      <c r="U228" s="1" t="str">
        <f>TEXT(tblTransactions[[#This Row],[Date]],"YYYY-MM")</f>
        <v>2025-10</v>
      </c>
      <c r="Z228" s="1"/>
    </row>
    <row r="229" spans="15:26" ht="15" customHeight="1" x14ac:dyDescent="0.3">
      <c r="O229" s="14" t="s">
        <v>944</v>
      </c>
      <c r="P229" s="14" t="s">
        <v>314</v>
      </c>
      <c r="Q229" s="15">
        <v>45843</v>
      </c>
      <c r="R229" s="14" t="s">
        <v>110</v>
      </c>
      <c r="S229" s="14">
        <v>4490</v>
      </c>
      <c r="U229" s="1" t="str">
        <f>TEXT(tblTransactions[[#This Row],[Date]],"YYYY-MM")</f>
        <v>2025-07</v>
      </c>
      <c r="Z229" s="1"/>
    </row>
    <row r="230" spans="15:26" ht="15" customHeight="1" x14ac:dyDescent="0.3">
      <c r="O230" s="14" t="s">
        <v>945</v>
      </c>
      <c r="P230" s="14" t="s">
        <v>314</v>
      </c>
      <c r="Q230" s="15">
        <v>45836</v>
      </c>
      <c r="R230" s="14" t="s">
        <v>122</v>
      </c>
      <c r="S230" s="14">
        <v>5200</v>
      </c>
      <c r="U230" s="1" t="str">
        <f>TEXT(tblTransactions[[#This Row],[Date]],"YYYY-MM")</f>
        <v>2025-06</v>
      </c>
      <c r="Z230" s="1"/>
    </row>
    <row r="231" spans="15:26" ht="15" customHeight="1" x14ac:dyDescent="0.3">
      <c r="O231" s="14" t="s">
        <v>946</v>
      </c>
      <c r="P231" s="14" t="s">
        <v>314</v>
      </c>
      <c r="Q231" s="15">
        <v>45935</v>
      </c>
      <c r="R231" s="14" t="s">
        <v>117</v>
      </c>
      <c r="S231" s="14">
        <v>3660</v>
      </c>
      <c r="U231" s="1" t="str">
        <f>TEXT(tblTransactions[[#This Row],[Date]],"YYYY-MM")</f>
        <v>2025-10</v>
      </c>
      <c r="Z231" s="1"/>
    </row>
    <row r="232" spans="15:26" ht="15" customHeight="1" x14ac:dyDescent="0.3">
      <c r="O232" s="14" t="s">
        <v>947</v>
      </c>
      <c r="P232" s="14" t="s">
        <v>314</v>
      </c>
      <c r="Q232" s="15">
        <v>45936</v>
      </c>
      <c r="R232" s="14" t="s">
        <v>89</v>
      </c>
      <c r="S232" s="14">
        <v>3290</v>
      </c>
      <c r="U232" s="1" t="str">
        <f>TEXT(tblTransactions[[#This Row],[Date]],"YYYY-MM")</f>
        <v>2025-10</v>
      </c>
      <c r="Z232" s="1"/>
    </row>
    <row r="233" spans="15:26" ht="15" customHeight="1" x14ac:dyDescent="0.3">
      <c r="O233" s="14" t="s">
        <v>948</v>
      </c>
      <c r="P233" s="14" t="s">
        <v>314</v>
      </c>
      <c r="Q233" s="15">
        <v>45946</v>
      </c>
      <c r="R233" s="14" t="s">
        <v>89</v>
      </c>
      <c r="S233" s="14">
        <v>7410</v>
      </c>
      <c r="U233" s="1" t="str">
        <f>TEXT(tblTransactions[[#This Row],[Date]],"YYYY-MM")</f>
        <v>2025-10</v>
      </c>
      <c r="Z233" s="1"/>
    </row>
    <row r="234" spans="15:26" ht="15" customHeight="1" x14ac:dyDescent="0.3">
      <c r="O234" s="14" t="s">
        <v>949</v>
      </c>
      <c r="P234" s="14" t="s">
        <v>318</v>
      </c>
      <c r="Q234" s="15">
        <v>46071</v>
      </c>
      <c r="R234" s="14" t="s">
        <v>122</v>
      </c>
      <c r="S234" s="14">
        <v>7830</v>
      </c>
      <c r="U234" s="1" t="str">
        <f>TEXT(tblTransactions[[#This Row],[Date]],"YYYY-MM")</f>
        <v>2026-02</v>
      </c>
      <c r="Z234" s="1"/>
    </row>
    <row r="235" spans="15:26" ht="15" customHeight="1" x14ac:dyDescent="0.3">
      <c r="O235" s="14" t="s">
        <v>950</v>
      </c>
      <c r="P235" s="14" t="s">
        <v>318</v>
      </c>
      <c r="Q235" s="15">
        <v>45817</v>
      </c>
      <c r="R235" s="14" t="s">
        <v>81</v>
      </c>
      <c r="S235" s="14">
        <v>16130</v>
      </c>
      <c r="U235" s="1" t="str">
        <f>TEXT(tblTransactions[[#This Row],[Date]],"YYYY-MM")</f>
        <v>2025-06</v>
      </c>
      <c r="Z235" s="1"/>
    </row>
    <row r="236" spans="15:26" ht="15" customHeight="1" x14ac:dyDescent="0.3">
      <c r="O236" s="14" t="s">
        <v>951</v>
      </c>
      <c r="P236" s="14" t="s">
        <v>318</v>
      </c>
      <c r="Q236" s="15">
        <v>45766</v>
      </c>
      <c r="R236" s="14" t="s">
        <v>89</v>
      </c>
      <c r="S236" s="14">
        <v>7680</v>
      </c>
      <c r="U236" s="1" t="str">
        <f>TEXT(tblTransactions[[#This Row],[Date]],"YYYY-MM")</f>
        <v>2025-04</v>
      </c>
      <c r="Z236" s="1"/>
    </row>
    <row r="237" spans="15:26" ht="15" customHeight="1" x14ac:dyDescent="0.3">
      <c r="O237" s="14" t="s">
        <v>952</v>
      </c>
      <c r="P237" s="14" t="s">
        <v>318</v>
      </c>
      <c r="Q237" s="15">
        <v>45851</v>
      </c>
      <c r="R237" s="14" t="s">
        <v>110</v>
      </c>
      <c r="S237" s="14">
        <v>7520</v>
      </c>
      <c r="U237" s="1" t="str">
        <f>TEXT(tblTransactions[[#This Row],[Date]],"YYYY-MM")</f>
        <v>2025-07</v>
      </c>
      <c r="Z237" s="1"/>
    </row>
    <row r="238" spans="15:26" ht="15" customHeight="1" x14ac:dyDescent="0.3">
      <c r="O238" s="14" t="s">
        <v>953</v>
      </c>
      <c r="P238" s="14" t="s">
        <v>318</v>
      </c>
      <c r="Q238" s="15">
        <v>45909</v>
      </c>
      <c r="R238" s="14" t="s">
        <v>89</v>
      </c>
      <c r="S238" s="14">
        <v>5200</v>
      </c>
      <c r="U238" s="1" t="str">
        <f>TEXT(tblTransactions[[#This Row],[Date]],"YYYY-MM")</f>
        <v>2025-09</v>
      </c>
      <c r="Z238" s="1"/>
    </row>
    <row r="239" spans="15:26" ht="15" customHeight="1" x14ac:dyDescent="0.3">
      <c r="O239" s="14" t="s">
        <v>954</v>
      </c>
      <c r="P239" s="14" t="s">
        <v>318</v>
      </c>
      <c r="Q239" s="15">
        <v>46011</v>
      </c>
      <c r="R239" s="14" t="s">
        <v>81</v>
      </c>
      <c r="S239" s="14">
        <v>1380</v>
      </c>
      <c r="U239" s="1" t="str">
        <f>TEXT(tblTransactions[[#This Row],[Date]],"YYYY-MM")</f>
        <v>2025-12</v>
      </c>
      <c r="Z239" s="1"/>
    </row>
    <row r="240" spans="15:26" ht="15" customHeight="1" x14ac:dyDescent="0.3">
      <c r="O240" s="14" t="s">
        <v>955</v>
      </c>
      <c r="P240" s="14" t="s">
        <v>318</v>
      </c>
      <c r="Q240" s="15">
        <v>45877</v>
      </c>
      <c r="R240" s="14" t="s">
        <v>110</v>
      </c>
      <c r="S240" s="14">
        <v>10820</v>
      </c>
      <c r="U240" s="1" t="str">
        <f>TEXT(tblTransactions[[#This Row],[Date]],"YYYY-MM")</f>
        <v>2025-08</v>
      </c>
      <c r="Z240" s="1"/>
    </row>
    <row r="241" spans="15:26" ht="15" customHeight="1" x14ac:dyDescent="0.3">
      <c r="O241" s="14" t="s">
        <v>956</v>
      </c>
      <c r="P241" s="14" t="s">
        <v>318</v>
      </c>
      <c r="Q241" s="15">
        <v>46079</v>
      </c>
      <c r="R241" s="14" t="s">
        <v>110</v>
      </c>
      <c r="S241" s="14">
        <v>5910</v>
      </c>
      <c r="U241" s="1" t="str">
        <f>TEXT(tblTransactions[[#This Row],[Date]],"YYYY-MM")</f>
        <v>2026-02</v>
      </c>
      <c r="Z241" s="1"/>
    </row>
    <row r="242" spans="15:26" ht="15" customHeight="1" x14ac:dyDescent="0.3">
      <c r="O242" s="14" t="s">
        <v>957</v>
      </c>
      <c r="P242" s="14" t="s">
        <v>318</v>
      </c>
      <c r="Q242" s="15">
        <v>46083</v>
      </c>
      <c r="R242" s="14" t="s">
        <v>89</v>
      </c>
      <c r="S242" s="14">
        <v>9070</v>
      </c>
      <c r="U242" s="1" t="str">
        <f>TEXT(tblTransactions[[#This Row],[Date]],"YYYY-MM")</f>
        <v>2026-03</v>
      </c>
      <c r="Z242" s="1"/>
    </row>
    <row r="243" spans="15:26" ht="15" customHeight="1" x14ac:dyDescent="0.3">
      <c r="O243" s="14" t="s">
        <v>958</v>
      </c>
      <c r="P243" s="14" t="s">
        <v>318</v>
      </c>
      <c r="Q243" s="15">
        <v>45887</v>
      </c>
      <c r="R243" s="14" t="s">
        <v>81</v>
      </c>
      <c r="S243" s="14">
        <v>7750</v>
      </c>
      <c r="U243" s="1" t="str">
        <f>TEXT(tblTransactions[[#This Row],[Date]],"YYYY-MM")</f>
        <v>2025-08</v>
      </c>
      <c r="Z243" s="1"/>
    </row>
    <row r="244" spans="15:26" ht="15" customHeight="1" x14ac:dyDescent="0.3">
      <c r="O244" s="14" t="s">
        <v>959</v>
      </c>
      <c r="P244" s="14" t="s">
        <v>318</v>
      </c>
      <c r="Q244" s="15">
        <v>45973</v>
      </c>
      <c r="R244" s="14" t="s">
        <v>81</v>
      </c>
      <c r="S244" s="14">
        <v>7720</v>
      </c>
      <c r="U244" s="1" t="str">
        <f>TEXT(tblTransactions[[#This Row],[Date]],"YYYY-MM")</f>
        <v>2025-11</v>
      </c>
      <c r="Z244" s="1"/>
    </row>
    <row r="245" spans="15:26" ht="15" customHeight="1" x14ac:dyDescent="0.3">
      <c r="O245" s="14" t="s">
        <v>960</v>
      </c>
      <c r="P245" s="14" t="s">
        <v>318</v>
      </c>
      <c r="Q245" s="15">
        <v>45921</v>
      </c>
      <c r="R245" s="14" t="s">
        <v>81</v>
      </c>
      <c r="S245" s="14">
        <v>11340</v>
      </c>
      <c r="U245" s="1" t="str">
        <f>TEXT(tblTransactions[[#This Row],[Date]],"YYYY-MM")</f>
        <v>2025-09</v>
      </c>
      <c r="Z245" s="1"/>
    </row>
    <row r="246" spans="15:26" ht="15" customHeight="1" x14ac:dyDescent="0.3">
      <c r="O246" s="14" t="s">
        <v>961</v>
      </c>
      <c r="P246" s="14" t="s">
        <v>318</v>
      </c>
      <c r="Q246" s="15">
        <v>45936</v>
      </c>
      <c r="R246" s="14" t="s">
        <v>117</v>
      </c>
      <c r="S246" s="14">
        <v>3860</v>
      </c>
      <c r="U246" s="1" t="str">
        <f>TEXT(tblTransactions[[#This Row],[Date]],"YYYY-MM")</f>
        <v>2025-10</v>
      </c>
      <c r="Z246" s="1"/>
    </row>
    <row r="247" spans="15:26" ht="15" customHeight="1" x14ac:dyDescent="0.3">
      <c r="O247" s="14" t="s">
        <v>962</v>
      </c>
      <c r="P247" s="14" t="s">
        <v>318</v>
      </c>
      <c r="Q247" s="15">
        <v>45884</v>
      </c>
      <c r="R247" s="14" t="s">
        <v>110</v>
      </c>
      <c r="S247" s="14">
        <v>6760</v>
      </c>
      <c r="U247" s="1" t="str">
        <f>TEXT(tblTransactions[[#This Row],[Date]],"YYYY-MM")</f>
        <v>2025-08</v>
      </c>
      <c r="Z247" s="1"/>
    </row>
    <row r="248" spans="15:26" ht="15" customHeight="1" x14ac:dyDescent="0.3">
      <c r="O248" s="14" t="s">
        <v>963</v>
      </c>
      <c r="P248" s="14" t="s">
        <v>318</v>
      </c>
      <c r="Q248" s="15">
        <v>46084</v>
      </c>
      <c r="R248" s="14" t="s">
        <v>81</v>
      </c>
      <c r="S248" s="14">
        <v>1320</v>
      </c>
      <c r="U248" s="1" t="str">
        <f>TEXT(tblTransactions[[#This Row],[Date]],"YYYY-MM")</f>
        <v>2026-03</v>
      </c>
      <c r="Z248" s="1"/>
    </row>
    <row r="249" spans="15:26" ht="15" customHeight="1" x14ac:dyDescent="0.3">
      <c r="O249" s="14" t="s">
        <v>964</v>
      </c>
      <c r="P249" s="14" t="s">
        <v>323</v>
      </c>
      <c r="Q249" s="15">
        <v>45830</v>
      </c>
      <c r="R249" s="14" t="s">
        <v>89</v>
      </c>
      <c r="S249" s="14">
        <v>7960</v>
      </c>
      <c r="U249" s="1" t="str">
        <f>TEXT(tblTransactions[[#This Row],[Date]],"YYYY-MM")</f>
        <v>2025-06</v>
      </c>
      <c r="Z249" s="1"/>
    </row>
    <row r="250" spans="15:26" ht="15" customHeight="1" x14ac:dyDescent="0.3">
      <c r="O250" s="14" t="s">
        <v>965</v>
      </c>
      <c r="P250" s="14" t="s">
        <v>323</v>
      </c>
      <c r="Q250" s="15">
        <v>45826</v>
      </c>
      <c r="R250" s="14" t="s">
        <v>81</v>
      </c>
      <c r="S250" s="14">
        <v>6910</v>
      </c>
      <c r="U250" s="1" t="str">
        <f>TEXT(tblTransactions[[#This Row],[Date]],"YYYY-MM")</f>
        <v>2025-06</v>
      </c>
      <c r="Z250" s="1"/>
    </row>
    <row r="251" spans="15:26" ht="15" customHeight="1" x14ac:dyDescent="0.3">
      <c r="O251" s="14" t="s">
        <v>966</v>
      </c>
      <c r="P251" s="14" t="s">
        <v>323</v>
      </c>
      <c r="Q251" s="15">
        <v>45857</v>
      </c>
      <c r="R251" s="14" t="s">
        <v>81</v>
      </c>
      <c r="S251" s="14">
        <v>6940</v>
      </c>
      <c r="U251" s="1" t="str">
        <f>TEXT(tblTransactions[[#This Row],[Date]],"YYYY-MM")</f>
        <v>2025-07</v>
      </c>
      <c r="Z251" s="1"/>
    </row>
    <row r="252" spans="15:26" ht="15" customHeight="1" x14ac:dyDescent="0.3">
      <c r="O252" s="14" t="s">
        <v>967</v>
      </c>
      <c r="P252" s="14" t="s">
        <v>323</v>
      </c>
      <c r="Q252" s="15">
        <v>45758</v>
      </c>
      <c r="R252" s="14" t="s">
        <v>135</v>
      </c>
      <c r="S252" s="14">
        <v>9530</v>
      </c>
      <c r="U252" s="1" t="str">
        <f>TEXT(tblTransactions[[#This Row],[Date]],"YYYY-MM")</f>
        <v>2025-04</v>
      </c>
      <c r="Z252" s="1"/>
    </row>
    <row r="253" spans="15:26" ht="15" customHeight="1" x14ac:dyDescent="0.3">
      <c r="O253" s="14" t="s">
        <v>968</v>
      </c>
      <c r="P253" s="14" t="s">
        <v>323</v>
      </c>
      <c r="Q253" s="15">
        <v>45838</v>
      </c>
      <c r="R253" s="14" t="s">
        <v>135</v>
      </c>
      <c r="S253" s="14">
        <v>2370</v>
      </c>
      <c r="U253" s="1" t="str">
        <f>TEXT(tblTransactions[[#This Row],[Date]],"YYYY-MM")</f>
        <v>2025-06</v>
      </c>
      <c r="Z253" s="1"/>
    </row>
    <row r="254" spans="15:26" ht="15" customHeight="1" x14ac:dyDescent="0.3">
      <c r="O254" s="14" t="s">
        <v>969</v>
      </c>
      <c r="P254" s="14" t="s">
        <v>323</v>
      </c>
      <c r="Q254" s="15">
        <v>45898</v>
      </c>
      <c r="R254" s="14" t="s">
        <v>110</v>
      </c>
      <c r="S254" s="14">
        <v>2560</v>
      </c>
      <c r="U254" s="1" t="str">
        <f>TEXT(tblTransactions[[#This Row],[Date]],"YYYY-MM")</f>
        <v>2025-08</v>
      </c>
      <c r="Z254" s="1"/>
    </row>
    <row r="255" spans="15:26" ht="15" customHeight="1" x14ac:dyDescent="0.3">
      <c r="O255" s="14" t="s">
        <v>970</v>
      </c>
      <c r="P255" s="14" t="s">
        <v>327</v>
      </c>
      <c r="Q255" s="15">
        <v>46088</v>
      </c>
      <c r="R255" s="14" t="s">
        <v>110</v>
      </c>
      <c r="S255" s="14">
        <v>6590</v>
      </c>
      <c r="U255" s="1" t="str">
        <f>TEXT(tblTransactions[[#This Row],[Date]],"YYYY-MM")</f>
        <v>2026-03</v>
      </c>
      <c r="Z255" s="1"/>
    </row>
    <row r="256" spans="15:26" ht="15" customHeight="1" x14ac:dyDescent="0.3">
      <c r="O256" s="14" t="s">
        <v>971</v>
      </c>
      <c r="P256" s="14" t="s">
        <v>331</v>
      </c>
      <c r="Q256" s="15">
        <v>46079</v>
      </c>
      <c r="R256" s="14" t="s">
        <v>110</v>
      </c>
      <c r="S256" s="14">
        <v>1430</v>
      </c>
      <c r="U256" s="1" t="str">
        <f>TEXT(tblTransactions[[#This Row],[Date]],"YYYY-MM")</f>
        <v>2026-02</v>
      </c>
      <c r="Z256" s="1"/>
    </row>
    <row r="257" spans="15:26" ht="15" customHeight="1" x14ac:dyDescent="0.3">
      <c r="O257" s="14" t="s">
        <v>972</v>
      </c>
      <c r="P257" s="14" t="s">
        <v>335</v>
      </c>
      <c r="Q257" s="15">
        <v>45764</v>
      </c>
      <c r="R257" s="14" t="s">
        <v>89</v>
      </c>
      <c r="S257" s="14">
        <v>1740</v>
      </c>
      <c r="U257" s="1" t="str">
        <f>TEXT(tblTransactions[[#This Row],[Date]],"YYYY-MM")</f>
        <v>2025-04</v>
      </c>
      <c r="Z257" s="1"/>
    </row>
    <row r="258" spans="15:26" ht="15" customHeight="1" x14ac:dyDescent="0.3">
      <c r="O258" s="14" t="s">
        <v>973</v>
      </c>
      <c r="P258" s="14" t="s">
        <v>335</v>
      </c>
      <c r="Q258" s="15">
        <v>45938</v>
      </c>
      <c r="R258" s="14" t="s">
        <v>81</v>
      </c>
      <c r="S258" s="14">
        <v>2150</v>
      </c>
      <c r="U258" s="1" t="str">
        <f>TEXT(tblTransactions[[#This Row],[Date]],"YYYY-MM")</f>
        <v>2025-10</v>
      </c>
      <c r="Z258" s="1"/>
    </row>
    <row r="259" spans="15:26" ht="15" customHeight="1" x14ac:dyDescent="0.3">
      <c r="O259" s="14" t="s">
        <v>974</v>
      </c>
      <c r="P259" s="14" t="s">
        <v>335</v>
      </c>
      <c r="Q259" s="15">
        <v>45787</v>
      </c>
      <c r="R259" s="14" t="s">
        <v>81</v>
      </c>
      <c r="S259" s="14">
        <v>1870</v>
      </c>
      <c r="U259" s="1" t="str">
        <f>TEXT(tblTransactions[[#This Row],[Date]],"YYYY-MM")</f>
        <v>2025-05</v>
      </c>
      <c r="Z259" s="1"/>
    </row>
    <row r="260" spans="15:26" ht="15" customHeight="1" x14ac:dyDescent="0.3">
      <c r="O260" s="14" t="s">
        <v>975</v>
      </c>
      <c r="P260" s="14" t="s">
        <v>335</v>
      </c>
      <c r="Q260" s="15">
        <v>45908</v>
      </c>
      <c r="R260" s="14" t="s">
        <v>135</v>
      </c>
      <c r="S260" s="14">
        <v>2900</v>
      </c>
      <c r="U260" s="1" t="str">
        <f>TEXT(tblTransactions[[#This Row],[Date]],"YYYY-MM")</f>
        <v>2025-09</v>
      </c>
      <c r="Z260" s="1"/>
    </row>
    <row r="261" spans="15:26" ht="15" customHeight="1" x14ac:dyDescent="0.3">
      <c r="O261" s="14" t="s">
        <v>976</v>
      </c>
      <c r="P261" s="14" t="s">
        <v>335</v>
      </c>
      <c r="Q261" s="15">
        <v>45890</v>
      </c>
      <c r="R261" s="14" t="s">
        <v>135</v>
      </c>
      <c r="S261" s="14">
        <v>4500</v>
      </c>
      <c r="U261" s="1" t="str">
        <f>TEXT(tblTransactions[[#This Row],[Date]],"YYYY-MM")</f>
        <v>2025-08</v>
      </c>
      <c r="Z261" s="1"/>
    </row>
    <row r="262" spans="15:26" ht="15" customHeight="1" x14ac:dyDescent="0.3">
      <c r="O262" s="14" t="s">
        <v>977</v>
      </c>
      <c r="P262" s="14" t="s">
        <v>335</v>
      </c>
      <c r="Q262" s="15">
        <v>45843</v>
      </c>
      <c r="R262" s="14" t="s">
        <v>81</v>
      </c>
      <c r="S262" s="14">
        <v>6660</v>
      </c>
      <c r="U262" s="1" t="str">
        <f>TEXT(tblTransactions[[#This Row],[Date]],"YYYY-MM")</f>
        <v>2025-07</v>
      </c>
      <c r="Z262" s="1"/>
    </row>
    <row r="263" spans="15:26" ht="15" customHeight="1" x14ac:dyDescent="0.3">
      <c r="O263" s="14" t="s">
        <v>978</v>
      </c>
      <c r="P263" s="14" t="s">
        <v>335</v>
      </c>
      <c r="Q263" s="15">
        <v>46013</v>
      </c>
      <c r="R263" s="14" t="s">
        <v>89</v>
      </c>
      <c r="S263" s="14">
        <v>2060</v>
      </c>
      <c r="U263" s="1" t="str">
        <f>TEXT(tblTransactions[[#This Row],[Date]],"YYYY-MM")</f>
        <v>2025-12</v>
      </c>
      <c r="Z263" s="1"/>
    </row>
    <row r="264" spans="15:26" ht="15" customHeight="1" x14ac:dyDescent="0.3">
      <c r="O264" s="14" t="s">
        <v>979</v>
      </c>
      <c r="P264" s="14" t="s">
        <v>335</v>
      </c>
      <c r="Q264" s="15">
        <v>45881</v>
      </c>
      <c r="R264" s="14" t="s">
        <v>135</v>
      </c>
      <c r="S264" s="14">
        <v>8790</v>
      </c>
      <c r="U264" s="1" t="str">
        <f>TEXT(tblTransactions[[#This Row],[Date]],"YYYY-MM")</f>
        <v>2025-08</v>
      </c>
      <c r="Z264" s="1"/>
    </row>
    <row r="265" spans="15:26" ht="15" customHeight="1" x14ac:dyDescent="0.3">
      <c r="O265" s="14" t="s">
        <v>980</v>
      </c>
      <c r="P265" s="14" t="s">
        <v>335</v>
      </c>
      <c r="Q265" s="15">
        <v>45976</v>
      </c>
      <c r="R265" s="14" t="s">
        <v>135</v>
      </c>
      <c r="S265" s="14">
        <v>5740</v>
      </c>
      <c r="U265" s="1" t="str">
        <f>TEXT(tblTransactions[[#This Row],[Date]],"YYYY-MM")</f>
        <v>2025-11</v>
      </c>
      <c r="Z265" s="1"/>
    </row>
    <row r="266" spans="15:26" ht="15" customHeight="1" x14ac:dyDescent="0.3">
      <c r="O266" s="14" t="s">
        <v>981</v>
      </c>
      <c r="P266" s="14" t="s">
        <v>335</v>
      </c>
      <c r="Q266" s="15">
        <v>45999</v>
      </c>
      <c r="R266" s="14" t="s">
        <v>122</v>
      </c>
      <c r="S266" s="14">
        <v>13170</v>
      </c>
      <c r="U266" s="1" t="str">
        <f>TEXT(tblTransactions[[#This Row],[Date]],"YYYY-MM")</f>
        <v>2025-12</v>
      </c>
      <c r="Z266" s="1"/>
    </row>
    <row r="267" spans="15:26" ht="15" customHeight="1" x14ac:dyDescent="0.3">
      <c r="O267" s="14" t="s">
        <v>982</v>
      </c>
      <c r="P267" s="14" t="s">
        <v>335</v>
      </c>
      <c r="Q267" s="15">
        <v>45810</v>
      </c>
      <c r="R267" s="14" t="s">
        <v>122</v>
      </c>
      <c r="S267" s="14">
        <v>5530</v>
      </c>
      <c r="U267" s="1" t="str">
        <f>TEXT(tblTransactions[[#This Row],[Date]],"YYYY-MM")</f>
        <v>2025-06</v>
      </c>
      <c r="Z267" s="1"/>
    </row>
    <row r="268" spans="15:26" ht="15" customHeight="1" x14ac:dyDescent="0.3">
      <c r="O268" s="14" t="s">
        <v>983</v>
      </c>
      <c r="P268" s="14" t="s">
        <v>335</v>
      </c>
      <c r="Q268" s="15">
        <v>45975</v>
      </c>
      <c r="R268" s="14" t="s">
        <v>110</v>
      </c>
      <c r="S268" s="14">
        <v>5700</v>
      </c>
      <c r="U268" s="1" t="str">
        <f>TEXT(tblTransactions[[#This Row],[Date]],"YYYY-MM")</f>
        <v>2025-11</v>
      </c>
      <c r="Z268" s="1"/>
    </row>
    <row r="269" spans="15:26" ht="15" customHeight="1" x14ac:dyDescent="0.3">
      <c r="O269" s="14" t="s">
        <v>984</v>
      </c>
      <c r="P269" s="14" t="s">
        <v>335</v>
      </c>
      <c r="Q269" s="15">
        <v>46095</v>
      </c>
      <c r="R269" s="14" t="s">
        <v>89</v>
      </c>
      <c r="S269" s="14">
        <v>9790</v>
      </c>
      <c r="U269" s="1" t="str">
        <f>TEXT(tblTransactions[[#This Row],[Date]],"YYYY-MM")</f>
        <v>2026-03</v>
      </c>
      <c r="Z269" s="1"/>
    </row>
    <row r="270" spans="15:26" ht="15" customHeight="1" x14ac:dyDescent="0.3">
      <c r="O270" s="14" t="s">
        <v>985</v>
      </c>
      <c r="P270" s="14" t="s">
        <v>339</v>
      </c>
      <c r="Q270" s="15">
        <v>45824</v>
      </c>
      <c r="R270" s="14" t="s">
        <v>122</v>
      </c>
      <c r="S270" s="14">
        <v>640</v>
      </c>
      <c r="U270" s="1" t="str">
        <f>TEXT(tblTransactions[[#This Row],[Date]],"YYYY-MM")</f>
        <v>2025-06</v>
      </c>
      <c r="Z270" s="1"/>
    </row>
    <row r="271" spans="15:26" ht="15" customHeight="1" x14ac:dyDescent="0.3">
      <c r="O271" s="14" t="s">
        <v>986</v>
      </c>
      <c r="P271" s="14" t="s">
        <v>339</v>
      </c>
      <c r="Q271" s="15">
        <v>45792</v>
      </c>
      <c r="R271" s="14" t="s">
        <v>110</v>
      </c>
      <c r="S271" s="14">
        <v>5830</v>
      </c>
      <c r="U271" s="1" t="str">
        <f>TEXT(tblTransactions[[#This Row],[Date]],"YYYY-MM")</f>
        <v>2025-05</v>
      </c>
      <c r="Z271" s="1"/>
    </row>
    <row r="272" spans="15:26" ht="15" customHeight="1" x14ac:dyDescent="0.3">
      <c r="O272" s="14" t="s">
        <v>987</v>
      </c>
      <c r="P272" s="14" t="s">
        <v>339</v>
      </c>
      <c r="Q272" s="15">
        <v>45799</v>
      </c>
      <c r="R272" s="14" t="s">
        <v>122</v>
      </c>
      <c r="S272" s="14">
        <v>1800</v>
      </c>
      <c r="U272" s="1" t="str">
        <f>TEXT(tblTransactions[[#This Row],[Date]],"YYYY-MM")</f>
        <v>2025-05</v>
      </c>
      <c r="Z272" s="1"/>
    </row>
    <row r="273" spans="15:26" ht="15" customHeight="1" x14ac:dyDescent="0.3">
      <c r="O273" s="14" t="s">
        <v>988</v>
      </c>
      <c r="P273" s="14" t="s">
        <v>339</v>
      </c>
      <c r="Q273" s="15">
        <v>45808</v>
      </c>
      <c r="R273" s="14" t="s">
        <v>117</v>
      </c>
      <c r="S273" s="14">
        <v>4710</v>
      </c>
      <c r="U273" s="1" t="str">
        <f>TEXT(tblTransactions[[#This Row],[Date]],"YYYY-MM")</f>
        <v>2025-05</v>
      </c>
      <c r="Z273" s="1"/>
    </row>
    <row r="274" spans="15:26" ht="15" customHeight="1" x14ac:dyDescent="0.3">
      <c r="O274" s="14" t="s">
        <v>989</v>
      </c>
      <c r="P274" s="14" t="s">
        <v>339</v>
      </c>
      <c r="Q274" s="15">
        <v>45894</v>
      </c>
      <c r="R274" s="14" t="s">
        <v>89</v>
      </c>
      <c r="S274" s="14">
        <v>3760</v>
      </c>
      <c r="U274" s="1" t="str">
        <f>TEXT(tblTransactions[[#This Row],[Date]],"YYYY-MM")</f>
        <v>2025-08</v>
      </c>
      <c r="Z274" s="1"/>
    </row>
    <row r="275" spans="15:26" ht="15" customHeight="1" x14ac:dyDescent="0.3">
      <c r="O275" s="14" t="s">
        <v>990</v>
      </c>
      <c r="P275" s="14" t="s">
        <v>339</v>
      </c>
      <c r="Q275" s="15">
        <v>45867</v>
      </c>
      <c r="R275" s="14" t="s">
        <v>117</v>
      </c>
      <c r="S275" s="14">
        <v>6290</v>
      </c>
      <c r="U275" s="1" t="str">
        <f>TEXT(tblTransactions[[#This Row],[Date]],"YYYY-MM")</f>
        <v>2025-07</v>
      </c>
      <c r="Z275" s="1"/>
    </row>
    <row r="276" spans="15:26" ht="15" customHeight="1" x14ac:dyDescent="0.3">
      <c r="O276" s="14" t="s">
        <v>991</v>
      </c>
      <c r="P276" s="14" t="s">
        <v>339</v>
      </c>
      <c r="Q276" s="15">
        <v>45896</v>
      </c>
      <c r="R276" s="14" t="s">
        <v>110</v>
      </c>
      <c r="S276" s="14">
        <v>1730</v>
      </c>
      <c r="U276" s="1" t="str">
        <f>TEXT(tblTransactions[[#This Row],[Date]],"YYYY-MM")</f>
        <v>2025-08</v>
      </c>
      <c r="Z276" s="1"/>
    </row>
    <row r="277" spans="15:26" ht="15" customHeight="1" x14ac:dyDescent="0.3">
      <c r="O277" s="14" t="s">
        <v>992</v>
      </c>
      <c r="P277" s="14" t="s">
        <v>343</v>
      </c>
      <c r="Q277" s="15">
        <v>46084</v>
      </c>
      <c r="R277" s="14" t="s">
        <v>117</v>
      </c>
      <c r="S277" s="14">
        <v>1160</v>
      </c>
      <c r="U277" s="1" t="str">
        <f>TEXT(tblTransactions[[#This Row],[Date]],"YYYY-MM")</f>
        <v>2026-03</v>
      </c>
      <c r="Z277" s="1"/>
    </row>
    <row r="278" spans="15:26" ht="15" customHeight="1" x14ac:dyDescent="0.3">
      <c r="O278" s="14" t="s">
        <v>993</v>
      </c>
      <c r="P278" s="14" t="s">
        <v>347</v>
      </c>
      <c r="Q278" s="15">
        <v>45986</v>
      </c>
      <c r="R278" s="14" t="s">
        <v>135</v>
      </c>
      <c r="S278" s="14">
        <v>3610</v>
      </c>
      <c r="U278" s="1" t="str">
        <f>TEXT(tblTransactions[[#This Row],[Date]],"YYYY-MM")</f>
        <v>2025-11</v>
      </c>
      <c r="Z278" s="1"/>
    </row>
    <row r="279" spans="15:26" ht="15" customHeight="1" x14ac:dyDescent="0.3">
      <c r="O279" s="14" t="s">
        <v>994</v>
      </c>
      <c r="P279" s="14" t="s">
        <v>347</v>
      </c>
      <c r="Q279" s="15">
        <v>46012</v>
      </c>
      <c r="R279" s="14" t="s">
        <v>117</v>
      </c>
      <c r="S279" s="14">
        <v>1800</v>
      </c>
      <c r="U279" s="1" t="str">
        <f>TEXT(tblTransactions[[#This Row],[Date]],"YYYY-MM")</f>
        <v>2025-12</v>
      </c>
      <c r="Z279" s="1"/>
    </row>
    <row r="280" spans="15:26" ht="15" customHeight="1" x14ac:dyDescent="0.3">
      <c r="O280" s="14" t="s">
        <v>995</v>
      </c>
      <c r="P280" s="14" t="s">
        <v>347</v>
      </c>
      <c r="Q280" s="15">
        <v>46075</v>
      </c>
      <c r="R280" s="14" t="s">
        <v>117</v>
      </c>
      <c r="S280" s="14">
        <v>17530</v>
      </c>
      <c r="U280" s="1" t="str">
        <f>TEXT(tblTransactions[[#This Row],[Date]],"YYYY-MM")</f>
        <v>2026-02</v>
      </c>
      <c r="Z280" s="1"/>
    </row>
    <row r="281" spans="15:26" ht="15" customHeight="1" x14ac:dyDescent="0.3">
      <c r="O281" s="14" t="s">
        <v>996</v>
      </c>
      <c r="P281" s="14" t="s">
        <v>347</v>
      </c>
      <c r="Q281" s="15">
        <v>45841</v>
      </c>
      <c r="R281" s="14" t="s">
        <v>117</v>
      </c>
      <c r="S281" s="14">
        <v>4720</v>
      </c>
      <c r="U281" s="1" t="str">
        <f>TEXT(tblTransactions[[#This Row],[Date]],"YYYY-MM")</f>
        <v>2025-07</v>
      </c>
      <c r="Z281" s="1"/>
    </row>
    <row r="282" spans="15:26" ht="15" customHeight="1" x14ac:dyDescent="0.3">
      <c r="O282" s="14" t="s">
        <v>997</v>
      </c>
      <c r="P282" s="14" t="s">
        <v>347</v>
      </c>
      <c r="Q282" s="15">
        <v>45776</v>
      </c>
      <c r="R282" s="14" t="s">
        <v>110</v>
      </c>
      <c r="S282" s="14">
        <v>2960</v>
      </c>
      <c r="U282" s="1" t="str">
        <f>TEXT(tblTransactions[[#This Row],[Date]],"YYYY-MM")</f>
        <v>2025-04</v>
      </c>
      <c r="Z282" s="1"/>
    </row>
    <row r="283" spans="15:26" ht="15" customHeight="1" x14ac:dyDescent="0.3">
      <c r="O283" s="14" t="s">
        <v>998</v>
      </c>
      <c r="P283" s="14" t="s">
        <v>347</v>
      </c>
      <c r="Q283" s="15">
        <v>46013</v>
      </c>
      <c r="R283" s="14" t="s">
        <v>89</v>
      </c>
      <c r="S283" s="14">
        <v>5920</v>
      </c>
      <c r="U283" s="1" t="str">
        <f>TEXT(tblTransactions[[#This Row],[Date]],"YYYY-MM")</f>
        <v>2025-12</v>
      </c>
      <c r="Z283" s="1"/>
    </row>
    <row r="284" spans="15:26" ht="15" customHeight="1" x14ac:dyDescent="0.3">
      <c r="O284" s="14" t="s">
        <v>999</v>
      </c>
      <c r="P284" s="14" t="s">
        <v>347</v>
      </c>
      <c r="Q284" s="15">
        <v>45863</v>
      </c>
      <c r="R284" s="14" t="s">
        <v>89</v>
      </c>
      <c r="S284" s="14">
        <v>6670</v>
      </c>
      <c r="U284" s="1" t="str">
        <f>TEXT(tblTransactions[[#This Row],[Date]],"YYYY-MM")</f>
        <v>2025-07</v>
      </c>
      <c r="Z284" s="1"/>
    </row>
    <row r="285" spans="15:26" ht="15" customHeight="1" x14ac:dyDescent="0.3">
      <c r="O285" s="14" t="s">
        <v>1000</v>
      </c>
      <c r="P285" s="14" t="s">
        <v>347</v>
      </c>
      <c r="Q285" s="15">
        <v>46016</v>
      </c>
      <c r="R285" s="14" t="s">
        <v>135</v>
      </c>
      <c r="S285" s="14">
        <v>6350</v>
      </c>
      <c r="U285" s="1" t="str">
        <f>TEXT(tblTransactions[[#This Row],[Date]],"YYYY-MM")</f>
        <v>2025-12</v>
      </c>
      <c r="Z285" s="1"/>
    </row>
    <row r="286" spans="15:26" ht="15" customHeight="1" x14ac:dyDescent="0.3">
      <c r="O286" s="14" t="s">
        <v>1001</v>
      </c>
      <c r="P286" s="14" t="s">
        <v>347</v>
      </c>
      <c r="Q286" s="15">
        <v>46030</v>
      </c>
      <c r="R286" s="14" t="s">
        <v>89</v>
      </c>
      <c r="S286" s="14">
        <v>2730</v>
      </c>
      <c r="U286" s="1" t="str">
        <f>TEXT(tblTransactions[[#This Row],[Date]],"YYYY-MM")</f>
        <v>2026-01</v>
      </c>
      <c r="Z286" s="1"/>
    </row>
    <row r="287" spans="15:26" ht="15" customHeight="1" x14ac:dyDescent="0.3">
      <c r="O287" s="14" t="s">
        <v>1002</v>
      </c>
      <c r="P287" s="14" t="s">
        <v>347</v>
      </c>
      <c r="Q287" s="15">
        <v>45812</v>
      </c>
      <c r="R287" s="14" t="s">
        <v>110</v>
      </c>
      <c r="S287" s="14">
        <v>2060</v>
      </c>
      <c r="U287" s="1" t="str">
        <f>TEXT(tblTransactions[[#This Row],[Date]],"YYYY-MM")</f>
        <v>2025-06</v>
      </c>
      <c r="Z287" s="1"/>
    </row>
    <row r="288" spans="15:26" ht="15" customHeight="1" x14ac:dyDescent="0.3">
      <c r="O288" s="14" t="s">
        <v>1003</v>
      </c>
      <c r="P288" s="14" t="s">
        <v>347</v>
      </c>
      <c r="Q288" s="15">
        <v>46005</v>
      </c>
      <c r="R288" s="14" t="s">
        <v>135</v>
      </c>
      <c r="S288" s="14">
        <v>2060</v>
      </c>
      <c r="U288" s="1" t="str">
        <f>TEXT(tblTransactions[[#This Row],[Date]],"YYYY-MM")</f>
        <v>2025-12</v>
      </c>
      <c r="Z288" s="1"/>
    </row>
    <row r="289" spans="15:26" ht="15" customHeight="1" x14ac:dyDescent="0.3">
      <c r="O289" s="14" t="s">
        <v>1004</v>
      </c>
      <c r="P289" s="14" t="s">
        <v>347</v>
      </c>
      <c r="Q289" s="15">
        <v>45834</v>
      </c>
      <c r="R289" s="14" t="s">
        <v>122</v>
      </c>
      <c r="S289" s="14">
        <v>1860</v>
      </c>
      <c r="U289" s="1" t="str">
        <f>TEXT(tblTransactions[[#This Row],[Date]],"YYYY-MM")</f>
        <v>2025-06</v>
      </c>
      <c r="Z289" s="1"/>
    </row>
    <row r="290" spans="15:26" ht="15" customHeight="1" x14ac:dyDescent="0.3">
      <c r="O290" s="14" t="s">
        <v>1005</v>
      </c>
      <c r="P290" s="14" t="s">
        <v>347</v>
      </c>
      <c r="Q290" s="15">
        <v>46080</v>
      </c>
      <c r="R290" s="14" t="s">
        <v>135</v>
      </c>
      <c r="S290" s="14">
        <v>2530</v>
      </c>
      <c r="U290" s="1" t="str">
        <f>TEXT(tblTransactions[[#This Row],[Date]],"YYYY-MM")</f>
        <v>2026-02</v>
      </c>
      <c r="Z290" s="1"/>
    </row>
    <row r="291" spans="15:26" ht="15" customHeight="1" x14ac:dyDescent="0.3">
      <c r="O291" s="14" t="s">
        <v>1006</v>
      </c>
      <c r="P291" s="14" t="s">
        <v>351</v>
      </c>
      <c r="Q291" s="15">
        <v>46066</v>
      </c>
      <c r="R291" s="14" t="s">
        <v>110</v>
      </c>
      <c r="S291" s="14">
        <v>7920</v>
      </c>
      <c r="U291" s="1" t="str">
        <f>TEXT(tblTransactions[[#This Row],[Date]],"YYYY-MM")</f>
        <v>2026-02</v>
      </c>
      <c r="Z291" s="1"/>
    </row>
    <row r="292" spans="15:26" ht="15" customHeight="1" x14ac:dyDescent="0.3">
      <c r="O292" s="14" t="s">
        <v>1007</v>
      </c>
      <c r="P292" s="14" t="s">
        <v>355</v>
      </c>
      <c r="Q292" s="15">
        <v>45961</v>
      </c>
      <c r="R292" s="14" t="s">
        <v>117</v>
      </c>
      <c r="S292" s="14">
        <v>1900</v>
      </c>
      <c r="U292" s="1" t="str">
        <f>TEXT(tblTransactions[[#This Row],[Date]],"YYYY-MM")</f>
        <v>2025-10</v>
      </c>
      <c r="Z292" s="1"/>
    </row>
    <row r="293" spans="15:26" ht="15" customHeight="1" x14ac:dyDescent="0.3">
      <c r="O293" s="14" t="s">
        <v>1008</v>
      </c>
      <c r="P293" s="14" t="s">
        <v>355</v>
      </c>
      <c r="Q293" s="15">
        <v>46075</v>
      </c>
      <c r="R293" s="14" t="s">
        <v>117</v>
      </c>
      <c r="S293" s="14">
        <v>23360</v>
      </c>
      <c r="U293" s="1" t="str">
        <f>TEXT(tblTransactions[[#This Row],[Date]],"YYYY-MM")</f>
        <v>2026-02</v>
      </c>
      <c r="Z293" s="1"/>
    </row>
    <row r="294" spans="15:26" ht="15" customHeight="1" x14ac:dyDescent="0.3">
      <c r="O294" s="14" t="s">
        <v>1009</v>
      </c>
      <c r="P294" s="14" t="s">
        <v>355</v>
      </c>
      <c r="Q294" s="15">
        <v>45896</v>
      </c>
      <c r="R294" s="14" t="s">
        <v>135</v>
      </c>
      <c r="S294" s="14">
        <v>6180</v>
      </c>
      <c r="U294" s="1" t="str">
        <f>TEXT(tblTransactions[[#This Row],[Date]],"YYYY-MM")</f>
        <v>2025-08</v>
      </c>
      <c r="Z294" s="1"/>
    </row>
    <row r="295" spans="15:26" ht="15" customHeight="1" x14ac:dyDescent="0.3">
      <c r="O295" s="14" t="s">
        <v>1010</v>
      </c>
      <c r="P295" s="14" t="s">
        <v>355</v>
      </c>
      <c r="Q295" s="15">
        <v>45902</v>
      </c>
      <c r="R295" s="14" t="s">
        <v>135</v>
      </c>
      <c r="S295" s="14">
        <v>1070</v>
      </c>
      <c r="U295" s="1" t="str">
        <f>TEXT(tblTransactions[[#This Row],[Date]],"YYYY-MM")</f>
        <v>2025-09</v>
      </c>
      <c r="Z295" s="1"/>
    </row>
    <row r="296" spans="15:26" ht="15" customHeight="1" x14ac:dyDescent="0.3">
      <c r="O296" s="14" t="s">
        <v>1011</v>
      </c>
      <c r="P296" s="14" t="s">
        <v>355</v>
      </c>
      <c r="Q296" s="15">
        <v>45955</v>
      </c>
      <c r="R296" s="14" t="s">
        <v>89</v>
      </c>
      <c r="S296" s="14">
        <v>5250</v>
      </c>
      <c r="U296" s="1" t="str">
        <f>TEXT(tblTransactions[[#This Row],[Date]],"YYYY-MM")</f>
        <v>2025-10</v>
      </c>
      <c r="Z296" s="1"/>
    </row>
    <row r="297" spans="15:26" ht="15" customHeight="1" x14ac:dyDescent="0.3">
      <c r="O297" s="14" t="s">
        <v>1012</v>
      </c>
      <c r="P297" s="14" t="s">
        <v>355</v>
      </c>
      <c r="Q297" s="15">
        <v>45980</v>
      </c>
      <c r="R297" s="14" t="s">
        <v>81</v>
      </c>
      <c r="S297" s="14">
        <v>5790</v>
      </c>
      <c r="U297" s="1" t="str">
        <f>TEXT(tblTransactions[[#This Row],[Date]],"YYYY-MM")</f>
        <v>2025-11</v>
      </c>
      <c r="Z297" s="1"/>
    </row>
    <row r="298" spans="15:26" ht="15" customHeight="1" x14ac:dyDescent="0.3">
      <c r="O298" s="14" t="s">
        <v>1013</v>
      </c>
      <c r="P298" s="14" t="s">
        <v>355</v>
      </c>
      <c r="Q298" s="15">
        <v>45960</v>
      </c>
      <c r="R298" s="14" t="s">
        <v>81</v>
      </c>
      <c r="S298" s="14">
        <v>5100</v>
      </c>
      <c r="U298" s="1" t="str">
        <f>TEXT(tblTransactions[[#This Row],[Date]],"YYYY-MM")</f>
        <v>2025-10</v>
      </c>
      <c r="Z298" s="1"/>
    </row>
    <row r="299" spans="15:26" ht="15" customHeight="1" x14ac:dyDescent="0.3">
      <c r="O299" s="14" t="s">
        <v>1014</v>
      </c>
      <c r="P299" s="14" t="s">
        <v>355</v>
      </c>
      <c r="Q299" s="15">
        <v>45985</v>
      </c>
      <c r="R299" s="14" t="s">
        <v>89</v>
      </c>
      <c r="S299" s="14">
        <v>6140</v>
      </c>
      <c r="U299" s="1" t="str">
        <f>TEXT(tblTransactions[[#This Row],[Date]],"YYYY-MM")</f>
        <v>2025-11</v>
      </c>
      <c r="Z299" s="1"/>
    </row>
    <row r="300" spans="15:26" ht="15" customHeight="1" x14ac:dyDescent="0.3">
      <c r="O300" s="14" t="s">
        <v>1015</v>
      </c>
      <c r="P300" s="14" t="s">
        <v>355</v>
      </c>
      <c r="Q300" s="15">
        <v>45911</v>
      </c>
      <c r="R300" s="14" t="s">
        <v>135</v>
      </c>
      <c r="S300" s="14">
        <v>12830</v>
      </c>
      <c r="U300" s="1" t="str">
        <f>TEXT(tblTransactions[[#This Row],[Date]],"YYYY-MM")</f>
        <v>2025-09</v>
      </c>
      <c r="Z300" s="1"/>
    </row>
    <row r="301" spans="15:26" ht="15" customHeight="1" x14ac:dyDescent="0.3">
      <c r="O301" s="14" t="s">
        <v>1016</v>
      </c>
      <c r="P301" s="14" t="s">
        <v>355</v>
      </c>
      <c r="Q301" s="15">
        <v>45924</v>
      </c>
      <c r="R301" s="14" t="s">
        <v>89</v>
      </c>
      <c r="S301" s="14">
        <v>6840</v>
      </c>
      <c r="U301" s="1" t="str">
        <f>TEXT(tblTransactions[[#This Row],[Date]],"YYYY-MM")</f>
        <v>2025-09</v>
      </c>
      <c r="Z301" s="1"/>
    </row>
    <row r="302" spans="15:26" ht="15" customHeight="1" x14ac:dyDescent="0.3">
      <c r="O302" s="14" t="s">
        <v>1017</v>
      </c>
      <c r="P302" s="14" t="s">
        <v>355</v>
      </c>
      <c r="Q302" s="15">
        <v>46011</v>
      </c>
      <c r="R302" s="14" t="s">
        <v>117</v>
      </c>
      <c r="S302" s="14">
        <v>4220</v>
      </c>
      <c r="U302" s="1" t="str">
        <f>TEXT(tblTransactions[[#This Row],[Date]],"YYYY-MM")</f>
        <v>2025-12</v>
      </c>
      <c r="Z302" s="1"/>
    </row>
    <row r="303" spans="15:26" ht="15" customHeight="1" x14ac:dyDescent="0.3">
      <c r="O303" s="14" t="s">
        <v>1018</v>
      </c>
      <c r="P303" s="14" t="s">
        <v>355</v>
      </c>
      <c r="Q303" s="15">
        <v>46096</v>
      </c>
      <c r="R303" s="14" t="s">
        <v>110</v>
      </c>
      <c r="S303" s="14">
        <v>7180</v>
      </c>
      <c r="U303" s="1" t="str">
        <f>TEXT(tblTransactions[[#This Row],[Date]],"YYYY-MM")</f>
        <v>2026-03</v>
      </c>
      <c r="Z303" s="1"/>
    </row>
    <row r="304" spans="15:26" ht="15" customHeight="1" x14ac:dyDescent="0.3">
      <c r="O304" s="14" t="s">
        <v>1019</v>
      </c>
      <c r="P304" s="14" t="s">
        <v>359</v>
      </c>
      <c r="Q304" s="15">
        <v>45757</v>
      </c>
      <c r="R304" s="14" t="s">
        <v>81</v>
      </c>
      <c r="S304" s="14">
        <v>6500</v>
      </c>
      <c r="U304" s="1" t="str">
        <f>TEXT(tblTransactions[[#This Row],[Date]],"YYYY-MM")</f>
        <v>2025-04</v>
      </c>
      <c r="Z304" s="1"/>
    </row>
    <row r="305" spans="15:26" ht="15" customHeight="1" x14ac:dyDescent="0.3">
      <c r="O305" s="14" t="s">
        <v>1020</v>
      </c>
      <c r="P305" s="14" t="s">
        <v>359</v>
      </c>
      <c r="Q305" s="15">
        <v>45767</v>
      </c>
      <c r="R305" s="14" t="s">
        <v>122</v>
      </c>
      <c r="S305" s="14">
        <v>750</v>
      </c>
      <c r="U305" s="1" t="str">
        <f>TEXT(tblTransactions[[#This Row],[Date]],"YYYY-MM")</f>
        <v>2025-04</v>
      </c>
      <c r="Z305" s="1"/>
    </row>
    <row r="306" spans="15:26" ht="15" customHeight="1" x14ac:dyDescent="0.3">
      <c r="O306" s="14" t="s">
        <v>1021</v>
      </c>
      <c r="P306" s="14" t="s">
        <v>359</v>
      </c>
      <c r="Q306" s="15">
        <v>45758</v>
      </c>
      <c r="R306" s="14" t="s">
        <v>117</v>
      </c>
      <c r="S306" s="14">
        <v>12350</v>
      </c>
      <c r="U306" s="1" t="str">
        <f>TEXT(tblTransactions[[#This Row],[Date]],"YYYY-MM")</f>
        <v>2025-04</v>
      </c>
      <c r="Z306" s="1"/>
    </row>
    <row r="307" spans="15:26" ht="15" customHeight="1" x14ac:dyDescent="0.3">
      <c r="O307" s="14" t="s">
        <v>1022</v>
      </c>
      <c r="P307" s="14" t="s">
        <v>359</v>
      </c>
      <c r="Q307" s="15">
        <v>45771</v>
      </c>
      <c r="R307" s="14" t="s">
        <v>81</v>
      </c>
      <c r="S307" s="14">
        <v>2670</v>
      </c>
      <c r="U307" s="1" t="str">
        <f>TEXT(tblTransactions[[#This Row],[Date]],"YYYY-MM")</f>
        <v>2025-04</v>
      </c>
      <c r="Z307" s="1"/>
    </row>
    <row r="308" spans="15:26" ht="15" customHeight="1" x14ac:dyDescent="0.3">
      <c r="O308" s="14" t="s">
        <v>1023</v>
      </c>
      <c r="P308" s="14" t="s">
        <v>359</v>
      </c>
      <c r="Q308" s="15">
        <v>45764</v>
      </c>
      <c r="R308" s="14" t="s">
        <v>81</v>
      </c>
      <c r="S308" s="14">
        <v>15760</v>
      </c>
      <c r="U308" s="1" t="str">
        <f>TEXT(tblTransactions[[#This Row],[Date]],"YYYY-MM")</f>
        <v>2025-04</v>
      </c>
      <c r="Z308" s="1"/>
    </row>
    <row r="309" spans="15:26" ht="15" customHeight="1" x14ac:dyDescent="0.3">
      <c r="O309" s="14" t="s">
        <v>1024</v>
      </c>
      <c r="P309" s="14" t="s">
        <v>359</v>
      </c>
      <c r="Q309" s="15">
        <v>45763</v>
      </c>
      <c r="R309" s="14" t="s">
        <v>110</v>
      </c>
      <c r="S309" s="14">
        <v>8890</v>
      </c>
      <c r="U309" s="1" t="str">
        <f>TEXT(tblTransactions[[#This Row],[Date]],"YYYY-MM")</f>
        <v>2025-04</v>
      </c>
      <c r="Z309" s="1"/>
    </row>
    <row r="310" spans="15:26" ht="15" customHeight="1" x14ac:dyDescent="0.3">
      <c r="O310" s="14" t="s">
        <v>1025</v>
      </c>
      <c r="P310" s="14" t="s">
        <v>359</v>
      </c>
      <c r="Q310" s="15">
        <v>45760</v>
      </c>
      <c r="R310" s="14" t="s">
        <v>117</v>
      </c>
      <c r="S310" s="14">
        <v>2360</v>
      </c>
      <c r="U310" s="1" t="str">
        <f>TEXT(tblTransactions[[#This Row],[Date]],"YYYY-MM")</f>
        <v>2025-04</v>
      </c>
      <c r="Z310" s="1"/>
    </row>
    <row r="311" spans="15:26" ht="15" customHeight="1" x14ac:dyDescent="0.3">
      <c r="O311" s="14" t="s">
        <v>1026</v>
      </c>
      <c r="P311" s="14" t="s">
        <v>359</v>
      </c>
      <c r="Q311" s="15">
        <v>45762</v>
      </c>
      <c r="R311" s="14" t="s">
        <v>89</v>
      </c>
      <c r="S311" s="14">
        <v>7760</v>
      </c>
      <c r="U311" s="1" t="str">
        <f>TEXT(tblTransactions[[#This Row],[Date]],"YYYY-MM")</f>
        <v>2025-04</v>
      </c>
      <c r="Z311" s="1"/>
    </row>
    <row r="312" spans="15:26" ht="15" customHeight="1" x14ac:dyDescent="0.3">
      <c r="O312" s="14" t="s">
        <v>1027</v>
      </c>
      <c r="P312" s="14" t="s">
        <v>359</v>
      </c>
      <c r="Q312" s="15">
        <v>45749</v>
      </c>
      <c r="R312" s="14" t="s">
        <v>110</v>
      </c>
      <c r="S312" s="14">
        <v>4010</v>
      </c>
      <c r="U312" s="1" t="str">
        <f>TEXT(tblTransactions[[#This Row],[Date]],"YYYY-MM")</f>
        <v>2025-04</v>
      </c>
      <c r="Z312" s="1"/>
    </row>
    <row r="313" spans="15:26" ht="15" customHeight="1" x14ac:dyDescent="0.3">
      <c r="O313" s="14" t="s">
        <v>1028</v>
      </c>
      <c r="P313" s="14" t="s">
        <v>359</v>
      </c>
      <c r="Q313" s="15">
        <v>45773</v>
      </c>
      <c r="R313" s="14" t="s">
        <v>135</v>
      </c>
      <c r="S313" s="14">
        <v>3640</v>
      </c>
      <c r="U313" s="1" t="str">
        <f>TEXT(tblTransactions[[#This Row],[Date]],"YYYY-MM")</f>
        <v>2025-04</v>
      </c>
      <c r="Z313" s="1"/>
    </row>
    <row r="314" spans="15:26" ht="15" customHeight="1" x14ac:dyDescent="0.3">
      <c r="O314" s="14" t="s">
        <v>1029</v>
      </c>
      <c r="P314" s="14" t="s">
        <v>364</v>
      </c>
      <c r="Q314" s="15">
        <v>45752</v>
      </c>
      <c r="R314" s="14" t="s">
        <v>110</v>
      </c>
      <c r="S314" s="14">
        <v>12970</v>
      </c>
      <c r="U314" s="1" t="str">
        <f>TEXT(tblTransactions[[#This Row],[Date]],"YYYY-MM")</f>
        <v>2025-04</v>
      </c>
      <c r="Z314" s="1"/>
    </row>
    <row r="315" spans="15:26" ht="15" customHeight="1" x14ac:dyDescent="0.3">
      <c r="O315" s="14" t="s">
        <v>1030</v>
      </c>
      <c r="P315" s="14" t="s">
        <v>368</v>
      </c>
      <c r="Q315" s="15">
        <v>46069</v>
      </c>
      <c r="R315" s="14" t="s">
        <v>81</v>
      </c>
      <c r="S315" s="14">
        <v>4810</v>
      </c>
      <c r="U315" s="1" t="str">
        <f>TEXT(tblTransactions[[#This Row],[Date]],"YYYY-MM")</f>
        <v>2026-02</v>
      </c>
      <c r="Z315" s="1"/>
    </row>
    <row r="316" spans="15:26" ht="15" customHeight="1" x14ac:dyDescent="0.3">
      <c r="O316" s="14" t="s">
        <v>1031</v>
      </c>
      <c r="P316" s="14" t="s">
        <v>372</v>
      </c>
      <c r="Q316" s="15">
        <v>46069</v>
      </c>
      <c r="R316" s="14" t="s">
        <v>117</v>
      </c>
      <c r="S316" s="14">
        <v>2100</v>
      </c>
      <c r="U316" s="1" t="str">
        <f>TEXT(tblTransactions[[#This Row],[Date]],"YYYY-MM")</f>
        <v>2026-02</v>
      </c>
      <c r="Z316" s="1"/>
    </row>
    <row r="317" spans="15:26" ht="15" customHeight="1" x14ac:dyDescent="0.3">
      <c r="O317" s="14" t="s">
        <v>1032</v>
      </c>
      <c r="P317" s="14" t="s">
        <v>376</v>
      </c>
      <c r="Q317" s="15">
        <v>45808</v>
      </c>
      <c r="R317" s="14" t="s">
        <v>89</v>
      </c>
      <c r="S317" s="14">
        <v>5770</v>
      </c>
      <c r="U317" s="1" t="str">
        <f>TEXT(tblTransactions[[#This Row],[Date]],"YYYY-MM")</f>
        <v>2025-05</v>
      </c>
      <c r="Z317" s="1"/>
    </row>
    <row r="318" spans="15:26" ht="15" customHeight="1" x14ac:dyDescent="0.3">
      <c r="O318" s="14" t="s">
        <v>1033</v>
      </c>
      <c r="P318" s="14" t="s">
        <v>376</v>
      </c>
      <c r="Q318" s="15">
        <v>45921</v>
      </c>
      <c r="R318" s="14" t="s">
        <v>117</v>
      </c>
      <c r="S318" s="14">
        <v>5840</v>
      </c>
      <c r="U318" s="1" t="str">
        <f>TEXT(tblTransactions[[#This Row],[Date]],"YYYY-MM")</f>
        <v>2025-09</v>
      </c>
      <c r="Z318" s="1"/>
    </row>
    <row r="319" spans="15:26" ht="15" customHeight="1" x14ac:dyDescent="0.3">
      <c r="O319" s="14" t="s">
        <v>1034</v>
      </c>
      <c r="P319" s="14" t="s">
        <v>376</v>
      </c>
      <c r="Q319" s="15">
        <v>45935</v>
      </c>
      <c r="R319" s="14" t="s">
        <v>117</v>
      </c>
      <c r="S319" s="14">
        <v>4580</v>
      </c>
      <c r="U319" s="1" t="str">
        <f>TEXT(tblTransactions[[#This Row],[Date]],"YYYY-MM")</f>
        <v>2025-10</v>
      </c>
      <c r="Z319" s="1"/>
    </row>
    <row r="320" spans="15:26" ht="15" customHeight="1" x14ac:dyDescent="0.3">
      <c r="O320" s="14" t="s">
        <v>1035</v>
      </c>
      <c r="P320" s="14" t="s">
        <v>376</v>
      </c>
      <c r="Q320" s="15">
        <v>45953</v>
      </c>
      <c r="R320" s="14" t="s">
        <v>117</v>
      </c>
      <c r="S320" s="14">
        <v>2640</v>
      </c>
      <c r="U320" s="1" t="str">
        <f>TEXT(tblTransactions[[#This Row],[Date]],"YYYY-MM")</f>
        <v>2025-10</v>
      </c>
      <c r="Z320" s="1"/>
    </row>
    <row r="321" spans="15:26" ht="15" customHeight="1" x14ac:dyDescent="0.3">
      <c r="O321" s="14" t="s">
        <v>1036</v>
      </c>
      <c r="P321" s="14" t="s">
        <v>376</v>
      </c>
      <c r="Q321" s="15">
        <v>45768</v>
      </c>
      <c r="R321" s="14" t="s">
        <v>89</v>
      </c>
      <c r="S321" s="14">
        <v>6830</v>
      </c>
      <c r="U321" s="1" t="str">
        <f>TEXT(tblTransactions[[#This Row],[Date]],"YYYY-MM")</f>
        <v>2025-04</v>
      </c>
      <c r="Z321" s="1"/>
    </row>
    <row r="322" spans="15:26" ht="15" customHeight="1" x14ac:dyDescent="0.3">
      <c r="O322" s="14" t="s">
        <v>1037</v>
      </c>
      <c r="P322" s="14" t="s">
        <v>376</v>
      </c>
      <c r="Q322" s="15">
        <v>45990</v>
      </c>
      <c r="R322" s="14" t="s">
        <v>117</v>
      </c>
      <c r="S322" s="14">
        <v>5080</v>
      </c>
      <c r="U322" s="1" t="str">
        <f>TEXT(tblTransactions[[#This Row],[Date]],"YYYY-MM")</f>
        <v>2025-11</v>
      </c>
      <c r="Z322" s="1"/>
    </row>
    <row r="323" spans="15:26" ht="15" customHeight="1" x14ac:dyDescent="0.3">
      <c r="O323" s="14" t="s">
        <v>1038</v>
      </c>
      <c r="P323" s="14" t="s">
        <v>376</v>
      </c>
      <c r="Q323" s="15">
        <v>45981</v>
      </c>
      <c r="R323" s="14" t="s">
        <v>122</v>
      </c>
      <c r="S323" s="14">
        <v>12280</v>
      </c>
      <c r="U323" s="1" t="str">
        <f>TEXT(tblTransactions[[#This Row],[Date]],"YYYY-MM")</f>
        <v>2025-11</v>
      </c>
      <c r="Z323" s="1"/>
    </row>
    <row r="324" spans="15:26" ht="15" customHeight="1" x14ac:dyDescent="0.3">
      <c r="O324" s="14" t="s">
        <v>1039</v>
      </c>
      <c r="P324" s="14" t="s">
        <v>376</v>
      </c>
      <c r="Q324" s="15">
        <v>45915</v>
      </c>
      <c r="R324" s="14" t="s">
        <v>117</v>
      </c>
      <c r="S324" s="14">
        <v>17570</v>
      </c>
      <c r="U324" s="1" t="str">
        <f>TEXT(tblTransactions[[#This Row],[Date]],"YYYY-MM")</f>
        <v>2025-09</v>
      </c>
      <c r="Z324" s="1"/>
    </row>
    <row r="325" spans="15:26" ht="15" customHeight="1" x14ac:dyDescent="0.3">
      <c r="O325" s="14" t="s">
        <v>1040</v>
      </c>
      <c r="P325" s="14" t="s">
        <v>376</v>
      </c>
      <c r="Q325" s="15">
        <v>45911</v>
      </c>
      <c r="R325" s="14" t="s">
        <v>135</v>
      </c>
      <c r="S325" s="14">
        <v>16140</v>
      </c>
      <c r="U325" s="1" t="str">
        <f>TEXT(tblTransactions[[#This Row],[Date]],"YYYY-MM")</f>
        <v>2025-09</v>
      </c>
      <c r="Z325" s="1"/>
    </row>
    <row r="326" spans="15:26" ht="15" customHeight="1" x14ac:dyDescent="0.3">
      <c r="O326" s="14" t="s">
        <v>1041</v>
      </c>
      <c r="P326" s="14" t="s">
        <v>376</v>
      </c>
      <c r="Q326" s="15">
        <v>45901</v>
      </c>
      <c r="R326" s="14" t="s">
        <v>117</v>
      </c>
      <c r="S326" s="14">
        <v>25000</v>
      </c>
      <c r="U326" s="1" t="str">
        <f>TEXT(tblTransactions[[#This Row],[Date]],"YYYY-MM")</f>
        <v>2025-09</v>
      </c>
      <c r="Z326" s="1"/>
    </row>
    <row r="327" spans="15:26" ht="15" customHeight="1" x14ac:dyDescent="0.3">
      <c r="O327" s="14" t="s">
        <v>1042</v>
      </c>
      <c r="P327" s="14" t="s">
        <v>376</v>
      </c>
      <c r="Q327" s="15">
        <v>45920</v>
      </c>
      <c r="R327" s="14" t="s">
        <v>81</v>
      </c>
      <c r="S327" s="14">
        <v>1730</v>
      </c>
      <c r="U327" s="1" t="str">
        <f>TEXT(tblTransactions[[#This Row],[Date]],"YYYY-MM")</f>
        <v>2025-09</v>
      </c>
      <c r="Z327" s="1"/>
    </row>
    <row r="328" spans="15:26" ht="15" customHeight="1" x14ac:dyDescent="0.3">
      <c r="O328" s="14" t="s">
        <v>1043</v>
      </c>
      <c r="P328" s="14" t="s">
        <v>376</v>
      </c>
      <c r="Q328" s="15">
        <v>46036</v>
      </c>
      <c r="R328" s="14" t="s">
        <v>89</v>
      </c>
      <c r="S328" s="14">
        <v>4310</v>
      </c>
      <c r="U328" s="1" t="str">
        <f>TEXT(tblTransactions[[#This Row],[Date]],"YYYY-MM")</f>
        <v>2026-01</v>
      </c>
      <c r="Z328" s="1"/>
    </row>
    <row r="329" spans="15:26" ht="15" customHeight="1" x14ac:dyDescent="0.3">
      <c r="O329" s="14" t="s">
        <v>1044</v>
      </c>
      <c r="P329" s="14" t="s">
        <v>376</v>
      </c>
      <c r="Q329" s="15">
        <v>45991</v>
      </c>
      <c r="R329" s="14" t="s">
        <v>135</v>
      </c>
      <c r="S329" s="14">
        <v>6120</v>
      </c>
      <c r="U329" s="1" t="str">
        <f>TEXT(tblTransactions[[#This Row],[Date]],"YYYY-MM")</f>
        <v>2025-11</v>
      </c>
      <c r="Z329" s="1"/>
    </row>
    <row r="330" spans="15:26" ht="15" customHeight="1" x14ac:dyDescent="0.3">
      <c r="O330" s="14" t="s">
        <v>1045</v>
      </c>
      <c r="P330" s="14" t="s">
        <v>376</v>
      </c>
      <c r="Q330" s="15">
        <v>45804</v>
      </c>
      <c r="R330" s="14" t="s">
        <v>81</v>
      </c>
      <c r="S330" s="14">
        <v>2230</v>
      </c>
      <c r="U330" s="1" t="str">
        <f>TEXT(tblTransactions[[#This Row],[Date]],"YYYY-MM")</f>
        <v>2025-05</v>
      </c>
      <c r="Z330" s="1"/>
    </row>
    <row r="331" spans="15:26" ht="15" customHeight="1" x14ac:dyDescent="0.3">
      <c r="O331" s="14" t="s">
        <v>1046</v>
      </c>
      <c r="P331" s="14" t="s">
        <v>376</v>
      </c>
      <c r="Q331" s="15">
        <v>46058</v>
      </c>
      <c r="R331" s="14" t="s">
        <v>135</v>
      </c>
      <c r="S331" s="14">
        <v>1310</v>
      </c>
      <c r="U331" s="1" t="str">
        <f>TEXT(tblTransactions[[#This Row],[Date]],"YYYY-MM")</f>
        <v>2026-02</v>
      </c>
      <c r="Z331" s="1"/>
    </row>
    <row r="332" spans="15:26" ht="15" customHeight="1" x14ac:dyDescent="0.3">
      <c r="O332" s="14" t="s">
        <v>1047</v>
      </c>
      <c r="P332" s="14" t="s">
        <v>380</v>
      </c>
      <c r="Q332" s="15">
        <v>46099</v>
      </c>
      <c r="R332" s="14" t="s">
        <v>81</v>
      </c>
      <c r="S332" s="14">
        <v>2200</v>
      </c>
      <c r="U332" s="1" t="str">
        <f>TEXT(tblTransactions[[#This Row],[Date]],"YYYY-MM")</f>
        <v>2026-03</v>
      </c>
      <c r="Z332" s="1"/>
    </row>
    <row r="333" spans="15:26" ht="15" customHeight="1" x14ac:dyDescent="0.3">
      <c r="O333" s="14" t="s">
        <v>1048</v>
      </c>
      <c r="P333" s="14" t="s">
        <v>384</v>
      </c>
      <c r="Q333" s="15">
        <v>46043</v>
      </c>
      <c r="R333" s="14" t="s">
        <v>81</v>
      </c>
      <c r="S333" s="14">
        <v>4670</v>
      </c>
      <c r="U333" s="1" t="str">
        <f>TEXT(tblTransactions[[#This Row],[Date]],"YYYY-MM")</f>
        <v>2026-01</v>
      </c>
      <c r="Z333" s="1"/>
    </row>
    <row r="334" spans="15:26" ht="15" customHeight="1" x14ac:dyDescent="0.3">
      <c r="O334" s="14" t="s">
        <v>1049</v>
      </c>
      <c r="P334" s="14" t="s">
        <v>384</v>
      </c>
      <c r="Q334" s="15">
        <v>45835</v>
      </c>
      <c r="R334" s="14" t="s">
        <v>117</v>
      </c>
      <c r="S334" s="14">
        <v>5820</v>
      </c>
      <c r="U334" s="1" t="str">
        <f>TEXT(tblTransactions[[#This Row],[Date]],"YYYY-MM")</f>
        <v>2025-06</v>
      </c>
      <c r="Z334" s="1"/>
    </row>
    <row r="335" spans="15:26" ht="15" customHeight="1" x14ac:dyDescent="0.3">
      <c r="O335" s="14" t="s">
        <v>1050</v>
      </c>
      <c r="P335" s="14" t="s">
        <v>384</v>
      </c>
      <c r="Q335" s="15">
        <v>46070</v>
      </c>
      <c r="R335" s="14" t="s">
        <v>81</v>
      </c>
      <c r="S335" s="14">
        <v>3510</v>
      </c>
      <c r="U335" s="1" t="str">
        <f>TEXT(tblTransactions[[#This Row],[Date]],"YYYY-MM")</f>
        <v>2026-02</v>
      </c>
      <c r="Z335" s="1"/>
    </row>
    <row r="336" spans="15:26" ht="15" customHeight="1" x14ac:dyDescent="0.3">
      <c r="O336" s="14" t="s">
        <v>1051</v>
      </c>
      <c r="P336" s="14" t="s">
        <v>384</v>
      </c>
      <c r="Q336" s="15">
        <v>46097</v>
      </c>
      <c r="R336" s="14" t="s">
        <v>122</v>
      </c>
      <c r="S336" s="14">
        <v>1160</v>
      </c>
      <c r="U336" s="1" t="str">
        <f>TEXT(tblTransactions[[#This Row],[Date]],"YYYY-MM")</f>
        <v>2026-03</v>
      </c>
      <c r="Z336" s="1"/>
    </row>
    <row r="337" spans="15:26" ht="15" customHeight="1" x14ac:dyDescent="0.3">
      <c r="O337" s="14" t="s">
        <v>1052</v>
      </c>
      <c r="P337" s="14" t="s">
        <v>388</v>
      </c>
      <c r="Q337" s="15">
        <v>45828</v>
      </c>
      <c r="R337" s="14" t="s">
        <v>122</v>
      </c>
      <c r="S337" s="14">
        <v>2190</v>
      </c>
      <c r="U337" s="1" t="str">
        <f>TEXT(tblTransactions[[#This Row],[Date]],"YYYY-MM")</f>
        <v>2025-06</v>
      </c>
      <c r="Z337" s="1"/>
    </row>
    <row r="338" spans="15:26" ht="15" customHeight="1" x14ac:dyDescent="0.3">
      <c r="O338" s="14" t="s">
        <v>1053</v>
      </c>
      <c r="P338" s="14" t="s">
        <v>388</v>
      </c>
      <c r="Q338" s="15">
        <v>45853</v>
      </c>
      <c r="R338" s="14" t="s">
        <v>117</v>
      </c>
      <c r="S338" s="14">
        <v>6740</v>
      </c>
      <c r="U338" s="1" t="str">
        <f>TEXT(tblTransactions[[#This Row],[Date]],"YYYY-MM")</f>
        <v>2025-07</v>
      </c>
      <c r="Z338" s="1"/>
    </row>
    <row r="339" spans="15:26" ht="15" customHeight="1" x14ac:dyDescent="0.3">
      <c r="O339" s="14" t="s">
        <v>1054</v>
      </c>
      <c r="P339" s="14" t="s">
        <v>388</v>
      </c>
      <c r="Q339" s="15">
        <v>45946</v>
      </c>
      <c r="R339" s="14" t="s">
        <v>135</v>
      </c>
      <c r="S339" s="14">
        <v>2260</v>
      </c>
      <c r="U339" s="1" t="str">
        <f>TEXT(tblTransactions[[#This Row],[Date]],"YYYY-MM")</f>
        <v>2025-10</v>
      </c>
      <c r="Z339" s="1"/>
    </row>
    <row r="340" spans="15:26" ht="15" customHeight="1" x14ac:dyDescent="0.3">
      <c r="O340" s="14" t="s">
        <v>1055</v>
      </c>
      <c r="P340" s="14" t="s">
        <v>388</v>
      </c>
      <c r="Q340" s="15">
        <v>45934</v>
      </c>
      <c r="R340" s="14" t="s">
        <v>110</v>
      </c>
      <c r="S340" s="14">
        <v>2510</v>
      </c>
      <c r="U340" s="1" t="str">
        <f>TEXT(tblTransactions[[#This Row],[Date]],"YYYY-MM")</f>
        <v>2025-10</v>
      </c>
      <c r="Z340" s="1"/>
    </row>
    <row r="341" spans="15:26" ht="15" customHeight="1" x14ac:dyDescent="0.3">
      <c r="O341" s="14" t="s">
        <v>1056</v>
      </c>
      <c r="P341" s="14" t="s">
        <v>388</v>
      </c>
      <c r="Q341" s="15">
        <v>45928</v>
      </c>
      <c r="R341" s="14" t="s">
        <v>89</v>
      </c>
      <c r="S341" s="14">
        <v>6400</v>
      </c>
      <c r="U341" s="1" t="str">
        <f>TEXT(tblTransactions[[#This Row],[Date]],"YYYY-MM")</f>
        <v>2025-09</v>
      </c>
      <c r="Z341" s="1"/>
    </row>
    <row r="342" spans="15:26" ht="15" customHeight="1" x14ac:dyDescent="0.3">
      <c r="O342" s="14" t="s">
        <v>1057</v>
      </c>
      <c r="P342" s="14" t="s">
        <v>388</v>
      </c>
      <c r="Q342" s="15">
        <v>45917</v>
      </c>
      <c r="R342" s="14" t="s">
        <v>81</v>
      </c>
      <c r="S342" s="14">
        <v>6820</v>
      </c>
      <c r="U342" s="1" t="str">
        <f>TEXT(tblTransactions[[#This Row],[Date]],"YYYY-MM")</f>
        <v>2025-09</v>
      </c>
      <c r="Z342" s="1"/>
    </row>
    <row r="343" spans="15:26" ht="15" customHeight="1" x14ac:dyDescent="0.3">
      <c r="O343" s="14" t="s">
        <v>1058</v>
      </c>
      <c r="P343" s="14" t="s">
        <v>388</v>
      </c>
      <c r="Q343" s="15">
        <v>45882</v>
      </c>
      <c r="R343" s="14" t="s">
        <v>81</v>
      </c>
      <c r="S343" s="14">
        <v>1070</v>
      </c>
      <c r="U343" s="1" t="str">
        <f>TEXT(tblTransactions[[#This Row],[Date]],"YYYY-MM")</f>
        <v>2025-08</v>
      </c>
      <c r="Z343" s="1"/>
    </row>
    <row r="344" spans="15:26" ht="15" customHeight="1" x14ac:dyDescent="0.3">
      <c r="O344" s="14" t="s">
        <v>1059</v>
      </c>
      <c r="P344" s="14" t="s">
        <v>388</v>
      </c>
      <c r="Q344" s="15">
        <v>45884</v>
      </c>
      <c r="R344" s="14" t="s">
        <v>89</v>
      </c>
      <c r="S344" s="14">
        <v>18270</v>
      </c>
      <c r="U344" s="1" t="str">
        <f>TEXT(tblTransactions[[#This Row],[Date]],"YYYY-MM")</f>
        <v>2025-08</v>
      </c>
      <c r="Z344" s="1"/>
    </row>
    <row r="345" spans="15:26" ht="15" customHeight="1" x14ac:dyDescent="0.3">
      <c r="O345" s="14" t="s">
        <v>1060</v>
      </c>
      <c r="P345" s="14" t="s">
        <v>388</v>
      </c>
      <c r="Q345" s="15">
        <v>45973</v>
      </c>
      <c r="R345" s="14" t="s">
        <v>135</v>
      </c>
      <c r="S345" s="14">
        <v>1420</v>
      </c>
      <c r="U345" s="1" t="str">
        <f>TEXT(tblTransactions[[#This Row],[Date]],"YYYY-MM")</f>
        <v>2025-11</v>
      </c>
      <c r="Z345" s="1"/>
    </row>
    <row r="346" spans="15:26" ht="15" customHeight="1" x14ac:dyDescent="0.3">
      <c r="O346" s="14" t="s">
        <v>1061</v>
      </c>
      <c r="P346" s="14" t="s">
        <v>392</v>
      </c>
      <c r="Q346" s="15">
        <v>46056</v>
      </c>
      <c r="R346" s="14" t="s">
        <v>117</v>
      </c>
      <c r="S346" s="14">
        <v>3190</v>
      </c>
      <c r="U346" s="1" t="str">
        <f>TEXT(tblTransactions[[#This Row],[Date]],"YYYY-MM")</f>
        <v>2026-02</v>
      </c>
      <c r="Z346" s="1"/>
    </row>
    <row r="347" spans="15:26" ht="15" customHeight="1" x14ac:dyDescent="0.3">
      <c r="O347" s="14" t="s">
        <v>1062</v>
      </c>
      <c r="P347" s="14" t="s">
        <v>396</v>
      </c>
      <c r="Q347" s="15">
        <v>46058</v>
      </c>
      <c r="R347" s="14" t="s">
        <v>89</v>
      </c>
      <c r="S347" s="14">
        <v>2640</v>
      </c>
      <c r="U347" s="1" t="str">
        <f>TEXT(tblTransactions[[#This Row],[Date]],"YYYY-MM")</f>
        <v>2026-02</v>
      </c>
      <c r="Z347" s="1"/>
    </row>
    <row r="348" spans="15:26" ht="15" customHeight="1" x14ac:dyDescent="0.3">
      <c r="O348" s="14" t="s">
        <v>1063</v>
      </c>
      <c r="P348" s="14" t="s">
        <v>400</v>
      </c>
      <c r="Q348" s="15">
        <v>45910</v>
      </c>
      <c r="R348" s="14" t="s">
        <v>81</v>
      </c>
      <c r="S348" s="14">
        <v>3670</v>
      </c>
      <c r="U348" s="1" t="str">
        <f>TEXT(tblTransactions[[#This Row],[Date]],"YYYY-MM")</f>
        <v>2025-09</v>
      </c>
      <c r="Z348" s="1"/>
    </row>
    <row r="349" spans="15:26" ht="15" customHeight="1" x14ac:dyDescent="0.3">
      <c r="O349" s="14" t="s">
        <v>1064</v>
      </c>
      <c r="P349" s="14" t="s">
        <v>400</v>
      </c>
      <c r="Q349" s="15">
        <v>45926</v>
      </c>
      <c r="R349" s="14" t="s">
        <v>135</v>
      </c>
      <c r="S349" s="14">
        <v>790</v>
      </c>
      <c r="U349" s="1" t="str">
        <f>TEXT(tblTransactions[[#This Row],[Date]],"YYYY-MM")</f>
        <v>2025-09</v>
      </c>
      <c r="Z349" s="1"/>
    </row>
    <row r="350" spans="15:26" ht="15" customHeight="1" x14ac:dyDescent="0.3">
      <c r="O350" s="14" t="s">
        <v>1065</v>
      </c>
      <c r="P350" s="14" t="s">
        <v>400</v>
      </c>
      <c r="Q350" s="15">
        <v>45888</v>
      </c>
      <c r="R350" s="14" t="s">
        <v>89</v>
      </c>
      <c r="S350" s="14">
        <v>2250</v>
      </c>
      <c r="U350" s="1" t="str">
        <f>TEXT(tblTransactions[[#This Row],[Date]],"YYYY-MM")</f>
        <v>2025-08</v>
      </c>
      <c r="Z350" s="1"/>
    </row>
    <row r="351" spans="15:26" ht="15" customHeight="1" x14ac:dyDescent="0.3">
      <c r="O351" s="14" t="s">
        <v>1066</v>
      </c>
      <c r="P351" s="14" t="s">
        <v>400</v>
      </c>
      <c r="Q351" s="15">
        <v>45810</v>
      </c>
      <c r="R351" s="14" t="s">
        <v>81</v>
      </c>
      <c r="S351" s="14">
        <v>1840</v>
      </c>
      <c r="U351" s="1" t="str">
        <f>TEXT(tblTransactions[[#This Row],[Date]],"YYYY-MM")</f>
        <v>2025-06</v>
      </c>
      <c r="Z351" s="1"/>
    </row>
    <row r="352" spans="15:26" ht="15" customHeight="1" x14ac:dyDescent="0.3">
      <c r="O352" s="14" t="s">
        <v>1067</v>
      </c>
      <c r="P352" s="14" t="s">
        <v>400</v>
      </c>
      <c r="Q352" s="15">
        <v>45924</v>
      </c>
      <c r="R352" s="14" t="s">
        <v>122</v>
      </c>
      <c r="S352" s="14">
        <v>2880</v>
      </c>
      <c r="U352" s="1" t="str">
        <f>TEXT(tblTransactions[[#This Row],[Date]],"YYYY-MM")</f>
        <v>2025-09</v>
      </c>
      <c r="Z352" s="1"/>
    </row>
    <row r="353" spans="15:26" ht="15" customHeight="1" x14ac:dyDescent="0.3">
      <c r="O353" s="14" t="s">
        <v>1068</v>
      </c>
      <c r="P353" s="14" t="s">
        <v>400</v>
      </c>
      <c r="Q353" s="15">
        <v>45896</v>
      </c>
      <c r="R353" s="14" t="s">
        <v>110</v>
      </c>
      <c r="S353" s="14">
        <v>25000</v>
      </c>
      <c r="U353" s="1" t="str">
        <f>TEXT(tblTransactions[[#This Row],[Date]],"YYYY-MM")</f>
        <v>2025-08</v>
      </c>
      <c r="Z353" s="1"/>
    </row>
    <row r="354" spans="15:26" ht="15" customHeight="1" x14ac:dyDescent="0.3">
      <c r="O354" s="14" t="s">
        <v>1069</v>
      </c>
      <c r="P354" s="14" t="s">
        <v>400</v>
      </c>
      <c r="Q354" s="15">
        <v>45925</v>
      </c>
      <c r="R354" s="14" t="s">
        <v>81</v>
      </c>
      <c r="S354" s="14">
        <v>7580</v>
      </c>
      <c r="U354" s="1" t="str">
        <f>TEXT(tblTransactions[[#This Row],[Date]],"YYYY-MM")</f>
        <v>2025-09</v>
      </c>
      <c r="Z354" s="1"/>
    </row>
    <row r="355" spans="15:26" ht="15" customHeight="1" x14ac:dyDescent="0.3">
      <c r="O355" s="14" t="s">
        <v>1070</v>
      </c>
      <c r="P355" s="14" t="s">
        <v>400</v>
      </c>
      <c r="Q355" s="15">
        <v>46083</v>
      </c>
      <c r="R355" s="14" t="s">
        <v>122</v>
      </c>
      <c r="S355" s="14">
        <v>4340</v>
      </c>
      <c r="U355" s="1" t="str">
        <f>TEXT(tblTransactions[[#This Row],[Date]],"YYYY-MM")</f>
        <v>2026-03</v>
      </c>
      <c r="Z355" s="1"/>
    </row>
    <row r="356" spans="15:26" ht="15" customHeight="1" x14ac:dyDescent="0.3">
      <c r="O356" s="14" t="s">
        <v>1071</v>
      </c>
      <c r="P356" s="14" t="s">
        <v>400</v>
      </c>
      <c r="Q356" s="15">
        <v>46023</v>
      </c>
      <c r="R356" s="14" t="s">
        <v>89</v>
      </c>
      <c r="S356" s="14">
        <v>11210</v>
      </c>
      <c r="U356" s="1" t="str">
        <f>TEXT(tblTransactions[[#This Row],[Date]],"YYYY-MM")</f>
        <v>2026-01</v>
      </c>
      <c r="Z356" s="1"/>
    </row>
    <row r="357" spans="15:26" ht="15" customHeight="1" x14ac:dyDescent="0.3">
      <c r="O357" s="14" t="s">
        <v>1072</v>
      </c>
      <c r="P357" s="14" t="s">
        <v>400</v>
      </c>
      <c r="Q357" s="15">
        <v>46085</v>
      </c>
      <c r="R357" s="14" t="s">
        <v>122</v>
      </c>
      <c r="S357" s="14">
        <v>13890</v>
      </c>
      <c r="U357" s="1" t="str">
        <f>TEXT(tblTransactions[[#This Row],[Date]],"YYYY-MM")</f>
        <v>2026-03</v>
      </c>
      <c r="Z357" s="1"/>
    </row>
    <row r="358" spans="15:26" ht="15" customHeight="1" x14ac:dyDescent="0.3">
      <c r="O358" s="14" t="s">
        <v>1073</v>
      </c>
      <c r="P358" s="14" t="s">
        <v>404</v>
      </c>
      <c r="Q358" s="15">
        <v>46054</v>
      </c>
      <c r="R358" s="14" t="s">
        <v>110</v>
      </c>
      <c r="S358" s="14">
        <v>2720</v>
      </c>
      <c r="U358" s="1" t="str">
        <f>TEXT(tblTransactions[[#This Row],[Date]],"YYYY-MM")</f>
        <v>2026-02</v>
      </c>
      <c r="Z358" s="1"/>
    </row>
    <row r="359" spans="15:26" ht="15" customHeight="1" x14ac:dyDescent="0.3">
      <c r="O359" s="14" t="s">
        <v>1074</v>
      </c>
      <c r="P359" s="14" t="s">
        <v>408</v>
      </c>
      <c r="Q359" s="15">
        <v>46104</v>
      </c>
      <c r="R359" s="14" t="s">
        <v>89</v>
      </c>
      <c r="S359" s="14">
        <v>4680</v>
      </c>
      <c r="U359" s="1" t="str">
        <f>TEXT(tblTransactions[[#This Row],[Date]],"YYYY-MM")</f>
        <v>2026-03</v>
      </c>
      <c r="Z359" s="1"/>
    </row>
    <row r="360" spans="15:26" ht="15" customHeight="1" x14ac:dyDescent="0.3">
      <c r="O360" s="14" t="s">
        <v>1075</v>
      </c>
      <c r="P360" s="14" t="s">
        <v>412</v>
      </c>
      <c r="Q360" s="15">
        <v>45818</v>
      </c>
      <c r="R360" s="14" t="s">
        <v>110</v>
      </c>
      <c r="S360" s="14">
        <v>6490</v>
      </c>
      <c r="U360" s="1" t="str">
        <f>TEXT(tblTransactions[[#This Row],[Date]],"YYYY-MM")</f>
        <v>2025-06</v>
      </c>
      <c r="Z360" s="1"/>
    </row>
    <row r="361" spans="15:26" ht="15" customHeight="1" x14ac:dyDescent="0.3">
      <c r="O361" s="14" t="s">
        <v>1076</v>
      </c>
      <c r="P361" s="14" t="s">
        <v>416</v>
      </c>
      <c r="Q361" s="15">
        <v>45870</v>
      </c>
      <c r="R361" s="14" t="s">
        <v>89</v>
      </c>
      <c r="S361" s="14">
        <v>2050</v>
      </c>
      <c r="U361" s="1" t="str">
        <f>TEXT(tblTransactions[[#This Row],[Date]],"YYYY-MM")</f>
        <v>2025-08</v>
      </c>
      <c r="Z361" s="1"/>
    </row>
    <row r="362" spans="15:26" ht="15" customHeight="1" x14ac:dyDescent="0.3">
      <c r="O362" s="14" t="s">
        <v>1077</v>
      </c>
      <c r="P362" s="14" t="s">
        <v>416</v>
      </c>
      <c r="Q362" s="15">
        <v>45830</v>
      </c>
      <c r="R362" s="14" t="s">
        <v>89</v>
      </c>
      <c r="S362" s="14">
        <v>1510</v>
      </c>
      <c r="U362" s="1" t="str">
        <f>TEXT(tblTransactions[[#This Row],[Date]],"YYYY-MM")</f>
        <v>2025-06</v>
      </c>
      <c r="Z362" s="1"/>
    </row>
    <row r="363" spans="15:26" ht="15" customHeight="1" x14ac:dyDescent="0.3">
      <c r="O363" s="14" t="s">
        <v>1078</v>
      </c>
      <c r="P363" s="14" t="s">
        <v>416</v>
      </c>
      <c r="Q363" s="15">
        <v>45991</v>
      </c>
      <c r="R363" s="14" t="s">
        <v>110</v>
      </c>
      <c r="S363" s="14">
        <v>1550</v>
      </c>
      <c r="U363" s="1" t="str">
        <f>TEXT(tblTransactions[[#This Row],[Date]],"YYYY-MM")</f>
        <v>2025-11</v>
      </c>
      <c r="Z363" s="1"/>
    </row>
    <row r="364" spans="15:26" ht="15" customHeight="1" x14ac:dyDescent="0.3">
      <c r="O364" s="14" t="s">
        <v>1079</v>
      </c>
      <c r="P364" s="14" t="s">
        <v>420</v>
      </c>
      <c r="Q364" s="15">
        <v>45837</v>
      </c>
      <c r="R364" s="14" t="s">
        <v>81</v>
      </c>
      <c r="S364" s="14">
        <v>1120</v>
      </c>
      <c r="U364" s="1" t="str">
        <f>TEXT(tblTransactions[[#This Row],[Date]],"YYYY-MM")</f>
        <v>2025-06</v>
      </c>
      <c r="Z364" s="1"/>
    </row>
    <row r="365" spans="15:26" ht="15" customHeight="1" x14ac:dyDescent="0.3">
      <c r="O365" s="14" t="s">
        <v>1080</v>
      </c>
      <c r="P365" s="14" t="s">
        <v>420</v>
      </c>
      <c r="Q365" s="15">
        <v>45838</v>
      </c>
      <c r="R365" s="14" t="s">
        <v>81</v>
      </c>
      <c r="S365" s="14">
        <v>5490</v>
      </c>
      <c r="U365" s="1" t="str">
        <f>TEXT(tblTransactions[[#This Row],[Date]],"YYYY-MM")</f>
        <v>2025-06</v>
      </c>
      <c r="Z365" s="1"/>
    </row>
    <row r="366" spans="15:26" ht="15" customHeight="1" x14ac:dyDescent="0.3">
      <c r="O366" s="14" t="s">
        <v>1081</v>
      </c>
      <c r="P366" s="14" t="s">
        <v>420</v>
      </c>
      <c r="Q366" s="15">
        <v>46027</v>
      </c>
      <c r="R366" s="14" t="s">
        <v>81</v>
      </c>
      <c r="S366" s="14">
        <v>4120</v>
      </c>
      <c r="U366" s="1" t="str">
        <f>TEXT(tblTransactions[[#This Row],[Date]],"YYYY-MM")</f>
        <v>2026-01</v>
      </c>
      <c r="Z366" s="1"/>
    </row>
    <row r="367" spans="15:26" ht="15" customHeight="1" x14ac:dyDescent="0.3">
      <c r="O367" s="14" t="s">
        <v>1082</v>
      </c>
      <c r="P367" s="14" t="s">
        <v>424</v>
      </c>
      <c r="Q367" s="15">
        <v>46060</v>
      </c>
      <c r="R367" s="14" t="s">
        <v>117</v>
      </c>
      <c r="S367" s="14">
        <v>4870</v>
      </c>
      <c r="U367" s="1" t="str">
        <f>TEXT(tblTransactions[[#This Row],[Date]],"YYYY-MM")</f>
        <v>2026-02</v>
      </c>
      <c r="Z367" s="1"/>
    </row>
    <row r="368" spans="15:26" ht="15" customHeight="1" x14ac:dyDescent="0.3">
      <c r="O368" s="14" t="s">
        <v>1083</v>
      </c>
      <c r="P368" s="14" t="s">
        <v>428</v>
      </c>
      <c r="Q368" s="15">
        <v>46000</v>
      </c>
      <c r="R368" s="14" t="s">
        <v>122</v>
      </c>
      <c r="S368" s="14">
        <v>4170</v>
      </c>
      <c r="U368" s="1" t="str">
        <f>TEXT(tblTransactions[[#This Row],[Date]],"YYYY-MM")</f>
        <v>2025-12</v>
      </c>
      <c r="Z368" s="1"/>
    </row>
    <row r="369" spans="15:26" ht="15" customHeight="1" x14ac:dyDescent="0.3">
      <c r="O369" s="14" t="s">
        <v>1084</v>
      </c>
      <c r="P369" s="14" t="s">
        <v>428</v>
      </c>
      <c r="Q369" s="15">
        <v>46006</v>
      </c>
      <c r="R369" s="14" t="s">
        <v>110</v>
      </c>
      <c r="S369" s="14">
        <v>2690</v>
      </c>
      <c r="U369" s="1" t="str">
        <f>TEXT(tblTransactions[[#This Row],[Date]],"YYYY-MM")</f>
        <v>2025-12</v>
      </c>
      <c r="Z369" s="1"/>
    </row>
    <row r="370" spans="15:26" ht="15" customHeight="1" x14ac:dyDescent="0.3">
      <c r="O370" s="14" t="s">
        <v>1085</v>
      </c>
      <c r="P370" s="14" t="s">
        <v>428</v>
      </c>
      <c r="Q370" s="15">
        <v>45917</v>
      </c>
      <c r="R370" s="14" t="s">
        <v>122</v>
      </c>
      <c r="S370" s="14">
        <v>5000</v>
      </c>
      <c r="U370" s="1" t="str">
        <f>TEXT(tblTransactions[[#This Row],[Date]],"YYYY-MM")</f>
        <v>2025-09</v>
      </c>
      <c r="Z370" s="1"/>
    </row>
    <row r="371" spans="15:26" ht="15" customHeight="1" x14ac:dyDescent="0.3">
      <c r="O371" s="14" t="s">
        <v>1086</v>
      </c>
      <c r="P371" s="14" t="s">
        <v>428</v>
      </c>
      <c r="Q371" s="15">
        <v>45982</v>
      </c>
      <c r="R371" s="14" t="s">
        <v>110</v>
      </c>
      <c r="S371" s="14">
        <v>2100</v>
      </c>
      <c r="U371" s="1" t="str">
        <f>TEXT(tblTransactions[[#This Row],[Date]],"YYYY-MM")</f>
        <v>2025-11</v>
      </c>
      <c r="Z371" s="1"/>
    </row>
    <row r="372" spans="15:26" ht="15" customHeight="1" x14ac:dyDescent="0.3">
      <c r="O372" s="14" t="s">
        <v>1087</v>
      </c>
      <c r="P372" s="14" t="s">
        <v>428</v>
      </c>
      <c r="Q372" s="15">
        <v>45920</v>
      </c>
      <c r="R372" s="14" t="s">
        <v>89</v>
      </c>
      <c r="S372" s="14">
        <v>1620</v>
      </c>
      <c r="U372" s="1" t="str">
        <f>TEXT(tblTransactions[[#This Row],[Date]],"YYYY-MM")</f>
        <v>2025-09</v>
      </c>
      <c r="Z372" s="1"/>
    </row>
    <row r="373" spans="15:26" ht="15" customHeight="1" x14ac:dyDescent="0.3">
      <c r="O373" s="14" t="s">
        <v>1088</v>
      </c>
      <c r="P373" s="14" t="s">
        <v>428</v>
      </c>
      <c r="Q373" s="15">
        <v>45846</v>
      </c>
      <c r="R373" s="14" t="s">
        <v>81</v>
      </c>
      <c r="S373" s="14">
        <v>9160</v>
      </c>
      <c r="U373" s="1" t="str">
        <f>TEXT(tblTransactions[[#This Row],[Date]],"YYYY-MM")</f>
        <v>2025-07</v>
      </c>
      <c r="Z373" s="1"/>
    </row>
    <row r="374" spans="15:26" ht="15" customHeight="1" x14ac:dyDescent="0.3">
      <c r="O374" s="14" t="s">
        <v>1089</v>
      </c>
      <c r="P374" s="14" t="s">
        <v>428</v>
      </c>
      <c r="Q374" s="15">
        <v>45966</v>
      </c>
      <c r="R374" s="14" t="s">
        <v>117</v>
      </c>
      <c r="S374" s="14">
        <v>18360</v>
      </c>
      <c r="U374" s="1" t="str">
        <f>TEXT(tblTransactions[[#This Row],[Date]],"YYYY-MM")</f>
        <v>2025-11</v>
      </c>
      <c r="Z374" s="1"/>
    </row>
    <row r="375" spans="15:26" ht="15" customHeight="1" x14ac:dyDescent="0.3">
      <c r="O375" s="14" t="s">
        <v>1090</v>
      </c>
      <c r="P375" s="14" t="s">
        <v>428</v>
      </c>
      <c r="Q375" s="15">
        <v>45915</v>
      </c>
      <c r="R375" s="14" t="s">
        <v>122</v>
      </c>
      <c r="S375" s="14">
        <v>12450</v>
      </c>
      <c r="U375" s="1" t="str">
        <f>TEXT(tblTransactions[[#This Row],[Date]],"YYYY-MM")</f>
        <v>2025-09</v>
      </c>
      <c r="Z375" s="1"/>
    </row>
    <row r="376" spans="15:26" ht="15" customHeight="1" x14ac:dyDescent="0.3">
      <c r="O376" s="14" t="s">
        <v>1091</v>
      </c>
      <c r="P376" s="14" t="s">
        <v>428</v>
      </c>
      <c r="Q376" s="15">
        <v>45819</v>
      </c>
      <c r="R376" s="14" t="s">
        <v>81</v>
      </c>
      <c r="S376" s="14">
        <v>8340</v>
      </c>
      <c r="U376" s="1" t="str">
        <f>TEXT(tblTransactions[[#This Row],[Date]],"YYYY-MM")</f>
        <v>2025-06</v>
      </c>
      <c r="Z376" s="1"/>
    </row>
    <row r="377" spans="15:26" ht="15" customHeight="1" x14ac:dyDescent="0.3">
      <c r="O377" s="14" t="s">
        <v>1092</v>
      </c>
      <c r="P377" s="14" t="s">
        <v>428</v>
      </c>
      <c r="Q377" s="15">
        <v>45913</v>
      </c>
      <c r="R377" s="14" t="s">
        <v>81</v>
      </c>
      <c r="S377" s="14">
        <v>4900</v>
      </c>
      <c r="U377" s="1" t="str">
        <f>TEXT(tblTransactions[[#This Row],[Date]],"YYYY-MM")</f>
        <v>2025-09</v>
      </c>
      <c r="Z377" s="1"/>
    </row>
    <row r="378" spans="15:26" ht="15" customHeight="1" x14ac:dyDescent="0.3">
      <c r="O378" s="14" t="s">
        <v>1093</v>
      </c>
      <c r="P378" s="14" t="s">
        <v>428</v>
      </c>
      <c r="Q378" s="15">
        <v>45868</v>
      </c>
      <c r="R378" s="14" t="s">
        <v>81</v>
      </c>
      <c r="S378" s="14">
        <v>4340</v>
      </c>
      <c r="U378" s="1" t="str">
        <f>TEXT(tblTransactions[[#This Row],[Date]],"YYYY-MM")</f>
        <v>2025-07</v>
      </c>
      <c r="Z378" s="1"/>
    </row>
    <row r="379" spans="15:26" ht="15" customHeight="1" x14ac:dyDescent="0.3">
      <c r="O379" s="14" t="s">
        <v>1094</v>
      </c>
      <c r="P379" s="14" t="s">
        <v>428</v>
      </c>
      <c r="Q379" s="15">
        <v>45884</v>
      </c>
      <c r="R379" s="14" t="s">
        <v>135</v>
      </c>
      <c r="S379" s="14">
        <v>8620</v>
      </c>
      <c r="U379" s="1" t="str">
        <f>TEXT(tblTransactions[[#This Row],[Date]],"YYYY-MM")</f>
        <v>2025-08</v>
      </c>
      <c r="Z379" s="1"/>
    </row>
    <row r="380" spans="15:26" ht="15" customHeight="1" x14ac:dyDescent="0.3">
      <c r="O380" s="14" t="s">
        <v>1095</v>
      </c>
      <c r="P380" s="14" t="s">
        <v>428</v>
      </c>
      <c r="Q380" s="15">
        <v>46016</v>
      </c>
      <c r="R380" s="14" t="s">
        <v>117</v>
      </c>
      <c r="S380" s="14">
        <v>3710</v>
      </c>
      <c r="U380" s="1" t="str">
        <f>TEXT(tblTransactions[[#This Row],[Date]],"YYYY-MM")</f>
        <v>2025-12</v>
      </c>
      <c r="Z380" s="1"/>
    </row>
    <row r="381" spans="15:26" ht="15" customHeight="1" x14ac:dyDescent="0.3">
      <c r="O381" s="14" t="s">
        <v>1096</v>
      </c>
      <c r="P381" s="14" t="s">
        <v>432</v>
      </c>
      <c r="Q381" s="15">
        <v>45779</v>
      </c>
      <c r="R381" s="14" t="s">
        <v>122</v>
      </c>
      <c r="S381" s="14">
        <v>2890</v>
      </c>
      <c r="U381" s="1" t="str">
        <f>TEXT(tblTransactions[[#This Row],[Date]],"YYYY-MM")</f>
        <v>2025-05</v>
      </c>
      <c r="Z381" s="1"/>
    </row>
    <row r="382" spans="15:26" ht="15" customHeight="1" x14ac:dyDescent="0.3">
      <c r="O382" s="14" t="s">
        <v>1097</v>
      </c>
      <c r="P382" s="14" t="s">
        <v>432</v>
      </c>
      <c r="Q382" s="15">
        <v>45955</v>
      </c>
      <c r="R382" s="14" t="s">
        <v>135</v>
      </c>
      <c r="S382" s="14">
        <v>2070</v>
      </c>
      <c r="U382" s="1" t="str">
        <f>TEXT(tblTransactions[[#This Row],[Date]],"YYYY-MM")</f>
        <v>2025-10</v>
      </c>
      <c r="Z382" s="1"/>
    </row>
    <row r="383" spans="15:26" ht="15" customHeight="1" x14ac:dyDescent="0.3">
      <c r="O383" s="14" t="s">
        <v>1098</v>
      </c>
      <c r="P383" s="14" t="s">
        <v>432</v>
      </c>
      <c r="Q383" s="15">
        <v>46005</v>
      </c>
      <c r="R383" s="14" t="s">
        <v>89</v>
      </c>
      <c r="S383" s="14">
        <v>19800</v>
      </c>
      <c r="U383" s="1" t="str">
        <f>TEXT(tblTransactions[[#This Row],[Date]],"YYYY-MM")</f>
        <v>2025-12</v>
      </c>
      <c r="Z383" s="1"/>
    </row>
    <row r="384" spans="15:26" ht="15" customHeight="1" x14ac:dyDescent="0.3">
      <c r="O384" s="14" t="s">
        <v>1099</v>
      </c>
      <c r="P384" s="14" t="s">
        <v>432</v>
      </c>
      <c r="Q384" s="15">
        <v>45808</v>
      </c>
      <c r="R384" s="14" t="s">
        <v>135</v>
      </c>
      <c r="S384" s="14">
        <v>2070</v>
      </c>
      <c r="U384" s="1" t="str">
        <f>TEXT(tblTransactions[[#This Row],[Date]],"YYYY-MM")</f>
        <v>2025-05</v>
      </c>
      <c r="Z384" s="1"/>
    </row>
    <row r="385" spans="15:26" ht="15" customHeight="1" x14ac:dyDescent="0.3">
      <c r="O385" s="14" t="s">
        <v>1100</v>
      </c>
      <c r="P385" s="14" t="s">
        <v>432</v>
      </c>
      <c r="Q385" s="15">
        <v>45899</v>
      </c>
      <c r="R385" s="14" t="s">
        <v>122</v>
      </c>
      <c r="S385" s="14">
        <v>3080</v>
      </c>
      <c r="U385" s="1" t="str">
        <f>TEXT(tblTransactions[[#This Row],[Date]],"YYYY-MM")</f>
        <v>2025-08</v>
      </c>
      <c r="Z385" s="1"/>
    </row>
    <row r="386" spans="15:26" ht="15" customHeight="1" x14ac:dyDescent="0.3">
      <c r="O386" s="14" t="s">
        <v>1101</v>
      </c>
      <c r="P386" s="14" t="s">
        <v>432</v>
      </c>
      <c r="Q386" s="15">
        <v>46053</v>
      </c>
      <c r="R386" s="14" t="s">
        <v>81</v>
      </c>
      <c r="S386" s="14">
        <v>6830</v>
      </c>
      <c r="U386" s="1" t="str">
        <f>TEXT(tblTransactions[[#This Row],[Date]],"YYYY-MM")</f>
        <v>2026-01</v>
      </c>
      <c r="Z386" s="1"/>
    </row>
    <row r="387" spans="15:26" ht="15" customHeight="1" x14ac:dyDescent="0.3">
      <c r="O387" s="14" t="s">
        <v>1102</v>
      </c>
      <c r="P387" s="14" t="s">
        <v>436</v>
      </c>
      <c r="Q387" s="15">
        <v>45960</v>
      </c>
      <c r="R387" s="14" t="s">
        <v>117</v>
      </c>
      <c r="S387" s="14">
        <v>2660</v>
      </c>
      <c r="U387" s="1" t="str">
        <f>TEXT(tblTransactions[[#This Row],[Date]],"YYYY-MM")</f>
        <v>2025-10</v>
      </c>
      <c r="Z387" s="1"/>
    </row>
    <row r="388" spans="15:26" ht="15" customHeight="1" x14ac:dyDescent="0.3">
      <c r="O388" s="14" t="s">
        <v>1103</v>
      </c>
      <c r="P388" s="14" t="s">
        <v>436</v>
      </c>
      <c r="Q388" s="15">
        <v>45859</v>
      </c>
      <c r="R388" s="14" t="s">
        <v>122</v>
      </c>
      <c r="S388" s="14">
        <v>830</v>
      </c>
      <c r="U388" s="1" t="str">
        <f>TEXT(tblTransactions[[#This Row],[Date]],"YYYY-MM")</f>
        <v>2025-07</v>
      </c>
      <c r="Z388" s="1"/>
    </row>
    <row r="389" spans="15:26" ht="15" customHeight="1" x14ac:dyDescent="0.3">
      <c r="O389" s="14" t="s">
        <v>1104</v>
      </c>
      <c r="P389" s="14" t="s">
        <v>436</v>
      </c>
      <c r="Q389" s="15">
        <v>46053</v>
      </c>
      <c r="R389" s="14" t="s">
        <v>81</v>
      </c>
      <c r="S389" s="14">
        <v>5670</v>
      </c>
      <c r="U389" s="1" t="str">
        <f>TEXT(tblTransactions[[#This Row],[Date]],"YYYY-MM")</f>
        <v>2026-01</v>
      </c>
      <c r="Z389" s="1"/>
    </row>
    <row r="390" spans="15:26" ht="15" customHeight="1" x14ac:dyDescent="0.3">
      <c r="O390" s="14" t="s">
        <v>1105</v>
      </c>
      <c r="P390" s="14" t="s">
        <v>436</v>
      </c>
      <c r="Q390" s="15">
        <v>46018</v>
      </c>
      <c r="R390" s="14" t="s">
        <v>135</v>
      </c>
      <c r="S390" s="14">
        <v>3550</v>
      </c>
      <c r="U390" s="1" t="str">
        <f>TEXT(tblTransactions[[#This Row],[Date]],"YYYY-MM")</f>
        <v>2025-12</v>
      </c>
      <c r="Z390" s="1"/>
    </row>
    <row r="391" spans="15:26" ht="15" customHeight="1" x14ac:dyDescent="0.3">
      <c r="O391" s="14" t="s">
        <v>1106</v>
      </c>
      <c r="P391" s="14" t="s">
        <v>436</v>
      </c>
      <c r="Q391" s="15">
        <v>45933</v>
      </c>
      <c r="R391" s="14" t="s">
        <v>110</v>
      </c>
      <c r="S391" s="14">
        <v>11170</v>
      </c>
      <c r="U391" s="1" t="str">
        <f>TEXT(tblTransactions[[#This Row],[Date]],"YYYY-MM")</f>
        <v>2025-10</v>
      </c>
      <c r="Z391" s="1"/>
    </row>
    <row r="392" spans="15:26" ht="15" customHeight="1" x14ac:dyDescent="0.3">
      <c r="O392" s="14" t="s">
        <v>1107</v>
      </c>
      <c r="P392" s="14" t="s">
        <v>436</v>
      </c>
      <c r="Q392" s="15">
        <v>46028</v>
      </c>
      <c r="R392" s="14" t="s">
        <v>117</v>
      </c>
      <c r="S392" s="14">
        <v>7320</v>
      </c>
      <c r="U392" s="1" t="str">
        <f>TEXT(tblTransactions[[#This Row],[Date]],"YYYY-MM")</f>
        <v>2026-01</v>
      </c>
      <c r="Z392" s="1"/>
    </row>
    <row r="393" spans="15:26" ht="15" customHeight="1" x14ac:dyDescent="0.3">
      <c r="O393" s="14" t="s">
        <v>1108</v>
      </c>
      <c r="P393" s="14" t="s">
        <v>436</v>
      </c>
      <c r="Q393" s="15">
        <v>45851</v>
      </c>
      <c r="R393" s="14" t="s">
        <v>89</v>
      </c>
      <c r="S393" s="14">
        <v>2990</v>
      </c>
      <c r="U393" s="1" t="str">
        <f>TEXT(tblTransactions[[#This Row],[Date]],"YYYY-MM")</f>
        <v>2025-07</v>
      </c>
      <c r="Z393" s="1"/>
    </row>
    <row r="394" spans="15:26" ht="15" customHeight="1" x14ac:dyDescent="0.3">
      <c r="O394" s="14" t="s">
        <v>1109</v>
      </c>
      <c r="P394" s="14" t="s">
        <v>436</v>
      </c>
      <c r="Q394" s="15">
        <v>46070</v>
      </c>
      <c r="R394" s="14" t="s">
        <v>117</v>
      </c>
      <c r="S394" s="14">
        <v>3680</v>
      </c>
      <c r="U394" s="1" t="str">
        <f>TEXT(tblTransactions[[#This Row],[Date]],"YYYY-MM")</f>
        <v>2026-02</v>
      </c>
      <c r="Z394" s="1"/>
    </row>
    <row r="395" spans="15:26" ht="15" customHeight="1" x14ac:dyDescent="0.3">
      <c r="O395" s="14" t="s">
        <v>1110</v>
      </c>
      <c r="P395" s="14" t="s">
        <v>440</v>
      </c>
      <c r="Q395" s="15">
        <v>46097</v>
      </c>
      <c r="R395" s="14" t="s">
        <v>81</v>
      </c>
      <c r="S395" s="14">
        <v>820</v>
      </c>
      <c r="U395" s="1" t="str">
        <f>TEXT(tblTransactions[[#This Row],[Date]],"YYYY-MM")</f>
        <v>2026-03</v>
      </c>
      <c r="Z395" s="1"/>
    </row>
    <row r="396" spans="15:26" ht="15" customHeight="1" x14ac:dyDescent="0.3">
      <c r="O396" s="14" t="s">
        <v>1111</v>
      </c>
      <c r="P396" s="14" t="s">
        <v>445</v>
      </c>
      <c r="Q396" s="15">
        <v>46081</v>
      </c>
      <c r="R396" s="14" t="s">
        <v>117</v>
      </c>
      <c r="S396" s="14">
        <v>5070</v>
      </c>
      <c r="U396" s="1" t="str">
        <f>TEXT(tblTransactions[[#This Row],[Date]],"YYYY-MM")</f>
        <v>2026-02</v>
      </c>
      <c r="Z396" s="1"/>
    </row>
    <row r="397" spans="15:26" ht="15" customHeight="1" x14ac:dyDescent="0.3">
      <c r="O397" s="14" t="s">
        <v>1112</v>
      </c>
      <c r="P397" s="14" t="s">
        <v>449</v>
      </c>
      <c r="Q397" s="15">
        <v>45759</v>
      </c>
      <c r="R397" s="14" t="s">
        <v>135</v>
      </c>
      <c r="S397" s="14">
        <v>1400</v>
      </c>
      <c r="U397" s="1" t="str">
        <f>TEXT(tblTransactions[[#This Row],[Date]],"YYYY-MM")</f>
        <v>2025-04</v>
      </c>
      <c r="Z397" s="1"/>
    </row>
    <row r="398" spans="15:26" ht="15" customHeight="1" x14ac:dyDescent="0.3">
      <c r="O398" s="14" t="s">
        <v>1113</v>
      </c>
      <c r="P398" s="14" t="s">
        <v>449</v>
      </c>
      <c r="Q398" s="15">
        <v>46062</v>
      </c>
      <c r="R398" s="14" t="s">
        <v>122</v>
      </c>
      <c r="S398" s="14">
        <v>11020</v>
      </c>
      <c r="U398" s="1" t="str">
        <f>TEXT(tblTransactions[[#This Row],[Date]],"YYYY-MM")</f>
        <v>2026-02</v>
      </c>
      <c r="Z398" s="1"/>
    </row>
    <row r="399" spans="15:26" ht="15" customHeight="1" x14ac:dyDescent="0.3">
      <c r="O399" s="14" t="s">
        <v>1114</v>
      </c>
      <c r="P399" s="14" t="s">
        <v>453</v>
      </c>
      <c r="Q399" s="15">
        <v>46025</v>
      </c>
      <c r="R399" s="14" t="s">
        <v>110</v>
      </c>
      <c r="S399" s="14">
        <v>25000</v>
      </c>
      <c r="U399" s="1" t="str">
        <f>TEXT(tblTransactions[[#This Row],[Date]],"YYYY-MM")</f>
        <v>2026-01</v>
      </c>
      <c r="Z399" s="1"/>
    </row>
    <row r="400" spans="15:26" ht="15" customHeight="1" x14ac:dyDescent="0.3">
      <c r="O400" s="14" t="s">
        <v>1115</v>
      </c>
      <c r="P400" s="14" t="s">
        <v>453</v>
      </c>
      <c r="Q400" s="15">
        <v>45989</v>
      </c>
      <c r="R400" s="14" t="s">
        <v>110</v>
      </c>
      <c r="S400" s="14">
        <v>4200</v>
      </c>
      <c r="U400" s="1" t="str">
        <f>TEXT(tblTransactions[[#This Row],[Date]],"YYYY-MM")</f>
        <v>2025-11</v>
      </c>
      <c r="Z400" s="1"/>
    </row>
    <row r="401" spans="15:26" ht="15" customHeight="1" x14ac:dyDescent="0.3">
      <c r="O401" s="14" t="s">
        <v>1116</v>
      </c>
      <c r="P401" s="14" t="s">
        <v>453</v>
      </c>
      <c r="Q401" s="15">
        <v>45894</v>
      </c>
      <c r="R401" s="14" t="s">
        <v>135</v>
      </c>
      <c r="S401" s="14">
        <v>1420</v>
      </c>
      <c r="U401" s="1" t="str">
        <f>TEXT(tblTransactions[[#This Row],[Date]],"YYYY-MM")</f>
        <v>2025-08</v>
      </c>
      <c r="Z401" s="1"/>
    </row>
    <row r="402" spans="15:26" ht="15" customHeight="1" x14ac:dyDescent="0.3">
      <c r="O402" s="14" t="s">
        <v>1117</v>
      </c>
      <c r="P402" s="14" t="s">
        <v>453</v>
      </c>
      <c r="Q402" s="15">
        <v>45963</v>
      </c>
      <c r="R402" s="14" t="s">
        <v>89</v>
      </c>
      <c r="S402" s="14">
        <v>9450</v>
      </c>
      <c r="U402" s="1" t="str">
        <f>TEXT(tblTransactions[[#This Row],[Date]],"YYYY-MM")</f>
        <v>2025-11</v>
      </c>
      <c r="Z402" s="1"/>
    </row>
    <row r="403" spans="15:26" ht="15" customHeight="1" x14ac:dyDescent="0.3">
      <c r="O403" s="14" t="s">
        <v>1118</v>
      </c>
      <c r="P403" s="14" t="s">
        <v>453</v>
      </c>
      <c r="Q403" s="15">
        <v>45943</v>
      </c>
      <c r="R403" s="14" t="s">
        <v>81</v>
      </c>
      <c r="S403" s="14">
        <v>830</v>
      </c>
      <c r="U403" s="1" t="str">
        <f>TEXT(tblTransactions[[#This Row],[Date]],"YYYY-MM")</f>
        <v>2025-10</v>
      </c>
      <c r="Z403" s="1"/>
    </row>
    <row r="404" spans="15:26" ht="15" customHeight="1" x14ac:dyDescent="0.3">
      <c r="O404" s="14" t="s">
        <v>1119</v>
      </c>
      <c r="P404" s="14" t="s">
        <v>453</v>
      </c>
      <c r="Q404" s="15">
        <v>45940</v>
      </c>
      <c r="R404" s="14" t="s">
        <v>110</v>
      </c>
      <c r="S404" s="14">
        <v>7940</v>
      </c>
      <c r="U404" s="1" t="str">
        <f>TEXT(tblTransactions[[#This Row],[Date]],"YYYY-MM")</f>
        <v>2025-10</v>
      </c>
      <c r="Z404" s="1"/>
    </row>
    <row r="405" spans="15:26" ht="15" customHeight="1" x14ac:dyDescent="0.3">
      <c r="O405" s="14" t="s">
        <v>1120</v>
      </c>
      <c r="P405" s="14" t="s">
        <v>453</v>
      </c>
      <c r="Q405" s="15">
        <v>46024</v>
      </c>
      <c r="R405" s="14" t="s">
        <v>110</v>
      </c>
      <c r="S405" s="14">
        <v>13050</v>
      </c>
      <c r="U405" s="1" t="str">
        <f>TEXT(tblTransactions[[#This Row],[Date]],"YYYY-MM")</f>
        <v>2026-01</v>
      </c>
      <c r="Z405" s="1"/>
    </row>
    <row r="406" spans="15:26" ht="15" customHeight="1" x14ac:dyDescent="0.3">
      <c r="O406" s="14" t="s">
        <v>1121</v>
      </c>
      <c r="P406" s="14" t="s">
        <v>453</v>
      </c>
      <c r="Q406" s="15">
        <v>45839</v>
      </c>
      <c r="R406" s="14" t="s">
        <v>117</v>
      </c>
      <c r="S406" s="14">
        <v>14600</v>
      </c>
      <c r="U406" s="1" t="str">
        <f>TEXT(tblTransactions[[#This Row],[Date]],"YYYY-MM")</f>
        <v>2025-07</v>
      </c>
      <c r="Z406" s="1"/>
    </row>
    <row r="407" spans="15:26" ht="15" customHeight="1" x14ac:dyDescent="0.3">
      <c r="O407" s="14" t="s">
        <v>1122</v>
      </c>
      <c r="P407" s="14" t="s">
        <v>453</v>
      </c>
      <c r="Q407" s="15">
        <v>45949</v>
      </c>
      <c r="R407" s="14" t="s">
        <v>122</v>
      </c>
      <c r="S407" s="14">
        <v>1260</v>
      </c>
      <c r="U407" s="1" t="str">
        <f>TEXT(tblTransactions[[#This Row],[Date]],"YYYY-MM")</f>
        <v>2025-10</v>
      </c>
      <c r="Z407" s="1"/>
    </row>
    <row r="408" spans="15:26" ht="15" customHeight="1" x14ac:dyDescent="0.3">
      <c r="O408" s="14" t="s">
        <v>1123</v>
      </c>
      <c r="P408" s="14" t="s">
        <v>453</v>
      </c>
      <c r="Q408" s="15">
        <v>45749</v>
      </c>
      <c r="R408" s="14" t="s">
        <v>110</v>
      </c>
      <c r="S408" s="14">
        <v>3570</v>
      </c>
      <c r="U408" s="1" t="str">
        <f>TEXT(tblTransactions[[#This Row],[Date]],"YYYY-MM")</f>
        <v>2025-04</v>
      </c>
      <c r="Z408" s="1"/>
    </row>
    <row r="409" spans="15:26" ht="15" customHeight="1" x14ac:dyDescent="0.3">
      <c r="O409" s="14" t="s">
        <v>1124</v>
      </c>
      <c r="P409" s="14" t="s">
        <v>453</v>
      </c>
      <c r="Q409" s="15">
        <v>45900</v>
      </c>
      <c r="R409" s="14" t="s">
        <v>81</v>
      </c>
      <c r="S409" s="14">
        <v>1300</v>
      </c>
      <c r="U409" s="1" t="str">
        <f>TEXT(tblTransactions[[#This Row],[Date]],"YYYY-MM")</f>
        <v>2025-08</v>
      </c>
      <c r="Z409" s="1"/>
    </row>
    <row r="410" spans="15:26" ht="15" customHeight="1" x14ac:dyDescent="0.3">
      <c r="O410" s="14" t="s">
        <v>1125</v>
      </c>
      <c r="P410" s="14" t="s">
        <v>453</v>
      </c>
      <c r="Q410" s="15">
        <v>46020</v>
      </c>
      <c r="R410" s="14" t="s">
        <v>81</v>
      </c>
      <c r="S410" s="14">
        <v>6040</v>
      </c>
      <c r="U410" s="1" t="str">
        <f>TEXT(tblTransactions[[#This Row],[Date]],"YYYY-MM")</f>
        <v>2025-12</v>
      </c>
      <c r="Z410" s="1"/>
    </row>
    <row r="411" spans="15:26" ht="15" customHeight="1" x14ac:dyDescent="0.3">
      <c r="O411" s="14" t="s">
        <v>1126</v>
      </c>
      <c r="P411" s="14" t="s">
        <v>453</v>
      </c>
      <c r="Q411" s="15">
        <v>45865</v>
      </c>
      <c r="R411" s="14" t="s">
        <v>89</v>
      </c>
      <c r="S411" s="14">
        <v>4550</v>
      </c>
      <c r="U411" s="1" t="str">
        <f>TEXT(tblTransactions[[#This Row],[Date]],"YYYY-MM")</f>
        <v>2025-07</v>
      </c>
      <c r="Z411" s="1"/>
    </row>
    <row r="412" spans="15:26" ht="15" customHeight="1" x14ac:dyDescent="0.3">
      <c r="O412" s="14" t="s">
        <v>1127</v>
      </c>
      <c r="P412" s="14" t="s">
        <v>453</v>
      </c>
      <c r="Q412" s="15">
        <v>46031</v>
      </c>
      <c r="R412" s="14" t="s">
        <v>122</v>
      </c>
      <c r="S412" s="14">
        <v>9410</v>
      </c>
      <c r="U412" s="1" t="str">
        <f>TEXT(tblTransactions[[#This Row],[Date]],"YYYY-MM")</f>
        <v>2026-01</v>
      </c>
      <c r="Z412" s="1"/>
    </row>
    <row r="413" spans="15:26" ht="15" customHeight="1" x14ac:dyDescent="0.3">
      <c r="O413" s="14" t="s">
        <v>1128</v>
      </c>
      <c r="P413" s="14" t="s">
        <v>457</v>
      </c>
      <c r="Q413" s="15">
        <v>46037</v>
      </c>
      <c r="R413" s="14" t="s">
        <v>117</v>
      </c>
      <c r="S413" s="14">
        <v>14230</v>
      </c>
      <c r="U413" s="1" t="str">
        <f>TEXT(tblTransactions[[#This Row],[Date]],"YYYY-MM")</f>
        <v>2026-01</v>
      </c>
      <c r="Z413" s="1"/>
    </row>
    <row r="414" spans="15:26" ht="15" customHeight="1" x14ac:dyDescent="0.3">
      <c r="O414" s="14" t="s">
        <v>1129</v>
      </c>
      <c r="P414" s="14" t="s">
        <v>461</v>
      </c>
      <c r="Q414" s="15">
        <v>45762</v>
      </c>
      <c r="R414" s="14" t="s">
        <v>117</v>
      </c>
      <c r="S414" s="14">
        <v>5700</v>
      </c>
      <c r="U414" s="1" t="str">
        <f>TEXT(tblTransactions[[#This Row],[Date]],"YYYY-MM")</f>
        <v>2025-04</v>
      </c>
      <c r="Z414" s="1"/>
    </row>
    <row r="415" spans="15:26" ht="15" customHeight="1" x14ac:dyDescent="0.3">
      <c r="O415" s="14" t="s">
        <v>1130</v>
      </c>
      <c r="P415" s="14" t="s">
        <v>461</v>
      </c>
      <c r="Q415" s="15">
        <v>45765</v>
      </c>
      <c r="R415" s="14" t="s">
        <v>122</v>
      </c>
      <c r="S415" s="14">
        <v>2100</v>
      </c>
      <c r="U415" s="1" t="str">
        <f>TEXT(tblTransactions[[#This Row],[Date]],"YYYY-MM")</f>
        <v>2025-04</v>
      </c>
      <c r="Z415" s="1"/>
    </row>
    <row r="416" spans="15:26" ht="15" customHeight="1" x14ac:dyDescent="0.3">
      <c r="O416" s="14" t="s">
        <v>1131</v>
      </c>
      <c r="P416" s="14" t="s">
        <v>465</v>
      </c>
      <c r="Q416" s="15">
        <v>45844</v>
      </c>
      <c r="R416" s="14" t="s">
        <v>110</v>
      </c>
      <c r="S416" s="14">
        <v>1070</v>
      </c>
      <c r="U416" s="1" t="str">
        <f>TEXT(tblTransactions[[#This Row],[Date]],"YYYY-MM")</f>
        <v>2025-07</v>
      </c>
      <c r="Z416" s="1"/>
    </row>
    <row r="417" spans="15:26" ht="15" customHeight="1" x14ac:dyDescent="0.3">
      <c r="O417" s="14" t="s">
        <v>1132</v>
      </c>
      <c r="P417" s="14" t="s">
        <v>465</v>
      </c>
      <c r="Q417" s="15">
        <v>45765</v>
      </c>
      <c r="R417" s="14" t="s">
        <v>135</v>
      </c>
      <c r="S417" s="14">
        <v>2320</v>
      </c>
      <c r="U417" s="1" t="str">
        <f>TEXT(tblTransactions[[#This Row],[Date]],"YYYY-MM")</f>
        <v>2025-04</v>
      </c>
      <c r="Z417" s="1"/>
    </row>
    <row r="418" spans="15:26" ht="15" customHeight="1" x14ac:dyDescent="0.3">
      <c r="O418" s="14" t="s">
        <v>1133</v>
      </c>
      <c r="P418" s="14" t="s">
        <v>465</v>
      </c>
      <c r="Q418" s="15">
        <v>45821</v>
      </c>
      <c r="R418" s="14" t="s">
        <v>89</v>
      </c>
      <c r="S418" s="14">
        <v>4430</v>
      </c>
      <c r="U418" s="1" t="str">
        <f>TEXT(tblTransactions[[#This Row],[Date]],"YYYY-MM")</f>
        <v>2025-06</v>
      </c>
      <c r="Z418" s="1"/>
    </row>
    <row r="419" spans="15:26" ht="15" customHeight="1" x14ac:dyDescent="0.3">
      <c r="O419" s="14" t="s">
        <v>1134</v>
      </c>
      <c r="P419" s="14" t="s">
        <v>465</v>
      </c>
      <c r="Q419" s="15">
        <v>45826</v>
      </c>
      <c r="R419" s="14" t="s">
        <v>122</v>
      </c>
      <c r="S419" s="14">
        <v>5540</v>
      </c>
      <c r="U419" s="1" t="str">
        <f>TEXT(tblTransactions[[#This Row],[Date]],"YYYY-MM")</f>
        <v>2025-06</v>
      </c>
      <c r="Z419" s="1"/>
    </row>
    <row r="420" spans="15:26" ht="15" customHeight="1" x14ac:dyDescent="0.3">
      <c r="O420" s="14" t="s">
        <v>1135</v>
      </c>
      <c r="P420" s="14" t="s">
        <v>465</v>
      </c>
      <c r="Q420" s="15">
        <v>45786</v>
      </c>
      <c r="R420" s="14" t="s">
        <v>122</v>
      </c>
      <c r="S420" s="14">
        <v>1040</v>
      </c>
      <c r="U420" s="1" t="str">
        <f>TEXT(tblTransactions[[#This Row],[Date]],"YYYY-MM")</f>
        <v>2025-05</v>
      </c>
      <c r="Z420" s="1"/>
    </row>
    <row r="421" spans="15:26" ht="15" customHeight="1" x14ac:dyDescent="0.3">
      <c r="O421" s="14" t="s">
        <v>1136</v>
      </c>
      <c r="P421" s="14" t="s">
        <v>465</v>
      </c>
      <c r="Q421" s="15">
        <v>45832</v>
      </c>
      <c r="R421" s="14" t="s">
        <v>89</v>
      </c>
      <c r="S421" s="14">
        <v>1980</v>
      </c>
      <c r="U421" s="1" t="str">
        <f>TEXT(tblTransactions[[#This Row],[Date]],"YYYY-MM")</f>
        <v>2025-06</v>
      </c>
      <c r="Z421" s="1"/>
    </row>
    <row r="422" spans="15:26" ht="15" customHeight="1" x14ac:dyDescent="0.3">
      <c r="O422" s="14" t="s">
        <v>1137</v>
      </c>
      <c r="P422" s="14" t="s">
        <v>465</v>
      </c>
      <c r="Q422" s="15">
        <v>45755</v>
      </c>
      <c r="R422" s="14" t="s">
        <v>117</v>
      </c>
      <c r="S422" s="14">
        <v>4030</v>
      </c>
      <c r="U422" s="1" t="str">
        <f>TEXT(tblTransactions[[#This Row],[Date]],"YYYY-MM")</f>
        <v>2025-04</v>
      </c>
      <c r="Z422" s="1"/>
    </row>
    <row r="423" spans="15:26" ht="15" customHeight="1" x14ac:dyDescent="0.3">
      <c r="O423" s="14" t="s">
        <v>1138</v>
      </c>
      <c r="P423" s="14" t="s">
        <v>465</v>
      </c>
      <c r="Q423" s="15">
        <v>45823</v>
      </c>
      <c r="R423" s="14" t="s">
        <v>135</v>
      </c>
      <c r="S423" s="14">
        <v>16220</v>
      </c>
      <c r="U423" s="1" t="str">
        <f>TEXT(tblTransactions[[#This Row],[Date]],"YYYY-MM")</f>
        <v>2025-06</v>
      </c>
      <c r="Z423" s="1"/>
    </row>
    <row r="424" spans="15:26" ht="15" customHeight="1" x14ac:dyDescent="0.3">
      <c r="O424" s="14" t="s">
        <v>1139</v>
      </c>
      <c r="P424" s="14" t="s">
        <v>465</v>
      </c>
      <c r="Q424" s="15">
        <v>45834</v>
      </c>
      <c r="R424" s="14" t="s">
        <v>81</v>
      </c>
      <c r="S424" s="14">
        <v>1340</v>
      </c>
      <c r="U424" s="1" t="str">
        <f>TEXT(tblTransactions[[#This Row],[Date]],"YYYY-MM")</f>
        <v>2025-06</v>
      </c>
      <c r="Z424" s="1"/>
    </row>
    <row r="425" spans="15:26" ht="15" customHeight="1" x14ac:dyDescent="0.3">
      <c r="O425" s="14" t="s">
        <v>1140</v>
      </c>
      <c r="P425" s="14" t="s">
        <v>465</v>
      </c>
      <c r="Q425" s="15">
        <v>45819</v>
      </c>
      <c r="R425" s="14" t="s">
        <v>135</v>
      </c>
      <c r="S425" s="14">
        <v>530</v>
      </c>
      <c r="U425" s="1" t="str">
        <f>TEXT(tblTransactions[[#This Row],[Date]],"YYYY-MM")</f>
        <v>2025-06</v>
      </c>
      <c r="Z425" s="1"/>
    </row>
    <row r="426" spans="15:26" ht="15" customHeight="1" x14ac:dyDescent="0.3">
      <c r="O426" s="14" t="s">
        <v>1141</v>
      </c>
      <c r="P426" s="14" t="s">
        <v>465</v>
      </c>
      <c r="Q426" s="15">
        <v>45833</v>
      </c>
      <c r="R426" s="14" t="s">
        <v>81</v>
      </c>
      <c r="S426" s="14">
        <v>4770</v>
      </c>
      <c r="U426" s="1" t="str">
        <f>TEXT(tblTransactions[[#This Row],[Date]],"YYYY-MM")</f>
        <v>2025-06</v>
      </c>
      <c r="Z426" s="1"/>
    </row>
    <row r="427" spans="15:26" ht="15" customHeight="1" x14ac:dyDescent="0.3">
      <c r="O427" s="14" t="s">
        <v>1142</v>
      </c>
      <c r="P427" s="14" t="s">
        <v>465</v>
      </c>
      <c r="Q427" s="15">
        <v>45848</v>
      </c>
      <c r="R427" s="14" t="s">
        <v>81</v>
      </c>
      <c r="S427" s="14">
        <v>1330</v>
      </c>
      <c r="U427" s="1" t="str">
        <f>TEXT(tblTransactions[[#This Row],[Date]],"YYYY-MM")</f>
        <v>2025-07</v>
      </c>
      <c r="Z427" s="1"/>
    </row>
    <row r="428" spans="15:26" ht="15" customHeight="1" x14ac:dyDescent="0.3">
      <c r="O428" s="14" t="s">
        <v>1143</v>
      </c>
      <c r="P428" s="14" t="s">
        <v>465</v>
      </c>
      <c r="Q428" s="15">
        <v>45767</v>
      </c>
      <c r="R428" s="14" t="s">
        <v>89</v>
      </c>
      <c r="S428" s="14">
        <v>3720</v>
      </c>
      <c r="U428" s="1" t="str">
        <f>TEXT(tblTransactions[[#This Row],[Date]],"YYYY-MM")</f>
        <v>2025-04</v>
      </c>
      <c r="Z428" s="1"/>
    </row>
    <row r="429" spans="15:26" ht="15" customHeight="1" x14ac:dyDescent="0.3">
      <c r="O429" s="14" t="s">
        <v>1144</v>
      </c>
      <c r="P429" s="14" t="s">
        <v>465</v>
      </c>
      <c r="Q429" s="15">
        <v>45796</v>
      </c>
      <c r="R429" s="14" t="s">
        <v>122</v>
      </c>
      <c r="S429" s="14">
        <v>6720</v>
      </c>
      <c r="U429" s="1" t="str">
        <f>TEXT(tblTransactions[[#This Row],[Date]],"YYYY-MM")</f>
        <v>2025-05</v>
      </c>
      <c r="Z429" s="1"/>
    </row>
    <row r="430" spans="15:26" ht="15" customHeight="1" x14ac:dyDescent="0.3">
      <c r="O430" s="14" t="s">
        <v>1145</v>
      </c>
      <c r="P430" s="14" t="s">
        <v>465</v>
      </c>
      <c r="Q430" s="15">
        <v>45859</v>
      </c>
      <c r="R430" s="14" t="s">
        <v>122</v>
      </c>
      <c r="S430" s="14">
        <v>11170</v>
      </c>
      <c r="U430" s="1" t="str">
        <f>TEXT(tblTransactions[[#This Row],[Date]],"YYYY-MM")</f>
        <v>2025-07</v>
      </c>
      <c r="Z430" s="1"/>
    </row>
    <row r="431" spans="15:26" ht="15" customHeight="1" x14ac:dyDescent="0.3">
      <c r="O431" s="14" t="s">
        <v>1146</v>
      </c>
      <c r="P431" s="14" t="s">
        <v>469</v>
      </c>
      <c r="Q431" s="15">
        <v>45982</v>
      </c>
      <c r="R431" s="14" t="s">
        <v>81</v>
      </c>
      <c r="S431" s="14">
        <v>9740</v>
      </c>
      <c r="U431" s="1" t="str">
        <f>TEXT(tblTransactions[[#This Row],[Date]],"YYYY-MM")</f>
        <v>2025-11</v>
      </c>
      <c r="Z431" s="1"/>
    </row>
    <row r="432" spans="15:26" ht="15" customHeight="1" x14ac:dyDescent="0.3">
      <c r="O432" s="14" t="s">
        <v>1147</v>
      </c>
      <c r="P432" s="14" t="s">
        <v>469</v>
      </c>
      <c r="Q432" s="15">
        <v>45890</v>
      </c>
      <c r="R432" s="14" t="s">
        <v>117</v>
      </c>
      <c r="S432" s="14">
        <v>6030</v>
      </c>
      <c r="U432" s="1" t="str">
        <f>TEXT(tblTransactions[[#This Row],[Date]],"YYYY-MM")</f>
        <v>2025-08</v>
      </c>
      <c r="Z432" s="1"/>
    </row>
    <row r="433" spans="15:26" ht="15" customHeight="1" x14ac:dyDescent="0.3">
      <c r="O433" s="14" t="s">
        <v>1148</v>
      </c>
      <c r="P433" s="14" t="s">
        <v>469</v>
      </c>
      <c r="Q433" s="15">
        <v>45782</v>
      </c>
      <c r="R433" s="14" t="s">
        <v>89</v>
      </c>
      <c r="S433" s="14">
        <v>2820</v>
      </c>
      <c r="U433" s="1" t="str">
        <f>TEXT(tblTransactions[[#This Row],[Date]],"YYYY-MM")</f>
        <v>2025-05</v>
      </c>
      <c r="Z433" s="1"/>
    </row>
    <row r="434" spans="15:26" ht="15" customHeight="1" x14ac:dyDescent="0.3">
      <c r="O434" s="14" t="s">
        <v>1149</v>
      </c>
      <c r="P434" s="14" t="s">
        <v>469</v>
      </c>
      <c r="Q434" s="15">
        <v>45985</v>
      </c>
      <c r="R434" s="14" t="s">
        <v>135</v>
      </c>
      <c r="S434" s="14">
        <v>6690</v>
      </c>
      <c r="U434" s="1" t="str">
        <f>TEXT(tblTransactions[[#This Row],[Date]],"YYYY-MM")</f>
        <v>2025-11</v>
      </c>
      <c r="Z434" s="1"/>
    </row>
    <row r="435" spans="15:26" ht="15" customHeight="1" x14ac:dyDescent="0.3">
      <c r="O435" s="14" t="s">
        <v>1150</v>
      </c>
      <c r="P435" s="14" t="s">
        <v>473</v>
      </c>
      <c r="Q435" s="15">
        <v>46070</v>
      </c>
      <c r="R435" s="14" t="s">
        <v>122</v>
      </c>
      <c r="S435" s="14">
        <v>13170</v>
      </c>
      <c r="U435" s="1" t="str">
        <f>TEXT(tblTransactions[[#This Row],[Date]],"YYYY-MM")</f>
        <v>2026-02</v>
      </c>
      <c r="Z435" s="1"/>
    </row>
    <row r="436" spans="15:26" ht="15" customHeight="1" x14ac:dyDescent="0.3">
      <c r="O436" s="14" t="s">
        <v>1151</v>
      </c>
      <c r="P436" s="14" t="s">
        <v>477</v>
      </c>
      <c r="Q436" s="15">
        <v>45768</v>
      </c>
      <c r="R436" s="14" t="s">
        <v>110</v>
      </c>
      <c r="S436" s="14">
        <v>9110</v>
      </c>
      <c r="U436" s="1" t="str">
        <f>TEXT(tblTransactions[[#This Row],[Date]],"YYYY-MM")</f>
        <v>2025-04</v>
      </c>
      <c r="Z436" s="1"/>
    </row>
    <row r="437" spans="15:26" ht="15" customHeight="1" x14ac:dyDescent="0.3">
      <c r="O437" s="14" t="s">
        <v>1152</v>
      </c>
      <c r="P437" s="14" t="s">
        <v>477</v>
      </c>
      <c r="Q437" s="15">
        <v>46100</v>
      </c>
      <c r="R437" s="14" t="s">
        <v>135</v>
      </c>
      <c r="S437" s="14">
        <v>7520</v>
      </c>
      <c r="U437" s="1" t="str">
        <f>TEXT(tblTransactions[[#This Row],[Date]],"YYYY-MM")</f>
        <v>2026-03</v>
      </c>
      <c r="Z437" s="1"/>
    </row>
    <row r="438" spans="15:26" ht="15" customHeight="1" x14ac:dyDescent="0.3">
      <c r="O438" s="14" t="s">
        <v>1153</v>
      </c>
      <c r="P438" s="14" t="s">
        <v>481</v>
      </c>
      <c r="Q438" s="15">
        <v>45903</v>
      </c>
      <c r="R438" s="14" t="s">
        <v>110</v>
      </c>
      <c r="S438" s="14">
        <v>15770</v>
      </c>
      <c r="U438" s="1" t="str">
        <f>TEXT(tblTransactions[[#This Row],[Date]],"YYYY-MM")</f>
        <v>2025-09</v>
      </c>
      <c r="Z438" s="1"/>
    </row>
    <row r="439" spans="15:26" ht="15" customHeight="1" x14ac:dyDescent="0.3">
      <c r="O439" s="14" t="s">
        <v>1154</v>
      </c>
      <c r="P439" s="14" t="s">
        <v>481</v>
      </c>
      <c r="Q439" s="15">
        <v>45856</v>
      </c>
      <c r="R439" s="14" t="s">
        <v>110</v>
      </c>
      <c r="S439" s="14">
        <v>25000</v>
      </c>
      <c r="U439" s="1" t="str">
        <f>TEXT(tblTransactions[[#This Row],[Date]],"YYYY-MM")</f>
        <v>2025-07</v>
      </c>
      <c r="Z439" s="1"/>
    </row>
    <row r="440" spans="15:26" ht="15" customHeight="1" x14ac:dyDescent="0.3">
      <c r="O440" s="14" t="s">
        <v>1155</v>
      </c>
      <c r="P440" s="14" t="s">
        <v>481</v>
      </c>
      <c r="Q440" s="15">
        <v>45993</v>
      </c>
      <c r="R440" s="14" t="s">
        <v>122</v>
      </c>
      <c r="S440" s="14">
        <v>2050</v>
      </c>
      <c r="U440" s="1" t="str">
        <f>TEXT(tblTransactions[[#This Row],[Date]],"YYYY-MM")</f>
        <v>2025-12</v>
      </c>
      <c r="Z440" s="1"/>
    </row>
    <row r="441" spans="15:26" ht="15" customHeight="1" x14ac:dyDescent="0.3">
      <c r="O441" s="14" t="s">
        <v>1156</v>
      </c>
      <c r="P441" s="14" t="s">
        <v>481</v>
      </c>
      <c r="Q441" s="15">
        <v>46057</v>
      </c>
      <c r="R441" s="14" t="s">
        <v>122</v>
      </c>
      <c r="S441" s="14">
        <v>3570</v>
      </c>
      <c r="U441" s="1" t="str">
        <f>TEXT(tblTransactions[[#This Row],[Date]],"YYYY-MM")</f>
        <v>2026-02</v>
      </c>
      <c r="Z441" s="1"/>
    </row>
    <row r="442" spans="15:26" ht="15" customHeight="1" x14ac:dyDescent="0.3">
      <c r="O442" s="14" t="s">
        <v>1157</v>
      </c>
      <c r="P442" s="14" t="s">
        <v>481</v>
      </c>
      <c r="Q442" s="15">
        <v>46030</v>
      </c>
      <c r="R442" s="14" t="s">
        <v>89</v>
      </c>
      <c r="S442" s="14">
        <v>2080</v>
      </c>
      <c r="U442" s="1" t="str">
        <f>TEXT(tblTransactions[[#This Row],[Date]],"YYYY-MM")</f>
        <v>2026-01</v>
      </c>
      <c r="Z442" s="1"/>
    </row>
    <row r="443" spans="15:26" ht="15" customHeight="1" x14ac:dyDescent="0.3">
      <c r="O443" s="14" t="s">
        <v>1158</v>
      </c>
      <c r="P443" s="14" t="s">
        <v>481</v>
      </c>
      <c r="Q443" s="15">
        <v>45892</v>
      </c>
      <c r="R443" s="14" t="s">
        <v>89</v>
      </c>
      <c r="S443" s="14">
        <v>2180</v>
      </c>
      <c r="U443" s="1" t="str">
        <f>TEXT(tblTransactions[[#This Row],[Date]],"YYYY-MM")</f>
        <v>2025-08</v>
      </c>
      <c r="Z443" s="1"/>
    </row>
    <row r="444" spans="15:26" ht="15" customHeight="1" x14ac:dyDescent="0.3">
      <c r="O444" s="14" t="s">
        <v>1159</v>
      </c>
      <c r="P444" s="14" t="s">
        <v>481</v>
      </c>
      <c r="Q444" s="15">
        <v>46065</v>
      </c>
      <c r="R444" s="14" t="s">
        <v>89</v>
      </c>
      <c r="S444" s="14">
        <v>8820</v>
      </c>
      <c r="U444" s="1" t="str">
        <f>TEXT(tblTransactions[[#This Row],[Date]],"YYYY-MM")</f>
        <v>2026-02</v>
      </c>
      <c r="Z444" s="1"/>
    </row>
    <row r="445" spans="15:26" ht="15" customHeight="1" x14ac:dyDescent="0.3">
      <c r="O445" s="14" t="s">
        <v>1160</v>
      </c>
      <c r="P445" s="14" t="s">
        <v>485</v>
      </c>
      <c r="Q445" s="15">
        <v>45798</v>
      </c>
      <c r="R445" s="14" t="s">
        <v>89</v>
      </c>
      <c r="S445" s="14">
        <v>6830</v>
      </c>
      <c r="U445" s="1" t="str">
        <f>TEXT(tblTransactions[[#This Row],[Date]],"YYYY-MM")</f>
        <v>2025-05</v>
      </c>
      <c r="Z445" s="1"/>
    </row>
    <row r="446" spans="15:26" ht="15" customHeight="1" x14ac:dyDescent="0.3">
      <c r="O446" s="14" t="s">
        <v>1161</v>
      </c>
      <c r="P446" s="14" t="s">
        <v>485</v>
      </c>
      <c r="Q446" s="15">
        <v>45852</v>
      </c>
      <c r="R446" s="14" t="s">
        <v>89</v>
      </c>
      <c r="S446" s="14">
        <v>1340</v>
      </c>
      <c r="U446" s="1" t="str">
        <f>TEXT(tblTransactions[[#This Row],[Date]],"YYYY-MM")</f>
        <v>2025-07</v>
      </c>
      <c r="Z446" s="1"/>
    </row>
    <row r="447" spans="15:26" ht="15" customHeight="1" x14ac:dyDescent="0.3">
      <c r="O447" s="14" t="s">
        <v>1162</v>
      </c>
      <c r="P447" s="14" t="s">
        <v>485</v>
      </c>
      <c r="Q447" s="15">
        <v>45908</v>
      </c>
      <c r="R447" s="14" t="s">
        <v>122</v>
      </c>
      <c r="S447" s="14">
        <v>1860</v>
      </c>
      <c r="U447" s="1" t="str">
        <f>TEXT(tblTransactions[[#This Row],[Date]],"YYYY-MM")</f>
        <v>2025-09</v>
      </c>
      <c r="Z447" s="1"/>
    </row>
    <row r="448" spans="15:26" ht="15" customHeight="1" x14ac:dyDescent="0.3">
      <c r="O448" s="14" t="s">
        <v>1163</v>
      </c>
      <c r="P448" s="14" t="s">
        <v>485</v>
      </c>
      <c r="Q448" s="15">
        <v>46082</v>
      </c>
      <c r="R448" s="14" t="s">
        <v>135</v>
      </c>
      <c r="S448" s="14">
        <v>7640</v>
      </c>
      <c r="U448" s="1" t="str">
        <f>TEXT(tblTransactions[[#This Row],[Date]],"YYYY-MM")</f>
        <v>2026-03</v>
      </c>
      <c r="Z448" s="1"/>
    </row>
    <row r="449" spans="15:26" ht="15" customHeight="1" x14ac:dyDescent="0.3">
      <c r="O449" s="14" t="s">
        <v>1164</v>
      </c>
      <c r="P449" s="14" t="s">
        <v>489</v>
      </c>
      <c r="Q449" s="15">
        <v>45961</v>
      </c>
      <c r="R449" s="14" t="s">
        <v>122</v>
      </c>
      <c r="S449" s="14">
        <v>3880</v>
      </c>
      <c r="U449" s="1" t="str">
        <f>TEXT(tblTransactions[[#This Row],[Date]],"YYYY-MM")</f>
        <v>2025-10</v>
      </c>
      <c r="Z449" s="1"/>
    </row>
    <row r="450" spans="15:26" ht="15" customHeight="1" x14ac:dyDescent="0.3">
      <c r="O450" s="14" t="s">
        <v>1165</v>
      </c>
      <c r="P450" s="14" t="s">
        <v>493</v>
      </c>
      <c r="Q450" s="15">
        <v>45813</v>
      </c>
      <c r="R450" s="14" t="s">
        <v>81</v>
      </c>
      <c r="S450" s="14">
        <v>7480</v>
      </c>
      <c r="U450" s="1" t="str">
        <f>TEXT(tblTransactions[[#This Row],[Date]],"YYYY-MM")</f>
        <v>2025-06</v>
      </c>
      <c r="Z450" s="1"/>
    </row>
    <row r="451" spans="15:26" ht="15" customHeight="1" x14ac:dyDescent="0.3">
      <c r="O451" s="14" t="s">
        <v>1166</v>
      </c>
      <c r="P451" s="14" t="s">
        <v>493</v>
      </c>
      <c r="Q451" s="15">
        <v>45912</v>
      </c>
      <c r="R451" s="14" t="s">
        <v>135</v>
      </c>
      <c r="S451" s="14">
        <v>4250</v>
      </c>
      <c r="U451" s="1" t="str">
        <f>TEXT(tblTransactions[[#This Row],[Date]],"YYYY-MM")</f>
        <v>2025-09</v>
      </c>
      <c r="Z451" s="1"/>
    </row>
    <row r="452" spans="15:26" ht="15" customHeight="1" x14ac:dyDescent="0.3">
      <c r="O452" s="14" t="s">
        <v>1167</v>
      </c>
      <c r="P452" s="14" t="s">
        <v>493</v>
      </c>
      <c r="Q452" s="15">
        <v>45838</v>
      </c>
      <c r="R452" s="14" t="s">
        <v>122</v>
      </c>
      <c r="S452" s="14">
        <v>1850</v>
      </c>
      <c r="U452" s="1" t="str">
        <f>TEXT(tblTransactions[[#This Row],[Date]],"YYYY-MM")</f>
        <v>2025-06</v>
      </c>
      <c r="Z452" s="1"/>
    </row>
    <row r="453" spans="15:26" ht="15" customHeight="1" x14ac:dyDescent="0.3">
      <c r="O453" s="14" t="s">
        <v>1168</v>
      </c>
      <c r="P453" s="14" t="s">
        <v>493</v>
      </c>
      <c r="Q453" s="15">
        <v>45783</v>
      </c>
      <c r="R453" s="14" t="s">
        <v>117</v>
      </c>
      <c r="S453" s="14">
        <v>3790</v>
      </c>
      <c r="U453" s="1" t="str">
        <f>TEXT(tblTransactions[[#This Row],[Date]],"YYYY-MM")</f>
        <v>2025-05</v>
      </c>
      <c r="Z453" s="1"/>
    </row>
    <row r="454" spans="15:26" ht="15" customHeight="1" x14ac:dyDescent="0.3">
      <c r="O454" s="14" t="s">
        <v>1169</v>
      </c>
      <c r="P454" s="14" t="s">
        <v>493</v>
      </c>
      <c r="Q454" s="15">
        <v>45920</v>
      </c>
      <c r="R454" s="14" t="s">
        <v>135</v>
      </c>
      <c r="S454" s="14">
        <v>1810</v>
      </c>
      <c r="U454" s="1" t="str">
        <f>TEXT(tblTransactions[[#This Row],[Date]],"YYYY-MM")</f>
        <v>2025-09</v>
      </c>
      <c r="Z454" s="1"/>
    </row>
    <row r="455" spans="15:26" ht="15" customHeight="1" x14ac:dyDescent="0.3">
      <c r="O455" s="14" t="s">
        <v>1170</v>
      </c>
      <c r="P455" s="14" t="s">
        <v>497</v>
      </c>
      <c r="Q455" s="15">
        <v>45772</v>
      </c>
      <c r="R455" s="14" t="s">
        <v>135</v>
      </c>
      <c r="S455" s="14">
        <v>4850</v>
      </c>
      <c r="U455" s="1" t="str">
        <f>TEXT(tblTransactions[[#This Row],[Date]],"YYYY-MM")</f>
        <v>2025-04</v>
      </c>
      <c r="Z455" s="1"/>
    </row>
    <row r="456" spans="15:26" ht="15" customHeight="1" x14ac:dyDescent="0.3">
      <c r="O456" s="14" t="s">
        <v>1171</v>
      </c>
      <c r="P456" s="14" t="s">
        <v>497</v>
      </c>
      <c r="Q456" s="15">
        <v>46032</v>
      </c>
      <c r="R456" s="14" t="s">
        <v>122</v>
      </c>
      <c r="S456" s="14">
        <v>1980</v>
      </c>
      <c r="U456" s="1" t="str">
        <f>TEXT(tblTransactions[[#This Row],[Date]],"YYYY-MM")</f>
        <v>2026-01</v>
      </c>
      <c r="Z456" s="1"/>
    </row>
    <row r="457" spans="15:26" ht="15" customHeight="1" x14ac:dyDescent="0.3">
      <c r="O457" s="14" t="s">
        <v>1172</v>
      </c>
      <c r="P457" s="14" t="s">
        <v>501</v>
      </c>
      <c r="Q457" s="15">
        <v>45981</v>
      </c>
      <c r="R457" s="14" t="s">
        <v>135</v>
      </c>
      <c r="S457" s="14">
        <v>2070</v>
      </c>
      <c r="U457" s="1" t="str">
        <f>TEXT(tblTransactions[[#This Row],[Date]],"YYYY-MM")</f>
        <v>2025-11</v>
      </c>
      <c r="Z457" s="1"/>
    </row>
    <row r="458" spans="15:26" ht="15" customHeight="1" x14ac:dyDescent="0.3">
      <c r="O458" s="14" t="s">
        <v>1173</v>
      </c>
      <c r="P458" s="14" t="s">
        <v>501</v>
      </c>
      <c r="Q458" s="15">
        <v>46006</v>
      </c>
      <c r="R458" s="14" t="s">
        <v>117</v>
      </c>
      <c r="S458" s="14">
        <v>9950</v>
      </c>
      <c r="U458" s="1" t="str">
        <f>TEXT(tblTransactions[[#This Row],[Date]],"YYYY-MM")</f>
        <v>2025-12</v>
      </c>
      <c r="Z458" s="1"/>
    </row>
    <row r="459" spans="15:26" ht="15" customHeight="1" x14ac:dyDescent="0.3">
      <c r="O459" s="14" t="s">
        <v>1174</v>
      </c>
      <c r="P459" s="14" t="s">
        <v>505</v>
      </c>
      <c r="Q459" s="15">
        <v>45958</v>
      </c>
      <c r="R459" s="14" t="s">
        <v>89</v>
      </c>
      <c r="S459" s="14">
        <v>11980</v>
      </c>
      <c r="U459" s="1" t="str">
        <f>TEXT(tblTransactions[[#This Row],[Date]],"YYYY-MM")</f>
        <v>2025-10</v>
      </c>
      <c r="Z459" s="1"/>
    </row>
    <row r="460" spans="15:26" ht="15" customHeight="1" x14ac:dyDescent="0.3">
      <c r="O460" s="14" t="s">
        <v>1175</v>
      </c>
      <c r="P460" s="14" t="s">
        <v>505</v>
      </c>
      <c r="Q460" s="15">
        <v>45894</v>
      </c>
      <c r="R460" s="14" t="s">
        <v>110</v>
      </c>
      <c r="S460" s="14">
        <v>4840</v>
      </c>
      <c r="U460" s="1" t="str">
        <f>TEXT(tblTransactions[[#This Row],[Date]],"YYYY-MM")</f>
        <v>2025-08</v>
      </c>
      <c r="Z460" s="1"/>
    </row>
    <row r="461" spans="15:26" ht="15" customHeight="1" x14ac:dyDescent="0.3">
      <c r="O461" s="14" t="s">
        <v>1176</v>
      </c>
      <c r="P461" s="14" t="s">
        <v>505</v>
      </c>
      <c r="Q461" s="15">
        <v>46005</v>
      </c>
      <c r="R461" s="14" t="s">
        <v>122</v>
      </c>
      <c r="S461" s="14">
        <v>7150</v>
      </c>
      <c r="U461" s="1" t="str">
        <f>TEXT(tblTransactions[[#This Row],[Date]],"YYYY-MM")</f>
        <v>2025-12</v>
      </c>
      <c r="Z461" s="1"/>
    </row>
    <row r="462" spans="15:26" ht="15" customHeight="1" x14ac:dyDescent="0.3">
      <c r="O462" s="14" t="s">
        <v>1177</v>
      </c>
      <c r="P462" s="14" t="s">
        <v>505</v>
      </c>
      <c r="Q462" s="15">
        <v>45802</v>
      </c>
      <c r="R462" s="14" t="s">
        <v>110</v>
      </c>
      <c r="S462" s="14">
        <v>1490</v>
      </c>
      <c r="U462" s="1" t="str">
        <f>TEXT(tblTransactions[[#This Row],[Date]],"YYYY-MM")</f>
        <v>2025-05</v>
      </c>
      <c r="Z462" s="1"/>
    </row>
    <row r="463" spans="15:26" ht="15" customHeight="1" x14ac:dyDescent="0.3">
      <c r="O463" s="14" t="s">
        <v>1178</v>
      </c>
      <c r="P463" s="14" t="s">
        <v>505</v>
      </c>
      <c r="Q463" s="15">
        <v>46016</v>
      </c>
      <c r="R463" s="14" t="s">
        <v>117</v>
      </c>
      <c r="S463" s="14">
        <v>6130</v>
      </c>
      <c r="U463" s="1" t="str">
        <f>TEXT(tblTransactions[[#This Row],[Date]],"YYYY-MM")</f>
        <v>2025-12</v>
      </c>
      <c r="Z463" s="1"/>
    </row>
    <row r="464" spans="15:26" ht="15" customHeight="1" x14ac:dyDescent="0.3">
      <c r="O464" s="14" t="s">
        <v>1179</v>
      </c>
      <c r="P464" s="14" t="s">
        <v>505</v>
      </c>
      <c r="Q464" s="15">
        <v>45877</v>
      </c>
      <c r="R464" s="14" t="s">
        <v>89</v>
      </c>
      <c r="S464" s="14">
        <v>6850</v>
      </c>
      <c r="U464" s="1" t="str">
        <f>TEXT(tblTransactions[[#This Row],[Date]],"YYYY-MM")</f>
        <v>2025-08</v>
      </c>
      <c r="Z464" s="1"/>
    </row>
    <row r="465" spans="15:26" ht="15" customHeight="1" x14ac:dyDescent="0.3">
      <c r="O465" s="14" t="s">
        <v>1180</v>
      </c>
      <c r="P465" s="14" t="s">
        <v>505</v>
      </c>
      <c r="Q465" s="15">
        <v>45884</v>
      </c>
      <c r="R465" s="14" t="s">
        <v>81</v>
      </c>
      <c r="S465" s="14">
        <v>4930</v>
      </c>
      <c r="U465" s="1" t="str">
        <f>TEXT(tblTransactions[[#This Row],[Date]],"YYYY-MM")</f>
        <v>2025-08</v>
      </c>
      <c r="Z465" s="1"/>
    </row>
    <row r="466" spans="15:26" ht="15" customHeight="1" x14ac:dyDescent="0.3">
      <c r="O466" s="14" t="s">
        <v>1181</v>
      </c>
      <c r="P466" s="14" t="s">
        <v>505</v>
      </c>
      <c r="Q466" s="15">
        <v>45983</v>
      </c>
      <c r="R466" s="14" t="s">
        <v>117</v>
      </c>
      <c r="S466" s="14">
        <v>3290</v>
      </c>
      <c r="U466" s="1" t="str">
        <f>TEXT(tblTransactions[[#This Row],[Date]],"YYYY-MM")</f>
        <v>2025-11</v>
      </c>
      <c r="Z466" s="1"/>
    </row>
    <row r="467" spans="15:26" ht="15" customHeight="1" x14ac:dyDescent="0.3">
      <c r="O467" s="14" t="s">
        <v>1182</v>
      </c>
      <c r="P467" s="14" t="s">
        <v>505</v>
      </c>
      <c r="Q467" s="15">
        <v>45872</v>
      </c>
      <c r="R467" s="14" t="s">
        <v>135</v>
      </c>
      <c r="S467" s="14">
        <v>7970</v>
      </c>
      <c r="U467" s="1" t="str">
        <f>TEXT(tblTransactions[[#This Row],[Date]],"YYYY-MM")</f>
        <v>2025-08</v>
      </c>
      <c r="Z467" s="1"/>
    </row>
    <row r="468" spans="15:26" ht="15" customHeight="1" x14ac:dyDescent="0.3">
      <c r="O468" s="14" t="s">
        <v>1183</v>
      </c>
      <c r="P468" s="14" t="s">
        <v>505</v>
      </c>
      <c r="Q468" s="15">
        <v>45789</v>
      </c>
      <c r="R468" s="14" t="s">
        <v>135</v>
      </c>
      <c r="S468" s="14">
        <v>4340</v>
      </c>
      <c r="U468" s="1" t="str">
        <f>TEXT(tblTransactions[[#This Row],[Date]],"YYYY-MM")</f>
        <v>2025-05</v>
      </c>
      <c r="Z468" s="1"/>
    </row>
    <row r="469" spans="15:26" ht="15" customHeight="1" x14ac:dyDescent="0.3">
      <c r="O469" s="14" t="s">
        <v>1184</v>
      </c>
      <c r="P469" s="14" t="s">
        <v>505</v>
      </c>
      <c r="Q469" s="15">
        <v>45764</v>
      </c>
      <c r="R469" s="14" t="s">
        <v>117</v>
      </c>
      <c r="S469" s="14">
        <v>8620</v>
      </c>
      <c r="U469" s="1" t="str">
        <f>TEXT(tblTransactions[[#This Row],[Date]],"YYYY-MM")</f>
        <v>2025-04</v>
      </c>
      <c r="Z469" s="1"/>
    </row>
    <row r="470" spans="15:26" ht="15" customHeight="1" x14ac:dyDescent="0.3">
      <c r="O470" s="14" t="s">
        <v>1185</v>
      </c>
      <c r="P470" s="14" t="s">
        <v>505</v>
      </c>
      <c r="Q470" s="15">
        <v>45991</v>
      </c>
      <c r="R470" s="14" t="s">
        <v>110</v>
      </c>
      <c r="S470" s="14">
        <v>6940</v>
      </c>
      <c r="U470" s="1" t="str">
        <f>TEXT(tblTransactions[[#This Row],[Date]],"YYYY-MM")</f>
        <v>2025-11</v>
      </c>
      <c r="Z470" s="1"/>
    </row>
    <row r="471" spans="15:26" ht="15" customHeight="1" x14ac:dyDescent="0.3">
      <c r="O471" s="14" t="s">
        <v>1186</v>
      </c>
      <c r="P471" s="14" t="s">
        <v>505</v>
      </c>
      <c r="Q471" s="15">
        <v>46020</v>
      </c>
      <c r="R471" s="14" t="s">
        <v>110</v>
      </c>
      <c r="S471" s="14">
        <v>1990</v>
      </c>
      <c r="U471" s="1" t="str">
        <f>TEXT(tblTransactions[[#This Row],[Date]],"YYYY-MM")</f>
        <v>2025-12</v>
      </c>
      <c r="Z471" s="1"/>
    </row>
    <row r="472" spans="15:26" ht="15" customHeight="1" x14ac:dyDescent="0.3">
      <c r="O472" s="14" t="s">
        <v>1187</v>
      </c>
      <c r="P472" s="14" t="s">
        <v>509</v>
      </c>
      <c r="Q472" s="15">
        <v>46037</v>
      </c>
      <c r="R472" s="14" t="s">
        <v>110</v>
      </c>
      <c r="S472" s="14">
        <v>1750</v>
      </c>
      <c r="U472" s="1" t="str">
        <f>TEXT(tblTransactions[[#This Row],[Date]],"YYYY-MM")</f>
        <v>2026-01</v>
      </c>
      <c r="Z472" s="1"/>
    </row>
    <row r="473" spans="15:26" ht="15" customHeight="1" x14ac:dyDescent="0.3">
      <c r="O473" s="14" t="s">
        <v>1188</v>
      </c>
      <c r="P473" s="14" t="s">
        <v>509</v>
      </c>
      <c r="Q473" s="15">
        <v>46065</v>
      </c>
      <c r="R473" s="14" t="s">
        <v>122</v>
      </c>
      <c r="S473" s="14">
        <v>18550</v>
      </c>
      <c r="U473" s="1" t="str">
        <f>TEXT(tblTransactions[[#This Row],[Date]],"YYYY-MM")</f>
        <v>2026-02</v>
      </c>
      <c r="Z473" s="1"/>
    </row>
    <row r="474" spans="15:26" ht="15" customHeight="1" x14ac:dyDescent="0.3">
      <c r="O474" s="14" t="s">
        <v>1189</v>
      </c>
      <c r="P474" s="14" t="s">
        <v>513</v>
      </c>
      <c r="Q474" s="15">
        <v>45991</v>
      </c>
      <c r="R474" s="14" t="s">
        <v>89</v>
      </c>
      <c r="S474" s="14">
        <v>1500</v>
      </c>
      <c r="U474" s="1" t="str">
        <f>TEXT(tblTransactions[[#This Row],[Date]],"YYYY-MM")</f>
        <v>2025-11</v>
      </c>
      <c r="Z474" s="1"/>
    </row>
    <row r="475" spans="15:26" ht="15" customHeight="1" x14ac:dyDescent="0.3">
      <c r="O475" s="14" t="s">
        <v>1190</v>
      </c>
      <c r="P475" s="14" t="s">
        <v>513</v>
      </c>
      <c r="Q475" s="15">
        <v>45771</v>
      </c>
      <c r="R475" s="14" t="s">
        <v>89</v>
      </c>
      <c r="S475" s="14">
        <v>13250</v>
      </c>
      <c r="U475" s="1" t="str">
        <f>TEXT(tblTransactions[[#This Row],[Date]],"YYYY-MM")</f>
        <v>2025-04</v>
      </c>
      <c r="Z475" s="1"/>
    </row>
    <row r="476" spans="15:26" ht="15" customHeight="1" x14ac:dyDescent="0.3">
      <c r="O476" s="14" t="s">
        <v>1191</v>
      </c>
      <c r="P476" s="14" t="s">
        <v>513</v>
      </c>
      <c r="Q476" s="15">
        <v>46026</v>
      </c>
      <c r="R476" s="14" t="s">
        <v>117</v>
      </c>
      <c r="S476" s="14">
        <v>2580</v>
      </c>
      <c r="U476" s="1" t="str">
        <f>TEXT(tblTransactions[[#This Row],[Date]],"YYYY-MM")</f>
        <v>2026-01</v>
      </c>
      <c r="Z476" s="1"/>
    </row>
    <row r="477" spans="15:26" ht="15" customHeight="1" x14ac:dyDescent="0.3">
      <c r="O477" s="14" t="s">
        <v>1192</v>
      </c>
      <c r="P477" s="14" t="s">
        <v>513</v>
      </c>
      <c r="Q477" s="15">
        <v>46084</v>
      </c>
      <c r="R477" s="14" t="s">
        <v>89</v>
      </c>
      <c r="S477" s="14">
        <v>25000</v>
      </c>
      <c r="U477" s="1" t="str">
        <f>TEXT(tblTransactions[[#This Row],[Date]],"YYYY-MM")</f>
        <v>2026-03</v>
      </c>
      <c r="Z477" s="1"/>
    </row>
    <row r="478" spans="15:26" ht="15" customHeight="1" x14ac:dyDescent="0.3">
      <c r="O478" s="14" t="s">
        <v>1193</v>
      </c>
      <c r="P478" s="14" t="s">
        <v>513</v>
      </c>
      <c r="Q478" s="15">
        <v>45756</v>
      </c>
      <c r="R478" s="14" t="s">
        <v>122</v>
      </c>
      <c r="S478" s="14">
        <v>6560</v>
      </c>
      <c r="U478" s="1" t="str">
        <f>TEXT(tblTransactions[[#This Row],[Date]],"YYYY-MM")</f>
        <v>2025-04</v>
      </c>
      <c r="Z478" s="1"/>
    </row>
    <row r="479" spans="15:26" ht="15" customHeight="1" x14ac:dyDescent="0.3">
      <c r="O479" s="14" t="s">
        <v>1194</v>
      </c>
      <c r="P479" s="14" t="s">
        <v>513</v>
      </c>
      <c r="Q479" s="15">
        <v>46048</v>
      </c>
      <c r="R479" s="14" t="s">
        <v>81</v>
      </c>
      <c r="S479" s="14">
        <v>11240</v>
      </c>
      <c r="U479" s="1" t="str">
        <f>TEXT(tblTransactions[[#This Row],[Date]],"YYYY-MM")</f>
        <v>2026-01</v>
      </c>
      <c r="Z479" s="1"/>
    </row>
    <row r="480" spans="15:26" ht="15" customHeight="1" x14ac:dyDescent="0.3">
      <c r="O480" s="14" t="s">
        <v>1195</v>
      </c>
      <c r="P480" s="14" t="s">
        <v>513</v>
      </c>
      <c r="Q480" s="15">
        <v>45787</v>
      </c>
      <c r="R480" s="14" t="s">
        <v>89</v>
      </c>
      <c r="S480" s="14">
        <v>14460</v>
      </c>
      <c r="U480" s="1" t="str">
        <f>TEXT(tblTransactions[[#This Row],[Date]],"YYYY-MM")</f>
        <v>2025-05</v>
      </c>
      <c r="Z480" s="1"/>
    </row>
    <row r="481" spans="15:26" ht="15" customHeight="1" x14ac:dyDescent="0.3">
      <c r="O481" s="14" t="s">
        <v>1196</v>
      </c>
      <c r="P481" s="14" t="s">
        <v>513</v>
      </c>
      <c r="Q481" s="15">
        <v>45831</v>
      </c>
      <c r="R481" s="14" t="s">
        <v>81</v>
      </c>
      <c r="S481" s="14">
        <v>1740</v>
      </c>
      <c r="U481" s="1" t="str">
        <f>TEXT(tblTransactions[[#This Row],[Date]],"YYYY-MM")</f>
        <v>2025-06</v>
      </c>
      <c r="Z481" s="1"/>
    </row>
    <row r="482" spans="15:26" ht="15" customHeight="1" x14ac:dyDescent="0.3">
      <c r="O482" s="14" t="s">
        <v>1197</v>
      </c>
      <c r="P482" s="14" t="s">
        <v>513</v>
      </c>
      <c r="Q482" s="15">
        <v>46095</v>
      </c>
      <c r="R482" s="14" t="s">
        <v>135</v>
      </c>
      <c r="S482" s="14">
        <v>3000</v>
      </c>
      <c r="U482" s="1" t="str">
        <f>TEXT(tblTransactions[[#This Row],[Date]],"YYYY-MM")</f>
        <v>2026-03</v>
      </c>
      <c r="Z482" s="1"/>
    </row>
    <row r="483" spans="15:26" ht="15" customHeight="1" x14ac:dyDescent="0.3">
      <c r="O483" s="14" t="s">
        <v>1198</v>
      </c>
      <c r="P483" s="14" t="s">
        <v>517</v>
      </c>
      <c r="Q483" s="15">
        <v>45788</v>
      </c>
      <c r="R483" s="14" t="s">
        <v>110</v>
      </c>
      <c r="S483" s="14">
        <v>520</v>
      </c>
      <c r="U483" s="1" t="str">
        <f>TEXT(tblTransactions[[#This Row],[Date]],"YYYY-MM")</f>
        <v>2025-05</v>
      </c>
      <c r="Z483" s="1"/>
    </row>
    <row r="484" spans="15:26" ht="15" customHeight="1" x14ac:dyDescent="0.3">
      <c r="O484" s="14" t="s">
        <v>1199</v>
      </c>
      <c r="P484" s="14" t="s">
        <v>517</v>
      </c>
      <c r="Q484" s="15">
        <v>45798</v>
      </c>
      <c r="R484" s="14" t="s">
        <v>81</v>
      </c>
      <c r="S484" s="14">
        <v>4450</v>
      </c>
      <c r="U484" s="1" t="str">
        <f>TEXT(tblTransactions[[#This Row],[Date]],"YYYY-MM")</f>
        <v>2025-05</v>
      </c>
      <c r="Z484" s="1"/>
    </row>
    <row r="485" spans="15:26" ht="15" customHeight="1" x14ac:dyDescent="0.3">
      <c r="O485" s="14" t="s">
        <v>1200</v>
      </c>
      <c r="P485" s="14" t="s">
        <v>517</v>
      </c>
      <c r="Q485" s="15">
        <v>45866</v>
      </c>
      <c r="R485" s="14" t="s">
        <v>117</v>
      </c>
      <c r="S485" s="14">
        <v>6620</v>
      </c>
      <c r="U485" s="1" t="str">
        <f>TEXT(tblTransactions[[#This Row],[Date]],"YYYY-MM")</f>
        <v>2025-07</v>
      </c>
      <c r="Z485" s="1"/>
    </row>
    <row r="486" spans="15:26" ht="15" customHeight="1" x14ac:dyDescent="0.3">
      <c r="O486" s="14" t="s">
        <v>1201</v>
      </c>
      <c r="P486" s="14" t="s">
        <v>517</v>
      </c>
      <c r="Q486" s="15">
        <v>45951</v>
      </c>
      <c r="R486" s="14" t="s">
        <v>89</v>
      </c>
      <c r="S486" s="14">
        <v>2420</v>
      </c>
      <c r="U486" s="1" t="str">
        <f>TEXT(tblTransactions[[#This Row],[Date]],"YYYY-MM")</f>
        <v>2025-10</v>
      </c>
      <c r="Z486" s="1"/>
    </row>
    <row r="487" spans="15:26" ht="15" customHeight="1" x14ac:dyDescent="0.3">
      <c r="O487" s="14" t="s">
        <v>1202</v>
      </c>
      <c r="P487" s="14" t="s">
        <v>517</v>
      </c>
      <c r="Q487" s="15">
        <v>45763</v>
      </c>
      <c r="R487" s="14" t="s">
        <v>81</v>
      </c>
      <c r="S487" s="14">
        <v>1770</v>
      </c>
      <c r="U487" s="1" t="str">
        <f>TEXT(tblTransactions[[#This Row],[Date]],"YYYY-MM")</f>
        <v>2025-04</v>
      </c>
      <c r="Z487" s="1"/>
    </row>
    <row r="488" spans="15:26" ht="15" customHeight="1" x14ac:dyDescent="0.3">
      <c r="O488" s="14" t="s">
        <v>1203</v>
      </c>
      <c r="P488" s="14" t="s">
        <v>517</v>
      </c>
      <c r="Q488" s="15">
        <v>45999</v>
      </c>
      <c r="R488" s="14" t="s">
        <v>122</v>
      </c>
      <c r="S488" s="14">
        <v>1580</v>
      </c>
      <c r="U488" s="1" t="str">
        <f>TEXT(tblTransactions[[#This Row],[Date]],"YYYY-MM")</f>
        <v>2025-12</v>
      </c>
      <c r="Z488" s="1"/>
    </row>
    <row r="489" spans="15:26" ht="15" customHeight="1" x14ac:dyDescent="0.3">
      <c r="O489" s="14" t="s">
        <v>1204</v>
      </c>
      <c r="P489" s="14" t="s">
        <v>517</v>
      </c>
      <c r="Q489" s="15">
        <v>45930</v>
      </c>
      <c r="R489" s="14" t="s">
        <v>122</v>
      </c>
      <c r="S489" s="14">
        <v>2160</v>
      </c>
      <c r="U489" s="1" t="str">
        <f>TEXT(tblTransactions[[#This Row],[Date]],"YYYY-MM")</f>
        <v>2025-09</v>
      </c>
      <c r="Z489" s="1"/>
    </row>
    <row r="490" spans="15:26" ht="15" customHeight="1" x14ac:dyDescent="0.3">
      <c r="O490" s="14" t="s">
        <v>1205</v>
      </c>
      <c r="P490" s="14" t="s">
        <v>517</v>
      </c>
      <c r="Q490" s="15">
        <v>45942</v>
      </c>
      <c r="R490" s="14" t="s">
        <v>110</v>
      </c>
      <c r="S490" s="14">
        <v>3490</v>
      </c>
      <c r="U490" s="1" t="str">
        <f>TEXT(tblTransactions[[#This Row],[Date]],"YYYY-MM")</f>
        <v>2025-10</v>
      </c>
      <c r="Z490" s="1"/>
    </row>
    <row r="491" spans="15:26" ht="15" customHeight="1" x14ac:dyDescent="0.3">
      <c r="O491" s="14" t="s">
        <v>1206</v>
      </c>
      <c r="P491" s="14" t="s">
        <v>517</v>
      </c>
      <c r="Q491" s="15">
        <v>45899</v>
      </c>
      <c r="R491" s="14" t="s">
        <v>110</v>
      </c>
      <c r="S491" s="14">
        <v>6550</v>
      </c>
      <c r="U491" s="1" t="str">
        <f>TEXT(tblTransactions[[#This Row],[Date]],"YYYY-MM")</f>
        <v>2025-08</v>
      </c>
      <c r="Z491" s="1"/>
    </row>
    <row r="492" spans="15:26" ht="15" customHeight="1" x14ac:dyDescent="0.3">
      <c r="O492" s="14" t="s">
        <v>1207</v>
      </c>
      <c r="P492" s="14" t="s">
        <v>517</v>
      </c>
      <c r="Q492" s="15">
        <v>45885</v>
      </c>
      <c r="R492" s="14" t="s">
        <v>122</v>
      </c>
      <c r="S492" s="14">
        <v>1350</v>
      </c>
      <c r="U492" s="1" t="str">
        <f>TEXT(tblTransactions[[#This Row],[Date]],"YYYY-MM")</f>
        <v>2025-08</v>
      </c>
      <c r="Z492" s="1"/>
    </row>
    <row r="493" spans="15:26" ht="15" customHeight="1" x14ac:dyDescent="0.3">
      <c r="O493" s="14" t="s">
        <v>1208</v>
      </c>
      <c r="P493" s="14" t="s">
        <v>517</v>
      </c>
      <c r="Q493" s="15">
        <v>45944</v>
      </c>
      <c r="R493" s="14" t="s">
        <v>110</v>
      </c>
      <c r="S493" s="14">
        <v>4300</v>
      </c>
      <c r="U493" s="1" t="str">
        <f>TEXT(tblTransactions[[#This Row],[Date]],"YYYY-MM")</f>
        <v>2025-10</v>
      </c>
      <c r="Z493" s="1"/>
    </row>
    <row r="494" spans="15:26" ht="15" customHeight="1" x14ac:dyDescent="0.3">
      <c r="O494" s="14" t="s">
        <v>1209</v>
      </c>
      <c r="P494" s="14" t="s">
        <v>517</v>
      </c>
      <c r="Q494" s="15">
        <v>45794</v>
      </c>
      <c r="R494" s="14" t="s">
        <v>110</v>
      </c>
      <c r="S494" s="14">
        <v>2240</v>
      </c>
      <c r="U494" s="1" t="str">
        <f>TEXT(tblTransactions[[#This Row],[Date]],"YYYY-MM")</f>
        <v>2025-05</v>
      </c>
      <c r="Z494" s="1"/>
    </row>
    <row r="495" spans="15:26" ht="15" customHeight="1" x14ac:dyDescent="0.3">
      <c r="O495" s="14" t="s">
        <v>1210</v>
      </c>
      <c r="P495" s="14" t="s">
        <v>517</v>
      </c>
      <c r="Q495" s="15">
        <v>45905</v>
      </c>
      <c r="R495" s="14" t="s">
        <v>110</v>
      </c>
      <c r="S495" s="14">
        <v>1260</v>
      </c>
      <c r="U495" s="1" t="str">
        <f>TEXT(tblTransactions[[#This Row],[Date]],"YYYY-MM")</f>
        <v>2025-09</v>
      </c>
      <c r="Z495" s="1"/>
    </row>
    <row r="496" spans="15:26" ht="15" customHeight="1" x14ac:dyDescent="0.3">
      <c r="O496" s="14" t="s">
        <v>1211</v>
      </c>
      <c r="P496" s="14" t="s">
        <v>517</v>
      </c>
      <c r="Q496" s="15">
        <v>46040</v>
      </c>
      <c r="R496" s="14" t="s">
        <v>122</v>
      </c>
      <c r="S496" s="14">
        <v>7130</v>
      </c>
      <c r="U496" s="1" t="str">
        <f>TEXT(tblTransactions[[#This Row],[Date]],"YYYY-MM")</f>
        <v>2026-01</v>
      </c>
      <c r="Z496" s="1"/>
    </row>
    <row r="497" spans="15:26" ht="15" customHeight="1" x14ac:dyDescent="0.3">
      <c r="O497" s="14" t="s">
        <v>1212</v>
      </c>
      <c r="P497" s="14" t="s">
        <v>521</v>
      </c>
      <c r="Q497" s="15">
        <v>46108</v>
      </c>
      <c r="R497" s="14" t="s">
        <v>89</v>
      </c>
      <c r="S497" s="14">
        <v>16892</v>
      </c>
      <c r="U497" s="1" t="str">
        <f>TEXT(tblTransactions[[#This Row],[Date]],"YYYY-MM")</f>
        <v>2026-03</v>
      </c>
      <c r="Z497" s="1"/>
    </row>
    <row r="498" spans="15:26" ht="15" customHeight="1" x14ac:dyDescent="0.3">
      <c r="O498" s="14" t="s">
        <v>1213</v>
      </c>
      <c r="P498" s="14" t="s">
        <v>521</v>
      </c>
      <c r="Q498" s="15">
        <v>46034</v>
      </c>
      <c r="R498" s="14" t="s">
        <v>117</v>
      </c>
      <c r="S498" s="14">
        <v>12105</v>
      </c>
      <c r="U498" s="1" t="str">
        <f>TEXT(tblTransactions[[#This Row],[Date]],"YYYY-MM")</f>
        <v>2026-01</v>
      </c>
      <c r="Z498" s="1"/>
    </row>
    <row r="499" spans="15:26" ht="15" customHeight="1" x14ac:dyDescent="0.3">
      <c r="O499" s="14" t="s">
        <v>1214</v>
      </c>
      <c r="P499" s="14" t="s">
        <v>521</v>
      </c>
      <c r="Q499" s="15">
        <v>45784</v>
      </c>
      <c r="R499" s="14" t="s">
        <v>81</v>
      </c>
      <c r="S499" s="14">
        <v>24815</v>
      </c>
      <c r="U499" s="1" t="str">
        <f>TEXT(tblTransactions[[#This Row],[Date]],"YYYY-MM")</f>
        <v>2025-05</v>
      </c>
      <c r="Z499" s="1"/>
    </row>
    <row r="500" spans="15:26" ht="15" customHeight="1" x14ac:dyDescent="0.3">
      <c r="O500" s="14" t="s">
        <v>1215</v>
      </c>
      <c r="P500" s="14" t="s">
        <v>521</v>
      </c>
      <c r="Q500" s="15">
        <v>45769</v>
      </c>
      <c r="R500" s="14" t="s">
        <v>81</v>
      </c>
      <c r="S500" s="14">
        <v>1114</v>
      </c>
      <c r="U500" s="1" t="str">
        <f>TEXT(tblTransactions[[#This Row],[Date]],"YYYY-MM")</f>
        <v>2025-04</v>
      </c>
      <c r="Z500" s="1"/>
    </row>
    <row r="501" spans="15:26" ht="15" customHeight="1" x14ac:dyDescent="0.3">
      <c r="O501" s="14" t="s">
        <v>1216</v>
      </c>
      <c r="P501" s="14" t="s">
        <v>521</v>
      </c>
      <c r="Q501" s="15">
        <v>45983</v>
      </c>
      <c r="R501" s="14" t="s">
        <v>110</v>
      </c>
      <c r="S501" s="14">
        <v>10758</v>
      </c>
      <c r="U501" s="1" t="str">
        <f>TEXT(tblTransactions[[#This Row],[Date]],"YYYY-MM")</f>
        <v>2025-11</v>
      </c>
      <c r="Z501" s="1"/>
    </row>
    <row r="502" spans="15:26" ht="15" customHeight="1" x14ac:dyDescent="0.3">
      <c r="O502" s="14" t="s">
        <v>1217</v>
      </c>
      <c r="P502" s="14" t="s">
        <v>521</v>
      </c>
      <c r="Q502" s="15">
        <v>46042</v>
      </c>
      <c r="R502" s="14" t="s">
        <v>81</v>
      </c>
      <c r="S502" s="14">
        <v>19289</v>
      </c>
      <c r="U502" s="1" t="str">
        <f>TEXT(tblTransactions[[#This Row],[Date]],"YYYY-MM")</f>
        <v>2026-01</v>
      </c>
      <c r="Z502" s="1"/>
    </row>
    <row r="503" spans="15:26" ht="15" customHeight="1" x14ac:dyDescent="0.3">
      <c r="O503" s="14" t="s">
        <v>1218</v>
      </c>
      <c r="P503" s="14" t="s">
        <v>521</v>
      </c>
      <c r="Q503" s="15">
        <v>45955</v>
      </c>
      <c r="R503" s="14" t="s">
        <v>117</v>
      </c>
      <c r="S503" s="14">
        <v>21476</v>
      </c>
      <c r="U503" s="1" t="str">
        <f>TEXT(tblTransactions[[#This Row],[Date]],"YYYY-MM")</f>
        <v>2025-10</v>
      </c>
      <c r="Z503" s="1"/>
    </row>
    <row r="504" spans="15:26" ht="15" customHeight="1" x14ac:dyDescent="0.3">
      <c r="O504" s="14" t="s">
        <v>1219</v>
      </c>
      <c r="P504" s="14" t="s">
        <v>521</v>
      </c>
      <c r="Q504" s="15">
        <v>45961</v>
      </c>
      <c r="R504" s="14" t="s">
        <v>1220</v>
      </c>
      <c r="S504" s="14">
        <v>4274</v>
      </c>
      <c r="U504" s="1" t="str">
        <f>TEXT(tblTransactions[[#This Row],[Date]],"YYYY-MM")</f>
        <v>2025-10</v>
      </c>
      <c r="Z504" s="1"/>
    </row>
    <row r="505" spans="15:26" ht="15" customHeight="1" x14ac:dyDescent="0.3">
      <c r="O505" s="14" t="s">
        <v>1221</v>
      </c>
      <c r="P505" s="14" t="s">
        <v>521</v>
      </c>
      <c r="Q505" s="15">
        <v>45955</v>
      </c>
      <c r="R505" s="14" t="s">
        <v>110</v>
      </c>
      <c r="S505" s="14">
        <v>11142</v>
      </c>
      <c r="U505" s="1" t="str">
        <f>TEXT(tblTransactions[[#This Row],[Date]],"YYYY-MM")</f>
        <v>2025-10</v>
      </c>
      <c r="Z505" s="1"/>
    </row>
    <row r="506" spans="15:26" ht="15" customHeight="1" x14ac:dyDescent="0.3">
      <c r="O506" s="14" t="s">
        <v>1222</v>
      </c>
      <c r="P506" s="14" t="s">
        <v>525</v>
      </c>
      <c r="Q506" s="15">
        <v>46064</v>
      </c>
      <c r="R506" s="14" t="s">
        <v>81</v>
      </c>
      <c r="S506" s="14">
        <v>23097</v>
      </c>
      <c r="U506" s="1" t="str">
        <f>TEXT(tblTransactions[[#This Row],[Date]],"YYYY-MM")</f>
        <v>2026-02</v>
      </c>
      <c r="Z506" s="1"/>
    </row>
    <row r="507" spans="15:26" ht="15" customHeight="1" x14ac:dyDescent="0.3">
      <c r="O507" s="14" t="s">
        <v>1223</v>
      </c>
      <c r="P507" s="14" t="s">
        <v>525</v>
      </c>
      <c r="Q507" s="15">
        <v>45933</v>
      </c>
      <c r="R507" s="14" t="s">
        <v>110</v>
      </c>
      <c r="S507" s="14">
        <v>14810</v>
      </c>
      <c r="U507" s="1" t="str">
        <f>TEXT(tblTransactions[[#This Row],[Date]],"YYYY-MM")</f>
        <v>2025-10</v>
      </c>
      <c r="Z507" s="1"/>
    </row>
    <row r="508" spans="15:26" ht="15" customHeight="1" x14ac:dyDescent="0.3">
      <c r="O508" s="14" t="s">
        <v>1224</v>
      </c>
      <c r="P508" s="14" t="s">
        <v>525</v>
      </c>
      <c r="Q508" s="15">
        <v>45802</v>
      </c>
      <c r="R508" s="14" t="s">
        <v>89</v>
      </c>
      <c r="S508" s="14">
        <v>14776</v>
      </c>
      <c r="U508" s="1" t="str">
        <f>TEXT(tblTransactions[[#This Row],[Date]],"YYYY-MM")</f>
        <v>2025-05</v>
      </c>
      <c r="Z508" s="1"/>
    </row>
    <row r="509" spans="15:26" ht="15" customHeight="1" x14ac:dyDescent="0.3">
      <c r="O509" s="14" t="s">
        <v>1225</v>
      </c>
      <c r="P509" s="14" t="s">
        <v>529</v>
      </c>
      <c r="Q509" s="15">
        <v>45953</v>
      </c>
      <c r="R509" s="14" t="s">
        <v>135</v>
      </c>
      <c r="S509" s="14">
        <v>3077</v>
      </c>
      <c r="U509" s="1" t="str">
        <f>TEXT(tblTransactions[[#This Row],[Date]],"YYYY-MM")</f>
        <v>2025-10</v>
      </c>
      <c r="Z509" s="1"/>
    </row>
    <row r="510" spans="15:26" ht="15" customHeight="1" x14ac:dyDescent="0.3">
      <c r="O510" s="14" t="s">
        <v>1226</v>
      </c>
      <c r="P510" s="14" t="s">
        <v>529</v>
      </c>
      <c r="Q510" s="15">
        <v>45950</v>
      </c>
      <c r="R510" s="14" t="s">
        <v>1220</v>
      </c>
      <c r="S510" s="14">
        <v>24938</v>
      </c>
      <c r="U510" s="1" t="str">
        <f>TEXT(tblTransactions[[#This Row],[Date]],"YYYY-MM")</f>
        <v>2025-10</v>
      </c>
      <c r="Z510" s="1"/>
    </row>
    <row r="511" spans="15:26" ht="15" customHeight="1" x14ac:dyDescent="0.3">
      <c r="O511" s="14" t="s">
        <v>1227</v>
      </c>
      <c r="P511" s="14" t="s">
        <v>529</v>
      </c>
      <c r="Q511" s="15">
        <v>45921</v>
      </c>
      <c r="R511" s="14" t="s">
        <v>89</v>
      </c>
      <c r="S511" s="14">
        <v>11413</v>
      </c>
      <c r="U511" s="1" t="str">
        <f>TEXT(tblTransactions[[#This Row],[Date]],"YYYY-MM")</f>
        <v>2025-09</v>
      </c>
      <c r="Z511" s="1"/>
    </row>
    <row r="512" spans="15:26" ht="15" customHeight="1" x14ac:dyDescent="0.3">
      <c r="O512" s="14" t="s">
        <v>1228</v>
      </c>
      <c r="P512" s="14" t="s">
        <v>529</v>
      </c>
      <c r="Q512" s="15">
        <v>45834</v>
      </c>
      <c r="R512" s="14" t="s">
        <v>110</v>
      </c>
      <c r="S512" s="14">
        <v>17227</v>
      </c>
      <c r="U512" s="1" t="str">
        <f>TEXT(tblTransactions[[#This Row],[Date]],"YYYY-MM")</f>
        <v>2025-06</v>
      </c>
      <c r="Z512" s="1"/>
    </row>
    <row r="513" spans="15:26" ht="15" customHeight="1" x14ac:dyDescent="0.3">
      <c r="O513" s="14" t="s">
        <v>1229</v>
      </c>
      <c r="P513" s="14" t="s">
        <v>529</v>
      </c>
      <c r="Q513" s="15">
        <v>46072</v>
      </c>
      <c r="R513" s="14" t="s">
        <v>110</v>
      </c>
      <c r="S513" s="14">
        <v>17886</v>
      </c>
      <c r="U513" s="1" t="str">
        <f>TEXT(tblTransactions[[#This Row],[Date]],"YYYY-MM")</f>
        <v>2026-02</v>
      </c>
      <c r="Z513" s="1"/>
    </row>
    <row r="514" spans="15:26" ht="15" customHeight="1" x14ac:dyDescent="0.3">
      <c r="O514" s="14" t="s">
        <v>1230</v>
      </c>
      <c r="P514" s="14" t="s">
        <v>529</v>
      </c>
      <c r="Q514" s="15">
        <v>46009</v>
      </c>
      <c r="R514" s="14" t="s">
        <v>89</v>
      </c>
      <c r="S514" s="14">
        <v>11948</v>
      </c>
      <c r="U514" s="1" t="str">
        <f>TEXT(tblTransactions[[#This Row],[Date]],"YYYY-MM")</f>
        <v>2025-12</v>
      </c>
      <c r="Z514" s="1"/>
    </row>
    <row r="515" spans="15:26" ht="15" customHeight="1" x14ac:dyDescent="0.3">
      <c r="O515" s="14" t="s">
        <v>1231</v>
      </c>
      <c r="P515" s="14" t="s">
        <v>529</v>
      </c>
      <c r="Q515" s="15">
        <v>45927</v>
      </c>
      <c r="R515" s="14" t="s">
        <v>117</v>
      </c>
      <c r="S515" s="14">
        <v>21649</v>
      </c>
      <c r="U515" s="1" t="str">
        <f>TEXT(tblTransactions[[#This Row],[Date]],"YYYY-MM")</f>
        <v>2025-09</v>
      </c>
      <c r="Z515" s="1"/>
    </row>
    <row r="516" spans="15:26" ht="15" customHeight="1" x14ac:dyDescent="0.3">
      <c r="O516" s="14" t="s">
        <v>1232</v>
      </c>
      <c r="P516" s="14" t="s">
        <v>529</v>
      </c>
      <c r="Q516" s="15">
        <v>45823</v>
      </c>
      <c r="R516" s="14" t="s">
        <v>89</v>
      </c>
      <c r="S516" s="14">
        <v>3868</v>
      </c>
      <c r="U516" s="1" t="str">
        <f>TEXT(tblTransactions[[#This Row],[Date]],"YYYY-MM")</f>
        <v>2025-06</v>
      </c>
      <c r="Z516" s="1"/>
    </row>
    <row r="517" spans="15:26" ht="15" customHeight="1" x14ac:dyDescent="0.3">
      <c r="O517" s="14" t="s">
        <v>1233</v>
      </c>
      <c r="P517" s="14" t="s">
        <v>529</v>
      </c>
      <c r="Q517" s="15">
        <v>45822</v>
      </c>
      <c r="R517" s="14" t="s">
        <v>1220</v>
      </c>
      <c r="S517" s="14">
        <v>6964</v>
      </c>
      <c r="U517" s="1" t="str">
        <f>TEXT(tblTransactions[[#This Row],[Date]],"YYYY-MM")</f>
        <v>2025-06</v>
      </c>
      <c r="Z517" s="1"/>
    </row>
    <row r="518" spans="15:26" ht="15" customHeight="1" x14ac:dyDescent="0.3">
      <c r="O518" s="14" t="s">
        <v>1234</v>
      </c>
      <c r="P518" s="14" t="s">
        <v>529</v>
      </c>
      <c r="Q518" s="15">
        <v>45836</v>
      </c>
      <c r="R518" s="14" t="s">
        <v>135</v>
      </c>
      <c r="S518" s="14">
        <v>5509</v>
      </c>
      <c r="U518" s="1" t="str">
        <f>TEXT(tblTransactions[[#This Row],[Date]],"YYYY-MM")</f>
        <v>2025-06</v>
      </c>
      <c r="Z518" s="1"/>
    </row>
    <row r="519" spans="15:26" ht="15" customHeight="1" x14ac:dyDescent="0.3">
      <c r="O519" s="14" t="s">
        <v>1235</v>
      </c>
      <c r="P519" s="14" t="s">
        <v>533</v>
      </c>
      <c r="Q519" s="15">
        <v>45838</v>
      </c>
      <c r="R519" s="14" t="s">
        <v>117</v>
      </c>
      <c r="S519" s="14">
        <v>16691</v>
      </c>
      <c r="U519" s="1" t="str">
        <f>TEXT(tblTransactions[[#This Row],[Date]],"YYYY-MM")</f>
        <v>2025-06</v>
      </c>
      <c r="Z519" s="1"/>
    </row>
    <row r="520" spans="15:26" ht="15" customHeight="1" x14ac:dyDescent="0.3">
      <c r="O520" s="14" t="s">
        <v>1236</v>
      </c>
      <c r="P520" s="14" t="s">
        <v>533</v>
      </c>
      <c r="Q520" s="15">
        <v>45985</v>
      </c>
      <c r="R520" s="14" t="s">
        <v>135</v>
      </c>
      <c r="S520" s="14">
        <v>19488</v>
      </c>
      <c r="U520" s="1" t="str">
        <f>TEXT(tblTransactions[[#This Row],[Date]],"YYYY-MM")</f>
        <v>2025-11</v>
      </c>
      <c r="Z520" s="1"/>
    </row>
    <row r="521" spans="15:26" ht="15" customHeight="1" x14ac:dyDescent="0.3">
      <c r="O521" s="14" t="s">
        <v>1237</v>
      </c>
      <c r="P521" s="14" t="s">
        <v>538</v>
      </c>
      <c r="Q521" s="15">
        <v>46096</v>
      </c>
      <c r="R521" s="14" t="s">
        <v>135</v>
      </c>
      <c r="S521" s="14">
        <v>21569</v>
      </c>
      <c r="U521" s="1" t="str">
        <f>TEXT(tblTransactions[[#This Row],[Date]],"YYYY-MM")</f>
        <v>2026-03</v>
      </c>
      <c r="Z521" s="1"/>
    </row>
    <row r="522" spans="15:26" ht="15" customHeight="1" x14ac:dyDescent="0.3">
      <c r="O522" s="14" t="s">
        <v>1238</v>
      </c>
      <c r="P522" s="14" t="s">
        <v>538</v>
      </c>
      <c r="Q522" s="15">
        <v>46073</v>
      </c>
      <c r="R522" s="14" t="s">
        <v>135</v>
      </c>
      <c r="S522" s="14">
        <v>11090</v>
      </c>
      <c r="U522" s="1" t="str">
        <f>TEXT(tblTransactions[[#This Row],[Date]],"YYYY-MM")</f>
        <v>2026-02</v>
      </c>
      <c r="Z522" s="1"/>
    </row>
    <row r="523" spans="15:26" ht="15" customHeight="1" x14ac:dyDescent="0.3">
      <c r="O523" s="14" t="s">
        <v>1239</v>
      </c>
      <c r="P523" s="14" t="s">
        <v>538</v>
      </c>
      <c r="Q523" s="15">
        <v>46069</v>
      </c>
      <c r="R523" s="14" t="s">
        <v>1220</v>
      </c>
      <c r="S523" s="14">
        <v>5446</v>
      </c>
      <c r="U523" s="1" t="str">
        <f>TEXT(tblTransactions[[#This Row],[Date]],"YYYY-MM")</f>
        <v>2026-02</v>
      </c>
      <c r="Z523" s="1"/>
    </row>
    <row r="524" spans="15:26" ht="15" customHeight="1" x14ac:dyDescent="0.3">
      <c r="O524" s="14" t="s">
        <v>1240</v>
      </c>
      <c r="P524" s="14" t="s">
        <v>538</v>
      </c>
      <c r="Q524" s="15">
        <v>45973</v>
      </c>
      <c r="R524" s="14" t="s">
        <v>110</v>
      </c>
      <c r="S524" s="14">
        <v>15865</v>
      </c>
      <c r="U524" s="1" t="str">
        <f>TEXT(tblTransactions[[#This Row],[Date]],"YYYY-MM")</f>
        <v>2025-11</v>
      </c>
      <c r="Z524" s="1"/>
    </row>
    <row r="525" spans="15:26" ht="15" customHeight="1" x14ac:dyDescent="0.3">
      <c r="O525" s="14" t="s">
        <v>1241</v>
      </c>
      <c r="P525" s="14" t="s">
        <v>538</v>
      </c>
      <c r="Q525" s="15">
        <v>45974</v>
      </c>
      <c r="R525" s="14" t="s">
        <v>117</v>
      </c>
      <c r="S525" s="14">
        <v>10422</v>
      </c>
      <c r="U525" s="1" t="str">
        <f>TEXT(tblTransactions[[#This Row],[Date]],"YYYY-MM")</f>
        <v>2025-11</v>
      </c>
      <c r="Z525" s="1"/>
    </row>
    <row r="526" spans="15:26" ht="15" customHeight="1" x14ac:dyDescent="0.3">
      <c r="O526" s="14" t="s">
        <v>1242</v>
      </c>
      <c r="P526" s="14" t="s">
        <v>538</v>
      </c>
      <c r="Q526" s="15">
        <v>45888</v>
      </c>
      <c r="R526" s="14" t="s">
        <v>135</v>
      </c>
      <c r="S526" s="14">
        <v>2340</v>
      </c>
      <c r="U526" s="1" t="str">
        <f>TEXT(tblTransactions[[#This Row],[Date]],"YYYY-MM")</f>
        <v>2025-08</v>
      </c>
      <c r="Z526" s="1"/>
    </row>
    <row r="527" spans="15:26" ht="15" customHeight="1" x14ac:dyDescent="0.3">
      <c r="O527" s="14" t="s">
        <v>1243</v>
      </c>
      <c r="P527" s="14" t="s">
        <v>538</v>
      </c>
      <c r="Q527" s="15">
        <v>45928</v>
      </c>
      <c r="R527" s="14" t="s">
        <v>135</v>
      </c>
      <c r="S527" s="14">
        <v>2931</v>
      </c>
      <c r="U527" s="1" t="str">
        <f>TEXT(tblTransactions[[#This Row],[Date]],"YYYY-MM")</f>
        <v>2025-09</v>
      </c>
      <c r="Z527" s="1"/>
    </row>
    <row r="528" spans="15:26" ht="15" customHeight="1" x14ac:dyDescent="0.3">
      <c r="O528" s="14" t="s">
        <v>1244</v>
      </c>
      <c r="P528" s="14" t="s">
        <v>538</v>
      </c>
      <c r="Q528" s="15">
        <v>45906</v>
      </c>
      <c r="R528" s="14" t="s">
        <v>81</v>
      </c>
      <c r="S528" s="14">
        <v>15308</v>
      </c>
      <c r="U528" s="1" t="str">
        <f>TEXT(tblTransactions[[#This Row],[Date]],"YYYY-MM")</f>
        <v>2025-09</v>
      </c>
      <c r="Z528" s="1"/>
    </row>
    <row r="529" spans="15:26" ht="15" customHeight="1" x14ac:dyDescent="0.3">
      <c r="O529" s="14" t="s">
        <v>1245</v>
      </c>
      <c r="P529" s="14" t="s">
        <v>542</v>
      </c>
      <c r="Q529" s="15">
        <v>45777</v>
      </c>
      <c r="R529" s="14" t="s">
        <v>1220</v>
      </c>
      <c r="S529" s="14">
        <v>9906</v>
      </c>
      <c r="U529" s="1" t="str">
        <f>TEXT(tblTransactions[[#This Row],[Date]],"YYYY-MM")</f>
        <v>2025-04</v>
      </c>
      <c r="Z529" s="1"/>
    </row>
    <row r="530" spans="15:26" ht="15" customHeight="1" x14ac:dyDescent="0.3">
      <c r="O530" s="14" t="s">
        <v>1246</v>
      </c>
      <c r="P530" s="14" t="s">
        <v>546</v>
      </c>
      <c r="Q530" s="15">
        <v>46078</v>
      </c>
      <c r="R530" s="14" t="s">
        <v>110</v>
      </c>
      <c r="S530" s="14">
        <v>20652</v>
      </c>
      <c r="U530" s="1" t="str">
        <f>TEXT(tblTransactions[[#This Row],[Date]],"YYYY-MM")</f>
        <v>2026-02</v>
      </c>
      <c r="Z530" s="1"/>
    </row>
    <row r="531" spans="15:26" ht="15" customHeight="1" x14ac:dyDescent="0.3">
      <c r="O531" s="14" t="s">
        <v>1247</v>
      </c>
      <c r="P531" s="14" t="s">
        <v>546</v>
      </c>
      <c r="Q531" s="15">
        <v>46052</v>
      </c>
      <c r="R531" s="14" t="s">
        <v>135</v>
      </c>
      <c r="S531" s="14">
        <v>13098</v>
      </c>
      <c r="U531" s="1" t="str">
        <f>TEXT(tblTransactions[[#This Row],[Date]],"YYYY-MM")</f>
        <v>2026-01</v>
      </c>
      <c r="Z531" s="1"/>
    </row>
    <row r="532" spans="15:26" ht="15" customHeight="1" x14ac:dyDescent="0.3">
      <c r="O532" s="14" t="s">
        <v>1248</v>
      </c>
      <c r="P532" s="14" t="s">
        <v>552</v>
      </c>
      <c r="Q532" s="15">
        <v>46045</v>
      </c>
      <c r="R532" s="14" t="s">
        <v>135</v>
      </c>
      <c r="S532" s="14">
        <v>24712</v>
      </c>
      <c r="U532" s="1" t="str">
        <f>TEXT(tblTransactions[[#This Row],[Date]],"YYYY-MM")</f>
        <v>2026-01</v>
      </c>
      <c r="Z532" s="1"/>
    </row>
    <row r="533" spans="15:26" ht="15" customHeight="1" x14ac:dyDescent="0.3">
      <c r="O533" s="14" t="s">
        <v>1249</v>
      </c>
      <c r="P533" s="14" t="s">
        <v>552</v>
      </c>
      <c r="Q533" s="15">
        <v>45769</v>
      </c>
      <c r="R533" s="14" t="s">
        <v>81</v>
      </c>
      <c r="S533" s="14">
        <v>19232</v>
      </c>
      <c r="U533" s="1" t="str">
        <f>TEXT(tblTransactions[[#This Row],[Date]],"YYYY-MM")</f>
        <v>2025-04</v>
      </c>
      <c r="Z533" s="1"/>
    </row>
    <row r="534" spans="15:26" ht="15" customHeight="1" x14ac:dyDescent="0.3">
      <c r="O534" s="14" t="s">
        <v>1250</v>
      </c>
      <c r="P534" s="14" t="s">
        <v>552</v>
      </c>
      <c r="Q534" s="15">
        <v>46081</v>
      </c>
      <c r="R534" s="14" t="s">
        <v>89</v>
      </c>
      <c r="S534" s="14">
        <v>11035</v>
      </c>
      <c r="U534" s="1" t="str">
        <f>TEXT(tblTransactions[[#This Row],[Date]],"YYYY-MM")</f>
        <v>2026-02</v>
      </c>
      <c r="Z534" s="1"/>
    </row>
    <row r="535" spans="15:26" ht="15" customHeight="1" x14ac:dyDescent="0.3">
      <c r="O535" s="14" t="s">
        <v>1251</v>
      </c>
      <c r="P535" s="14" t="s">
        <v>552</v>
      </c>
      <c r="Q535" s="15">
        <v>46057</v>
      </c>
      <c r="R535" s="14" t="s">
        <v>81</v>
      </c>
      <c r="S535" s="14">
        <v>16928</v>
      </c>
      <c r="U535" s="1" t="str">
        <f>TEXT(tblTransactions[[#This Row],[Date]],"YYYY-MM")</f>
        <v>2026-02</v>
      </c>
      <c r="Z535" s="1"/>
    </row>
    <row r="536" spans="15:26" ht="15" customHeight="1" x14ac:dyDescent="0.3">
      <c r="O536" s="14" t="s">
        <v>1252</v>
      </c>
      <c r="P536" s="14" t="s">
        <v>552</v>
      </c>
      <c r="Q536" s="15">
        <v>45825</v>
      </c>
      <c r="R536" s="14" t="s">
        <v>110</v>
      </c>
      <c r="S536" s="14">
        <v>15262</v>
      </c>
      <c r="U536" s="1" t="str">
        <f>TEXT(tblTransactions[[#This Row],[Date]],"YYYY-MM")</f>
        <v>2025-06</v>
      </c>
      <c r="Z536" s="1"/>
    </row>
    <row r="537" spans="15:26" ht="15" customHeight="1" x14ac:dyDescent="0.3">
      <c r="O537" s="14" t="s">
        <v>1253</v>
      </c>
      <c r="P537" s="14" t="s">
        <v>552</v>
      </c>
      <c r="Q537" s="15">
        <v>45800</v>
      </c>
      <c r="R537" s="14" t="s">
        <v>1220</v>
      </c>
      <c r="S537" s="14">
        <v>23906</v>
      </c>
      <c r="U537" s="1" t="str">
        <f>TEXT(tblTransactions[[#This Row],[Date]],"YYYY-MM")</f>
        <v>2025-05</v>
      </c>
      <c r="Z537" s="1"/>
    </row>
    <row r="538" spans="15:26" ht="15" customHeight="1" x14ac:dyDescent="0.3">
      <c r="O538" s="14" t="s">
        <v>1254</v>
      </c>
      <c r="P538" s="14" t="s">
        <v>552</v>
      </c>
      <c r="Q538" s="15">
        <v>45791</v>
      </c>
      <c r="R538" s="14" t="s">
        <v>135</v>
      </c>
      <c r="S538" s="14">
        <v>21672</v>
      </c>
      <c r="U538" s="1" t="str">
        <f>TEXT(tblTransactions[[#This Row],[Date]],"YYYY-MM")</f>
        <v>2025-05</v>
      </c>
      <c r="Z538" s="1"/>
    </row>
    <row r="539" spans="15:26" ht="15" customHeight="1" x14ac:dyDescent="0.3">
      <c r="O539" s="14" t="s">
        <v>1255</v>
      </c>
      <c r="P539" s="14" t="s">
        <v>552</v>
      </c>
      <c r="Q539" s="15">
        <v>45836</v>
      </c>
      <c r="R539" s="14" t="s">
        <v>110</v>
      </c>
      <c r="S539" s="14">
        <v>8618</v>
      </c>
      <c r="U539" s="1" t="str">
        <f>TEXT(tblTransactions[[#This Row],[Date]],"YYYY-MM")</f>
        <v>2025-06</v>
      </c>
      <c r="Z539" s="1"/>
    </row>
    <row r="540" spans="15:26" ht="15" customHeight="1" x14ac:dyDescent="0.3">
      <c r="O540" s="14" t="s">
        <v>1256</v>
      </c>
      <c r="P540" s="14" t="s">
        <v>556</v>
      </c>
      <c r="Q540" s="15">
        <v>45972</v>
      </c>
      <c r="R540" s="14" t="s">
        <v>135</v>
      </c>
      <c r="S540" s="14">
        <v>17629</v>
      </c>
      <c r="U540" s="1" t="str">
        <f>TEXT(tblTransactions[[#This Row],[Date]],"YYYY-MM")</f>
        <v>2025-11</v>
      </c>
      <c r="Z540" s="1"/>
    </row>
    <row r="541" spans="15:26" ht="15" customHeight="1" x14ac:dyDescent="0.3">
      <c r="O541" s="14" t="s">
        <v>1257</v>
      </c>
      <c r="P541" s="14" t="s">
        <v>556</v>
      </c>
      <c r="Q541" s="15">
        <v>46060</v>
      </c>
      <c r="R541" s="14" t="s">
        <v>89</v>
      </c>
      <c r="S541" s="14">
        <v>12424</v>
      </c>
      <c r="U541" s="1" t="str">
        <f>TEXT(tblTransactions[[#This Row],[Date]],"YYYY-MM")</f>
        <v>2026-02</v>
      </c>
      <c r="Z541" s="1"/>
    </row>
    <row r="542" spans="15:26" ht="15" customHeight="1" x14ac:dyDescent="0.3">
      <c r="O542" s="14" t="s">
        <v>1258</v>
      </c>
      <c r="P542" s="14" t="s">
        <v>556</v>
      </c>
      <c r="Q542" s="15">
        <v>45938</v>
      </c>
      <c r="R542" s="14" t="s">
        <v>1220</v>
      </c>
      <c r="S542" s="14">
        <v>13194</v>
      </c>
      <c r="U542" s="1" t="str">
        <f>TEXT(tblTransactions[[#This Row],[Date]],"YYYY-MM")</f>
        <v>2025-10</v>
      </c>
      <c r="Z542" s="1"/>
    </row>
    <row r="543" spans="15:26" ht="15" customHeight="1" x14ac:dyDescent="0.3">
      <c r="O543" s="14" t="s">
        <v>1259</v>
      </c>
      <c r="P543" s="14" t="s">
        <v>556</v>
      </c>
      <c r="Q543" s="15">
        <v>45957</v>
      </c>
      <c r="R543" s="14" t="s">
        <v>1220</v>
      </c>
      <c r="S543" s="14">
        <v>22746</v>
      </c>
      <c r="U543" s="1" t="str">
        <f>TEXT(tblTransactions[[#This Row],[Date]],"YYYY-MM")</f>
        <v>2025-10</v>
      </c>
      <c r="Z543" s="1"/>
    </row>
    <row r="544" spans="15:26" ht="15" customHeight="1" x14ac:dyDescent="0.3">
      <c r="O544" s="14" t="s">
        <v>1260</v>
      </c>
      <c r="P544" s="14" t="s">
        <v>556</v>
      </c>
      <c r="Q544" s="15">
        <v>46054</v>
      </c>
      <c r="R544" s="14" t="s">
        <v>110</v>
      </c>
      <c r="S544" s="14">
        <v>21172</v>
      </c>
      <c r="U544" s="1" t="str">
        <f>TEXT(tblTransactions[[#This Row],[Date]],"YYYY-MM")</f>
        <v>2026-02</v>
      </c>
      <c r="Z544" s="1"/>
    </row>
    <row r="545" spans="15:26" ht="15" customHeight="1" x14ac:dyDescent="0.3">
      <c r="O545" s="14" t="s">
        <v>1261</v>
      </c>
      <c r="P545" s="14" t="s">
        <v>556</v>
      </c>
      <c r="Q545" s="15">
        <v>46079</v>
      </c>
      <c r="R545" s="14" t="s">
        <v>1220</v>
      </c>
      <c r="S545" s="14">
        <v>2659</v>
      </c>
      <c r="U545" s="1" t="str">
        <f>TEXT(tblTransactions[[#This Row],[Date]],"YYYY-MM")</f>
        <v>2026-02</v>
      </c>
      <c r="Z545" s="1"/>
    </row>
    <row r="546" spans="15:26" ht="15" customHeight="1" x14ac:dyDescent="0.3">
      <c r="O546" s="14" t="s">
        <v>1262</v>
      </c>
      <c r="P546" s="14" t="s">
        <v>556</v>
      </c>
      <c r="Q546" s="15">
        <v>45916</v>
      </c>
      <c r="R546" s="14" t="s">
        <v>110</v>
      </c>
      <c r="S546" s="14">
        <v>18783</v>
      </c>
      <c r="U546" s="1" t="str">
        <f>TEXT(tblTransactions[[#This Row],[Date]],"YYYY-MM")</f>
        <v>2025-09</v>
      </c>
      <c r="Z546" s="1"/>
    </row>
    <row r="547" spans="15:26" ht="15" customHeight="1" x14ac:dyDescent="0.3">
      <c r="O547" s="14" t="s">
        <v>1263</v>
      </c>
      <c r="P547" s="14" t="s">
        <v>556</v>
      </c>
      <c r="Q547" s="15">
        <v>46095</v>
      </c>
      <c r="R547" s="14" t="s">
        <v>81</v>
      </c>
      <c r="S547" s="14">
        <v>9810</v>
      </c>
      <c r="U547" s="1" t="str">
        <f>TEXT(tblTransactions[[#This Row],[Date]],"YYYY-MM")</f>
        <v>2026-03</v>
      </c>
      <c r="Z547" s="1"/>
    </row>
    <row r="548" spans="15:26" ht="15" customHeight="1" x14ac:dyDescent="0.3">
      <c r="O548" s="14" t="s">
        <v>1264</v>
      </c>
      <c r="P548" s="14" t="s">
        <v>561</v>
      </c>
      <c r="Q548" s="15">
        <v>46084</v>
      </c>
      <c r="R548" s="14" t="s">
        <v>135</v>
      </c>
      <c r="S548" s="14">
        <v>5427</v>
      </c>
      <c r="U548" s="1" t="str">
        <f>TEXT(tblTransactions[[#This Row],[Date]],"YYYY-MM")</f>
        <v>2026-03</v>
      </c>
      <c r="Z548" s="1"/>
    </row>
    <row r="549" spans="15:26" ht="15" customHeight="1" x14ac:dyDescent="0.3">
      <c r="O549" s="14" t="s">
        <v>1265</v>
      </c>
      <c r="P549" s="14" t="s">
        <v>561</v>
      </c>
      <c r="Q549" s="15">
        <v>45918</v>
      </c>
      <c r="R549" s="14" t="s">
        <v>110</v>
      </c>
      <c r="S549" s="14">
        <v>19595</v>
      </c>
      <c r="U549" s="1" t="str">
        <f>TEXT(tblTransactions[[#This Row],[Date]],"YYYY-MM")</f>
        <v>2025-09</v>
      </c>
      <c r="Z549" s="1"/>
    </row>
    <row r="550" spans="15:26" ht="15" customHeight="1" x14ac:dyDescent="0.3">
      <c r="O550" s="14" t="s">
        <v>1266</v>
      </c>
      <c r="P550" s="14" t="s">
        <v>561</v>
      </c>
      <c r="Q550" s="15">
        <v>46087</v>
      </c>
      <c r="R550" s="14" t="s">
        <v>89</v>
      </c>
      <c r="S550" s="14">
        <v>11962</v>
      </c>
      <c r="U550" s="1" t="str">
        <f>TEXT(tblTransactions[[#This Row],[Date]],"YYYY-MM")</f>
        <v>2026-03</v>
      </c>
      <c r="Z550" s="1"/>
    </row>
    <row r="551" spans="15:26" ht="15" customHeight="1" x14ac:dyDescent="0.3">
      <c r="O551" s="14" t="s">
        <v>1267</v>
      </c>
      <c r="P551" s="14" t="s">
        <v>561</v>
      </c>
      <c r="Q551" s="15">
        <v>45906</v>
      </c>
      <c r="R551" s="14" t="s">
        <v>117</v>
      </c>
      <c r="S551" s="14">
        <v>23387</v>
      </c>
      <c r="U551" s="1" t="str">
        <f>TEXT(tblTransactions[[#This Row],[Date]],"YYYY-MM")</f>
        <v>2025-09</v>
      </c>
      <c r="Z551" s="1"/>
    </row>
    <row r="552" spans="15:26" ht="15" customHeight="1" x14ac:dyDescent="0.3">
      <c r="O552" s="14" t="s">
        <v>1268</v>
      </c>
      <c r="P552" s="14" t="s">
        <v>561</v>
      </c>
      <c r="Q552" s="15">
        <v>46087</v>
      </c>
      <c r="R552" s="14" t="s">
        <v>81</v>
      </c>
      <c r="S552" s="14">
        <v>4725</v>
      </c>
      <c r="U552" s="1" t="str">
        <f>TEXT(tblTransactions[[#This Row],[Date]],"YYYY-MM")</f>
        <v>2026-03</v>
      </c>
      <c r="Z552" s="1"/>
    </row>
    <row r="553" spans="15:26" ht="15" customHeight="1" x14ac:dyDescent="0.3">
      <c r="O553" s="14" t="s">
        <v>1269</v>
      </c>
      <c r="P553" s="14" t="s">
        <v>565</v>
      </c>
      <c r="Q553" s="15">
        <v>46110</v>
      </c>
      <c r="R553" s="14" t="s">
        <v>110</v>
      </c>
      <c r="S553" s="14">
        <v>10644</v>
      </c>
      <c r="U553" s="1" t="str">
        <f>TEXT(tblTransactions[[#This Row],[Date]],"YYYY-MM")</f>
        <v>2026-03</v>
      </c>
      <c r="Z553" s="1"/>
    </row>
    <row r="554" spans="15:26" ht="15" customHeight="1" x14ac:dyDescent="0.3">
      <c r="O554" s="14" t="s">
        <v>1270</v>
      </c>
      <c r="P554" s="14" t="s">
        <v>565</v>
      </c>
      <c r="Q554" s="15">
        <v>46034</v>
      </c>
      <c r="R554" s="14" t="s">
        <v>81</v>
      </c>
      <c r="S554" s="14">
        <v>21585</v>
      </c>
      <c r="U554" s="1" t="str">
        <f>TEXT(tblTransactions[[#This Row],[Date]],"YYYY-MM")</f>
        <v>2026-01</v>
      </c>
      <c r="Z554" s="1"/>
    </row>
    <row r="555" spans="15:26" ht="15" customHeight="1" x14ac:dyDescent="0.3">
      <c r="O555" s="14" t="s">
        <v>1271</v>
      </c>
      <c r="P555" s="14" t="s">
        <v>565</v>
      </c>
      <c r="Q555" s="15">
        <v>45916</v>
      </c>
      <c r="R555" s="14" t="s">
        <v>89</v>
      </c>
      <c r="S555" s="14">
        <v>22458</v>
      </c>
      <c r="U555" s="1" t="str">
        <f>TEXT(tblTransactions[[#This Row],[Date]],"YYYY-MM")</f>
        <v>2025-09</v>
      </c>
      <c r="Z555" s="1"/>
    </row>
    <row r="556" spans="15:26" ht="15" customHeight="1" x14ac:dyDescent="0.3">
      <c r="O556" s="14" t="s">
        <v>1272</v>
      </c>
      <c r="P556" s="14" t="s">
        <v>565</v>
      </c>
      <c r="Q556" s="15">
        <v>46107</v>
      </c>
      <c r="R556" s="14" t="s">
        <v>117</v>
      </c>
      <c r="S556" s="14">
        <v>22959</v>
      </c>
      <c r="U556" s="1" t="str">
        <f>TEXT(tblTransactions[[#This Row],[Date]],"YYYY-MM")</f>
        <v>2026-03</v>
      </c>
      <c r="Z556" s="1"/>
    </row>
    <row r="557" spans="15:26" ht="15" customHeight="1" x14ac:dyDescent="0.3">
      <c r="O557" s="14" t="s">
        <v>1273</v>
      </c>
      <c r="P557" s="14" t="s">
        <v>565</v>
      </c>
      <c r="Q557" s="15">
        <v>46017</v>
      </c>
      <c r="R557" s="14" t="s">
        <v>110</v>
      </c>
      <c r="S557" s="14">
        <v>21668</v>
      </c>
      <c r="U557" s="1" t="str">
        <f>TEXT(tblTransactions[[#This Row],[Date]],"YYYY-MM")</f>
        <v>2025-12</v>
      </c>
      <c r="Z557" s="1"/>
    </row>
    <row r="558" spans="15:26" ht="15" customHeight="1" x14ac:dyDescent="0.3">
      <c r="O558" s="14" t="s">
        <v>1274</v>
      </c>
      <c r="P558" s="14" t="s">
        <v>565</v>
      </c>
      <c r="Q558" s="15">
        <v>46091</v>
      </c>
      <c r="R558" s="14" t="s">
        <v>81</v>
      </c>
      <c r="S558" s="14">
        <v>17162</v>
      </c>
      <c r="U558" s="1" t="str">
        <f>TEXT(tblTransactions[[#This Row],[Date]],"YYYY-MM")</f>
        <v>2026-03</v>
      </c>
      <c r="Z558" s="1"/>
    </row>
    <row r="559" spans="15:26" ht="15" customHeight="1" x14ac:dyDescent="0.3">
      <c r="O559" s="14" t="s">
        <v>1275</v>
      </c>
      <c r="P559" s="14" t="s">
        <v>565</v>
      </c>
      <c r="Q559" s="15">
        <v>45933</v>
      </c>
      <c r="R559" s="14" t="s">
        <v>110</v>
      </c>
      <c r="S559" s="14">
        <v>12381</v>
      </c>
      <c r="U559" s="1" t="str">
        <f>TEXT(tblTransactions[[#This Row],[Date]],"YYYY-MM")</f>
        <v>2025-10</v>
      </c>
      <c r="Z559" s="1"/>
    </row>
    <row r="560" spans="15:26" ht="15" customHeight="1" x14ac:dyDescent="0.3">
      <c r="O560" s="14" t="s">
        <v>1276</v>
      </c>
      <c r="P560" s="14" t="s">
        <v>565</v>
      </c>
      <c r="Q560" s="15">
        <v>45906</v>
      </c>
      <c r="R560" s="14" t="s">
        <v>89</v>
      </c>
      <c r="S560" s="14">
        <v>7518</v>
      </c>
      <c r="U560" s="1" t="str">
        <f>TEXT(tblTransactions[[#This Row],[Date]],"YYYY-MM")</f>
        <v>2025-09</v>
      </c>
      <c r="Z560" s="1"/>
    </row>
    <row r="561" spans="15:26" ht="15" customHeight="1" x14ac:dyDescent="0.3">
      <c r="O561" s="14" t="s">
        <v>1277</v>
      </c>
      <c r="P561" s="14" t="s">
        <v>565</v>
      </c>
      <c r="Q561" s="15">
        <v>45922</v>
      </c>
      <c r="R561" s="14" t="s">
        <v>81</v>
      </c>
      <c r="S561" s="14">
        <v>6791</v>
      </c>
      <c r="U561" s="1" t="str">
        <f>TEXT(tblTransactions[[#This Row],[Date]],"YYYY-MM")</f>
        <v>2025-09</v>
      </c>
      <c r="Z561" s="1"/>
    </row>
    <row r="562" spans="15:26" ht="15" customHeight="1" x14ac:dyDescent="0.3">
      <c r="O562" s="14" t="s">
        <v>1278</v>
      </c>
      <c r="P562" s="14" t="s">
        <v>565</v>
      </c>
      <c r="Q562" s="15">
        <v>45863</v>
      </c>
      <c r="R562" s="14" t="s">
        <v>89</v>
      </c>
      <c r="S562" s="14">
        <v>5577</v>
      </c>
      <c r="U562" s="1" t="str">
        <f>TEXT(tblTransactions[[#This Row],[Date]],"YYYY-MM")</f>
        <v>2025-07</v>
      </c>
      <c r="Z562" s="1"/>
    </row>
    <row r="563" spans="15:26" ht="15" customHeight="1" x14ac:dyDescent="0.3">
      <c r="O563" s="14" t="s">
        <v>1279</v>
      </c>
      <c r="P563" s="14" t="s">
        <v>569</v>
      </c>
      <c r="Q563" s="15">
        <v>45899</v>
      </c>
      <c r="R563" s="14" t="s">
        <v>110</v>
      </c>
      <c r="S563" s="14">
        <v>17135</v>
      </c>
      <c r="U563" s="1" t="str">
        <f>TEXT(tblTransactions[[#This Row],[Date]],"YYYY-MM")</f>
        <v>2025-08</v>
      </c>
      <c r="Z563" s="1"/>
    </row>
    <row r="564" spans="15:26" ht="15" customHeight="1" x14ac:dyDescent="0.3">
      <c r="O564" s="14" t="s">
        <v>1280</v>
      </c>
      <c r="P564" s="14" t="s">
        <v>569</v>
      </c>
      <c r="Q564" s="15">
        <v>46024</v>
      </c>
      <c r="R564" s="14" t="s">
        <v>117</v>
      </c>
      <c r="S564" s="14">
        <v>17753</v>
      </c>
      <c r="U564" s="1" t="str">
        <f>TEXT(tblTransactions[[#This Row],[Date]],"YYYY-MM")</f>
        <v>2026-01</v>
      </c>
      <c r="Z564" s="1"/>
    </row>
    <row r="565" spans="15:26" ht="15" customHeight="1" x14ac:dyDescent="0.3">
      <c r="O565" s="14" t="s">
        <v>1281</v>
      </c>
      <c r="P565" s="14" t="s">
        <v>572</v>
      </c>
      <c r="Q565" s="15">
        <v>46086</v>
      </c>
      <c r="R565" s="14" t="s">
        <v>1220</v>
      </c>
      <c r="S565" s="14">
        <v>20751</v>
      </c>
      <c r="U565" s="1" t="str">
        <f>TEXT(tblTransactions[[#This Row],[Date]],"YYYY-MM")</f>
        <v>2026-03</v>
      </c>
      <c r="Z565" s="1"/>
    </row>
    <row r="566" spans="15:26" ht="15" customHeight="1" x14ac:dyDescent="0.3">
      <c r="O566" s="14" t="s">
        <v>1282</v>
      </c>
      <c r="P566" s="14" t="s">
        <v>577</v>
      </c>
      <c r="Q566" s="15">
        <v>46053</v>
      </c>
      <c r="R566" s="14" t="s">
        <v>81</v>
      </c>
      <c r="S566" s="14">
        <v>5554</v>
      </c>
      <c r="U566" s="1" t="str">
        <f>TEXT(tblTransactions[[#This Row],[Date]],"YYYY-MM")</f>
        <v>2026-01</v>
      </c>
      <c r="Z566" s="1"/>
    </row>
    <row r="567" spans="15:26" ht="15" customHeight="1" x14ac:dyDescent="0.3">
      <c r="O567" s="14" t="s">
        <v>1283</v>
      </c>
      <c r="P567" s="14" t="s">
        <v>577</v>
      </c>
      <c r="Q567" s="15">
        <v>45831</v>
      </c>
      <c r="R567" s="14" t="s">
        <v>89</v>
      </c>
      <c r="S567" s="14">
        <v>23203</v>
      </c>
      <c r="U567" s="1" t="str">
        <f>TEXT(tblTransactions[[#This Row],[Date]],"YYYY-MM")</f>
        <v>2025-06</v>
      </c>
      <c r="Z567" s="1"/>
    </row>
    <row r="568" spans="15:26" ht="15" customHeight="1" x14ac:dyDescent="0.3">
      <c r="O568" s="14" t="s">
        <v>1284</v>
      </c>
      <c r="P568" s="14" t="s">
        <v>577</v>
      </c>
      <c r="Q568" s="15">
        <v>46067</v>
      </c>
      <c r="R568" s="14" t="s">
        <v>89</v>
      </c>
      <c r="S568" s="14">
        <v>24131</v>
      </c>
      <c r="U568" s="1" t="str">
        <f>TEXT(tblTransactions[[#This Row],[Date]],"YYYY-MM")</f>
        <v>2026-02</v>
      </c>
      <c r="Z568" s="1"/>
    </row>
    <row r="569" spans="15:26" ht="15" customHeight="1" x14ac:dyDescent="0.3">
      <c r="O569" s="14" t="s">
        <v>1285</v>
      </c>
      <c r="P569" s="14" t="s">
        <v>581</v>
      </c>
      <c r="Q569" s="15">
        <v>45770</v>
      </c>
      <c r="R569" s="14" t="s">
        <v>81</v>
      </c>
      <c r="S569" s="14">
        <v>12437</v>
      </c>
      <c r="U569" s="1" t="str">
        <f>TEXT(tblTransactions[[#This Row],[Date]],"YYYY-MM")</f>
        <v>2025-04</v>
      </c>
      <c r="Z569" s="1"/>
    </row>
    <row r="570" spans="15:26" ht="15" customHeight="1" x14ac:dyDescent="0.3">
      <c r="O570" s="14" t="s">
        <v>1286</v>
      </c>
      <c r="P570" s="14" t="s">
        <v>581</v>
      </c>
      <c r="Q570" s="15">
        <v>46094</v>
      </c>
      <c r="R570" s="14" t="s">
        <v>117</v>
      </c>
      <c r="S570" s="14">
        <v>8283</v>
      </c>
      <c r="U570" s="1" t="str">
        <f>TEXT(tblTransactions[[#This Row],[Date]],"YYYY-MM")</f>
        <v>2026-03</v>
      </c>
      <c r="Z570" s="1"/>
    </row>
    <row r="571" spans="15:26" ht="15" customHeight="1" x14ac:dyDescent="0.3">
      <c r="O571" s="14" t="s">
        <v>1287</v>
      </c>
      <c r="P571" s="14" t="s">
        <v>581</v>
      </c>
      <c r="Q571" s="15">
        <v>45975</v>
      </c>
      <c r="R571" s="14" t="s">
        <v>135</v>
      </c>
      <c r="S571" s="14">
        <v>9836</v>
      </c>
      <c r="U571" s="1" t="str">
        <f>TEXT(tblTransactions[[#This Row],[Date]],"YYYY-MM")</f>
        <v>2025-11</v>
      </c>
      <c r="Z571" s="1"/>
    </row>
    <row r="572" spans="15:26" ht="15" customHeight="1" x14ac:dyDescent="0.3">
      <c r="O572" s="14" t="s">
        <v>1288</v>
      </c>
      <c r="P572" s="14" t="s">
        <v>581</v>
      </c>
      <c r="Q572" s="15">
        <v>45977</v>
      </c>
      <c r="R572" s="14" t="s">
        <v>89</v>
      </c>
      <c r="S572" s="14">
        <v>17998</v>
      </c>
      <c r="U572" s="1" t="str">
        <f>TEXT(tblTransactions[[#This Row],[Date]],"YYYY-MM")</f>
        <v>2025-11</v>
      </c>
      <c r="Z572" s="1"/>
    </row>
    <row r="573" spans="15:26" ht="15" customHeight="1" x14ac:dyDescent="0.3">
      <c r="O573" s="14" t="s">
        <v>1289</v>
      </c>
      <c r="P573" s="14" t="s">
        <v>581</v>
      </c>
      <c r="Q573" s="15">
        <v>45870</v>
      </c>
      <c r="R573" s="14" t="s">
        <v>1220</v>
      </c>
      <c r="S573" s="14">
        <v>15868</v>
      </c>
      <c r="U573" s="1" t="str">
        <f>TEXT(tblTransactions[[#This Row],[Date]],"YYYY-MM")</f>
        <v>2025-08</v>
      </c>
      <c r="Z573" s="1"/>
    </row>
    <row r="574" spans="15:26" ht="15" customHeight="1" x14ac:dyDescent="0.3">
      <c r="O574" s="14" t="s">
        <v>1290</v>
      </c>
      <c r="P574" s="14" t="s">
        <v>581</v>
      </c>
      <c r="Q574" s="15">
        <v>45847</v>
      </c>
      <c r="R574" s="14" t="s">
        <v>1220</v>
      </c>
      <c r="S574" s="14">
        <v>22726</v>
      </c>
      <c r="U574" s="1" t="str">
        <f>TEXT(tblTransactions[[#This Row],[Date]],"YYYY-MM")</f>
        <v>2025-07</v>
      </c>
      <c r="Z574" s="1"/>
    </row>
    <row r="575" spans="15:26" ht="15" customHeight="1" x14ac:dyDescent="0.3">
      <c r="O575" s="14" t="s">
        <v>1291</v>
      </c>
      <c r="P575" s="14" t="s">
        <v>581</v>
      </c>
      <c r="Q575" s="15">
        <v>46040</v>
      </c>
      <c r="R575" s="14" t="s">
        <v>81</v>
      </c>
      <c r="S575" s="14">
        <v>15628</v>
      </c>
      <c r="U575" s="1" t="str">
        <f>TEXT(tblTransactions[[#This Row],[Date]],"YYYY-MM")</f>
        <v>2026-01</v>
      </c>
      <c r="Z575" s="1"/>
    </row>
    <row r="576" spans="15:26" ht="15" customHeight="1" x14ac:dyDescent="0.3">
      <c r="O576" s="14" t="s">
        <v>1292</v>
      </c>
      <c r="P576" s="14" t="s">
        <v>581</v>
      </c>
      <c r="Q576" s="15">
        <v>45892</v>
      </c>
      <c r="R576" s="14" t="s">
        <v>81</v>
      </c>
      <c r="S576" s="14">
        <v>16979</v>
      </c>
      <c r="U576" s="1" t="str">
        <f>TEXT(tblTransactions[[#This Row],[Date]],"YYYY-MM")</f>
        <v>2025-08</v>
      </c>
      <c r="Z576" s="1"/>
    </row>
    <row r="577" spans="15:26" ht="15" customHeight="1" x14ac:dyDescent="0.3">
      <c r="O577" s="14" t="s">
        <v>1293</v>
      </c>
      <c r="P577" s="14" t="s">
        <v>585</v>
      </c>
      <c r="Q577" s="15">
        <v>45962</v>
      </c>
      <c r="R577" s="14" t="s">
        <v>89</v>
      </c>
      <c r="S577" s="14">
        <v>7043</v>
      </c>
      <c r="U577" s="1" t="str">
        <f>TEXT(tblTransactions[[#This Row],[Date]],"YYYY-MM")</f>
        <v>2025-11</v>
      </c>
      <c r="Z577" s="1"/>
    </row>
    <row r="578" spans="15:26" ht="15" customHeight="1" x14ac:dyDescent="0.3">
      <c r="O578" s="14" t="s">
        <v>1294</v>
      </c>
      <c r="P578" s="14" t="s">
        <v>585</v>
      </c>
      <c r="Q578" s="15">
        <v>46057</v>
      </c>
      <c r="R578" s="14" t="s">
        <v>89</v>
      </c>
      <c r="S578" s="14">
        <v>8692</v>
      </c>
      <c r="U578" s="1" t="str">
        <f>TEXT(tblTransactions[[#This Row],[Date]],"YYYY-MM")</f>
        <v>2026-02</v>
      </c>
      <c r="Z578" s="1"/>
    </row>
    <row r="579" spans="15:26" ht="15" customHeight="1" x14ac:dyDescent="0.3">
      <c r="O579" s="14" t="s">
        <v>1295</v>
      </c>
      <c r="P579" s="14" t="s">
        <v>585</v>
      </c>
      <c r="Q579" s="15">
        <v>45774</v>
      </c>
      <c r="R579" s="14" t="s">
        <v>117</v>
      </c>
      <c r="S579" s="14">
        <v>16247</v>
      </c>
      <c r="U579" s="1" t="str">
        <f>TEXT(tblTransactions[[#This Row],[Date]],"YYYY-MM")</f>
        <v>2025-04</v>
      </c>
      <c r="Z579" s="1"/>
    </row>
    <row r="580" spans="15:26" ht="15" customHeight="1" x14ac:dyDescent="0.3">
      <c r="O580" s="14" t="s">
        <v>1296</v>
      </c>
      <c r="P580" s="14" t="s">
        <v>585</v>
      </c>
      <c r="Q580" s="15">
        <v>45938</v>
      </c>
      <c r="R580" s="14" t="s">
        <v>135</v>
      </c>
      <c r="S580" s="14">
        <v>3861</v>
      </c>
      <c r="U580" s="1" t="str">
        <f>TEXT(tblTransactions[[#This Row],[Date]],"YYYY-MM")</f>
        <v>2025-10</v>
      </c>
      <c r="Z580" s="1"/>
    </row>
    <row r="581" spans="15:26" ht="15" customHeight="1" x14ac:dyDescent="0.3">
      <c r="O581" s="14" t="s">
        <v>1297</v>
      </c>
      <c r="P581" s="14" t="s">
        <v>585</v>
      </c>
      <c r="Q581" s="15">
        <v>46112</v>
      </c>
      <c r="R581" s="14" t="s">
        <v>135</v>
      </c>
      <c r="S581" s="14">
        <v>4585</v>
      </c>
      <c r="U581" s="1" t="str">
        <f>TEXT(tblTransactions[[#This Row],[Date]],"YYYY-MM")</f>
        <v>2026-03</v>
      </c>
      <c r="Z581" s="1"/>
    </row>
    <row r="582" spans="15:26" ht="15" customHeight="1" x14ac:dyDescent="0.3">
      <c r="O582" s="14" t="s">
        <v>1298</v>
      </c>
      <c r="P582" s="14" t="s">
        <v>585</v>
      </c>
      <c r="Q582" s="15">
        <v>45893</v>
      </c>
      <c r="R582" s="14" t="s">
        <v>110</v>
      </c>
      <c r="S582" s="14">
        <v>5753</v>
      </c>
      <c r="U582" s="1" t="str">
        <f>TEXT(tblTransactions[[#This Row],[Date]],"YYYY-MM")</f>
        <v>2025-08</v>
      </c>
      <c r="Z582" s="1"/>
    </row>
    <row r="583" spans="15:26" ht="15" customHeight="1" x14ac:dyDescent="0.3">
      <c r="O583" s="14" t="s">
        <v>1299</v>
      </c>
      <c r="P583" s="14" t="s">
        <v>585</v>
      </c>
      <c r="Q583" s="15">
        <v>45887</v>
      </c>
      <c r="R583" s="14" t="s">
        <v>81</v>
      </c>
      <c r="S583" s="14">
        <v>17321</v>
      </c>
      <c r="U583" s="1" t="str">
        <f>TEXT(tblTransactions[[#This Row],[Date]],"YYYY-MM")</f>
        <v>2025-08</v>
      </c>
      <c r="Z583" s="1"/>
    </row>
    <row r="584" spans="15:26" ht="15" customHeight="1" x14ac:dyDescent="0.3">
      <c r="O584" s="14" t="s">
        <v>1300</v>
      </c>
      <c r="P584" s="14" t="s">
        <v>585</v>
      </c>
      <c r="Q584" s="15">
        <v>45823</v>
      </c>
      <c r="R584" s="14" t="s">
        <v>81</v>
      </c>
      <c r="S584" s="14">
        <v>3505</v>
      </c>
      <c r="U584" s="1" t="str">
        <f>TEXT(tblTransactions[[#This Row],[Date]],"YYYY-MM")</f>
        <v>2025-06</v>
      </c>
      <c r="Z584" s="1"/>
    </row>
    <row r="585" spans="15:26" ht="15" customHeight="1" x14ac:dyDescent="0.3">
      <c r="O585" s="14" t="s">
        <v>1301</v>
      </c>
      <c r="P585" s="14" t="s">
        <v>585</v>
      </c>
      <c r="Q585" s="15">
        <v>45861</v>
      </c>
      <c r="R585" s="14" t="s">
        <v>81</v>
      </c>
      <c r="S585" s="14">
        <v>11955</v>
      </c>
      <c r="U585" s="1" t="str">
        <f>TEXT(tblTransactions[[#This Row],[Date]],"YYYY-MM")</f>
        <v>2025-07</v>
      </c>
      <c r="Z585" s="1"/>
    </row>
    <row r="586" spans="15:26" ht="15" customHeight="1" x14ac:dyDescent="0.3">
      <c r="O586" s="14" t="s">
        <v>1302</v>
      </c>
      <c r="P586" s="14" t="s">
        <v>589</v>
      </c>
      <c r="Q586" s="15">
        <v>45960</v>
      </c>
      <c r="R586" s="14" t="s">
        <v>110</v>
      </c>
      <c r="S586" s="14">
        <v>13491</v>
      </c>
      <c r="U586" s="1" t="str">
        <f>TEXT(tblTransactions[[#This Row],[Date]],"YYYY-MM")</f>
        <v>2025-10</v>
      </c>
      <c r="Z586" s="1"/>
    </row>
    <row r="587" spans="15:26" ht="15" customHeight="1" x14ac:dyDescent="0.3">
      <c r="O587" s="14" t="s">
        <v>1303</v>
      </c>
      <c r="P587" s="14" t="s">
        <v>592</v>
      </c>
      <c r="Q587" s="15">
        <v>45939</v>
      </c>
      <c r="R587" s="14" t="s">
        <v>89</v>
      </c>
      <c r="S587" s="14">
        <v>13153</v>
      </c>
      <c r="U587" s="1" t="str">
        <f>TEXT(tblTransactions[[#This Row],[Date]],"YYYY-MM")</f>
        <v>2025-10</v>
      </c>
      <c r="Z587" s="1"/>
    </row>
    <row r="588" spans="15:26" ht="15" customHeight="1" x14ac:dyDescent="0.3">
      <c r="O588" s="14" t="s">
        <v>1304</v>
      </c>
      <c r="P588" s="14" t="s">
        <v>592</v>
      </c>
      <c r="Q588" s="15">
        <v>45789</v>
      </c>
      <c r="R588" s="14" t="s">
        <v>1220</v>
      </c>
      <c r="S588" s="14">
        <v>7857</v>
      </c>
      <c r="U588" s="1" t="str">
        <f>TEXT(tblTransactions[[#This Row],[Date]],"YYYY-MM")</f>
        <v>2025-05</v>
      </c>
      <c r="Z588" s="1"/>
    </row>
    <row r="589" spans="15:26" ht="15" customHeight="1" x14ac:dyDescent="0.3">
      <c r="O589" s="14" t="s">
        <v>1305</v>
      </c>
      <c r="P589" s="14" t="s">
        <v>592</v>
      </c>
      <c r="Q589" s="15">
        <v>45762</v>
      </c>
      <c r="R589" s="14" t="s">
        <v>1220</v>
      </c>
      <c r="S589" s="14">
        <v>3746</v>
      </c>
      <c r="U589" s="1" t="str">
        <f>TEXT(tblTransactions[[#This Row],[Date]],"YYYY-MM")</f>
        <v>2025-04</v>
      </c>
      <c r="Z589" s="1"/>
    </row>
    <row r="590" spans="15:26" ht="15" customHeight="1" x14ac:dyDescent="0.3">
      <c r="O590" s="14" t="s">
        <v>1306</v>
      </c>
      <c r="P590" s="14" t="s">
        <v>592</v>
      </c>
      <c r="Q590" s="15">
        <v>46080</v>
      </c>
      <c r="R590" s="14" t="s">
        <v>1220</v>
      </c>
      <c r="S590" s="14">
        <v>5285</v>
      </c>
      <c r="U590" s="1" t="str">
        <f>TEXT(tblTransactions[[#This Row],[Date]],"YYYY-MM")</f>
        <v>2026-02</v>
      </c>
      <c r="Z590" s="1"/>
    </row>
    <row r="591" spans="15:26" ht="15" customHeight="1" x14ac:dyDescent="0.3">
      <c r="O591" s="14" t="s">
        <v>1307</v>
      </c>
      <c r="P591" s="14" t="s">
        <v>592</v>
      </c>
      <c r="Q591" s="15">
        <v>45818</v>
      </c>
      <c r="R591" s="14" t="s">
        <v>110</v>
      </c>
      <c r="S591" s="14">
        <v>9900</v>
      </c>
      <c r="U591" s="1" t="str">
        <f>TEXT(tblTransactions[[#This Row],[Date]],"YYYY-MM")</f>
        <v>2025-06</v>
      </c>
      <c r="Z591" s="1"/>
    </row>
    <row r="592" spans="15:26" ht="15" customHeight="1" x14ac:dyDescent="0.3">
      <c r="O592" s="14" t="s">
        <v>1308</v>
      </c>
      <c r="P592" s="14" t="s">
        <v>592</v>
      </c>
      <c r="Q592" s="15">
        <v>45989</v>
      </c>
      <c r="R592" s="14" t="s">
        <v>117</v>
      </c>
      <c r="S592" s="14">
        <v>5047</v>
      </c>
      <c r="U592" s="1" t="str">
        <f>TEXT(tblTransactions[[#This Row],[Date]],"YYYY-MM")</f>
        <v>2025-11</v>
      </c>
      <c r="Z592" s="1"/>
    </row>
    <row r="593" spans="15:26" ht="15" customHeight="1" x14ac:dyDescent="0.3">
      <c r="O593" s="14" t="s">
        <v>1309</v>
      </c>
      <c r="P593" s="14" t="s">
        <v>592</v>
      </c>
      <c r="Q593" s="15">
        <v>46109</v>
      </c>
      <c r="R593" s="14" t="s">
        <v>81</v>
      </c>
      <c r="S593" s="14">
        <v>15199</v>
      </c>
      <c r="U593" s="1" t="str">
        <f>TEXT(tblTransactions[[#This Row],[Date]],"YYYY-MM")</f>
        <v>2026-03</v>
      </c>
      <c r="Z593" s="1"/>
    </row>
    <row r="594" spans="15:26" ht="15" customHeight="1" x14ac:dyDescent="0.3">
      <c r="O594" s="14" t="s">
        <v>1310</v>
      </c>
      <c r="P594" s="14" t="s">
        <v>592</v>
      </c>
      <c r="Q594" s="15">
        <v>46063</v>
      </c>
      <c r="R594" s="14" t="s">
        <v>110</v>
      </c>
      <c r="S594" s="14">
        <v>3096</v>
      </c>
      <c r="U594" s="1" t="str">
        <f>TEXT(tblTransactions[[#This Row],[Date]],"YYYY-MM")</f>
        <v>2026-02</v>
      </c>
      <c r="Z594" s="1"/>
    </row>
    <row r="595" spans="15:26" ht="15" customHeight="1" x14ac:dyDescent="0.3">
      <c r="O595" s="14" t="s">
        <v>1311</v>
      </c>
      <c r="P595" s="14" t="s">
        <v>592</v>
      </c>
      <c r="Q595" s="15">
        <v>45757</v>
      </c>
      <c r="R595" s="14" t="s">
        <v>1220</v>
      </c>
      <c r="S595" s="14">
        <v>7566</v>
      </c>
      <c r="U595" s="1" t="str">
        <f>TEXT(tblTransactions[[#This Row],[Date]],"YYYY-MM")</f>
        <v>2025-04</v>
      </c>
      <c r="Z595" s="1"/>
    </row>
    <row r="596" spans="15:26" ht="15" customHeight="1" x14ac:dyDescent="0.3">
      <c r="O596" s="14" t="s">
        <v>1312</v>
      </c>
      <c r="P596" s="14" t="s">
        <v>597</v>
      </c>
      <c r="Q596" s="15">
        <v>46028</v>
      </c>
      <c r="R596" s="14" t="s">
        <v>117</v>
      </c>
      <c r="S596" s="14">
        <v>20451</v>
      </c>
      <c r="U596" s="1" t="str">
        <f>TEXT(tblTransactions[[#This Row],[Date]],"YYYY-MM")</f>
        <v>2026-01</v>
      </c>
      <c r="Z596" s="1"/>
    </row>
    <row r="597" spans="15:26" ht="15" customHeight="1" x14ac:dyDescent="0.3">
      <c r="O597" s="14" t="s">
        <v>1313</v>
      </c>
      <c r="P597" s="14" t="s">
        <v>597</v>
      </c>
      <c r="Q597" s="15">
        <v>46018</v>
      </c>
      <c r="R597" s="14" t="s">
        <v>81</v>
      </c>
      <c r="S597" s="14">
        <v>4143</v>
      </c>
      <c r="U597" s="1" t="str">
        <f>TEXT(tblTransactions[[#This Row],[Date]],"YYYY-MM")</f>
        <v>2025-12</v>
      </c>
      <c r="Z597" s="1"/>
    </row>
    <row r="598" spans="15:26" ht="15" customHeight="1" x14ac:dyDescent="0.3">
      <c r="O598" s="14" t="s">
        <v>1314</v>
      </c>
      <c r="P598" s="14" t="s">
        <v>597</v>
      </c>
      <c r="Q598" s="15">
        <v>45895</v>
      </c>
      <c r="R598" s="14" t="s">
        <v>89</v>
      </c>
      <c r="S598" s="14">
        <v>10368</v>
      </c>
      <c r="U598" s="1" t="str">
        <f>TEXT(tblTransactions[[#This Row],[Date]],"YYYY-MM")</f>
        <v>2025-08</v>
      </c>
      <c r="Z598" s="1"/>
    </row>
    <row r="599" spans="15:26" ht="15" customHeight="1" x14ac:dyDescent="0.3">
      <c r="O599" s="14" t="s">
        <v>1315</v>
      </c>
      <c r="P599" s="14" t="s">
        <v>601</v>
      </c>
      <c r="Q599" s="15">
        <v>45772</v>
      </c>
      <c r="R599" s="14" t="s">
        <v>89</v>
      </c>
      <c r="S599" s="14">
        <v>14256</v>
      </c>
      <c r="U599" s="1" t="str">
        <f>TEXT(tblTransactions[[#This Row],[Date]],"YYYY-MM")</f>
        <v>2025-04</v>
      </c>
      <c r="Z599" s="1"/>
    </row>
    <row r="600" spans="15:26" ht="15" customHeight="1" x14ac:dyDescent="0.3">
      <c r="O600" s="14" t="s">
        <v>1316</v>
      </c>
      <c r="P600" s="14" t="s">
        <v>601</v>
      </c>
      <c r="Q600" s="15">
        <v>46075</v>
      </c>
      <c r="R600" s="14" t="s">
        <v>135</v>
      </c>
      <c r="S600" s="14">
        <v>15478</v>
      </c>
      <c r="U600" s="1" t="str">
        <f>TEXT(tblTransactions[[#This Row],[Date]],"YYYY-MM")</f>
        <v>2026-02</v>
      </c>
      <c r="Z600" s="1"/>
    </row>
    <row r="601" spans="15:26" ht="15" customHeight="1" x14ac:dyDescent="0.3">
      <c r="O601" s="14" t="s">
        <v>1317</v>
      </c>
      <c r="P601" s="14" t="s">
        <v>605</v>
      </c>
      <c r="Q601" s="15">
        <v>45804</v>
      </c>
      <c r="R601" s="14" t="s">
        <v>81</v>
      </c>
      <c r="S601" s="14">
        <v>20053</v>
      </c>
      <c r="U601" s="1" t="str">
        <f>TEXT(tblTransactions[[#This Row],[Date]],"YYYY-MM")</f>
        <v>2025-05</v>
      </c>
      <c r="Z601" s="1"/>
    </row>
    <row r="602" spans="15:26" ht="15" customHeight="1" x14ac:dyDescent="0.3">
      <c r="O602" s="14" t="s">
        <v>1318</v>
      </c>
      <c r="P602" s="14" t="s">
        <v>605</v>
      </c>
      <c r="Q602" s="15">
        <v>46022</v>
      </c>
      <c r="R602" s="14" t="s">
        <v>110</v>
      </c>
      <c r="S602" s="14">
        <v>21207</v>
      </c>
      <c r="U602" s="1" t="str">
        <f>TEXT(tblTransactions[[#This Row],[Date]],"YYYY-MM")</f>
        <v>2025-12</v>
      </c>
      <c r="Z602" s="1"/>
    </row>
    <row r="603" spans="15:26" ht="15" customHeight="1" x14ac:dyDescent="0.3">
      <c r="O603" s="14" t="s">
        <v>1319</v>
      </c>
      <c r="P603" s="14" t="s">
        <v>609</v>
      </c>
      <c r="Q603" s="15">
        <v>46042</v>
      </c>
      <c r="R603" s="14" t="s">
        <v>89</v>
      </c>
      <c r="S603" s="14">
        <v>24045</v>
      </c>
      <c r="U603" s="1" t="str">
        <f>TEXT(tblTransactions[[#This Row],[Date]],"YYYY-MM")</f>
        <v>2026-01</v>
      </c>
      <c r="Z603" s="1"/>
    </row>
    <row r="604" spans="15:26" ht="15" customHeight="1" x14ac:dyDescent="0.3">
      <c r="O604" s="14" t="s">
        <v>1320</v>
      </c>
      <c r="P604" s="14" t="s">
        <v>609</v>
      </c>
      <c r="Q604" s="15">
        <v>45821</v>
      </c>
      <c r="R604" s="14" t="s">
        <v>1220</v>
      </c>
      <c r="S604" s="14">
        <v>14565</v>
      </c>
      <c r="U604" s="1" t="str">
        <f>TEXT(tblTransactions[[#This Row],[Date]],"YYYY-MM")</f>
        <v>2025-06</v>
      </c>
      <c r="Z604" s="1"/>
    </row>
    <row r="605" spans="15:26" ht="15" customHeight="1" x14ac:dyDescent="0.3">
      <c r="O605" s="14" t="s">
        <v>1321</v>
      </c>
      <c r="P605" s="14" t="s">
        <v>609</v>
      </c>
      <c r="Q605" s="15">
        <v>45748</v>
      </c>
      <c r="R605" s="14" t="s">
        <v>135</v>
      </c>
      <c r="S605" s="14">
        <v>12061</v>
      </c>
      <c r="U605" s="1" t="str">
        <f>TEXT(tblTransactions[[#This Row],[Date]],"YYYY-MM")</f>
        <v>2025-04</v>
      </c>
      <c r="Z605" s="1"/>
    </row>
    <row r="606" spans="15:26" ht="15" customHeight="1" x14ac:dyDescent="0.3">
      <c r="O606" s="14" t="s">
        <v>1322</v>
      </c>
      <c r="P606" s="14" t="s">
        <v>609</v>
      </c>
      <c r="Q606" s="15">
        <v>45871</v>
      </c>
      <c r="R606" s="14" t="s">
        <v>135</v>
      </c>
      <c r="S606" s="14">
        <v>14150</v>
      </c>
      <c r="U606" s="1" t="str">
        <f>TEXT(tblTransactions[[#This Row],[Date]],"YYYY-MM")</f>
        <v>2025-08</v>
      </c>
      <c r="Z606" s="1"/>
    </row>
    <row r="607" spans="15:26" ht="15" customHeight="1" x14ac:dyDescent="0.3">
      <c r="O607" s="14" t="s">
        <v>1323</v>
      </c>
      <c r="P607" s="14" t="s">
        <v>609</v>
      </c>
      <c r="Q607" s="15">
        <v>45843</v>
      </c>
      <c r="R607" s="14" t="s">
        <v>117</v>
      </c>
      <c r="S607" s="14">
        <v>22396</v>
      </c>
      <c r="U607" s="1" t="str">
        <f>TEXT(tblTransactions[[#This Row],[Date]],"YYYY-MM")</f>
        <v>2025-07</v>
      </c>
      <c r="Z607" s="1"/>
    </row>
    <row r="608" spans="15:26" ht="15" customHeight="1" x14ac:dyDescent="0.3">
      <c r="O608" s="14" t="s">
        <v>1324</v>
      </c>
      <c r="P608" s="14" t="s">
        <v>609</v>
      </c>
      <c r="Q608" s="15">
        <v>45791</v>
      </c>
      <c r="R608" s="14" t="s">
        <v>135</v>
      </c>
      <c r="S608" s="14">
        <v>12316</v>
      </c>
      <c r="U608" s="1" t="str">
        <f>TEXT(tblTransactions[[#This Row],[Date]],"YYYY-MM")</f>
        <v>2025-05</v>
      </c>
      <c r="Z608" s="1"/>
    </row>
    <row r="609" spans="15:26" ht="15" customHeight="1" x14ac:dyDescent="0.3">
      <c r="O609" s="14" t="s">
        <v>1325</v>
      </c>
      <c r="P609" s="14" t="s">
        <v>609</v>
      </c>
      <c r="Q609" s="15">
        <v>45782</v>
      </c>
      <c r="R609" s="14" t="s">
        <v>135</v>
      </c>
      <c r="S609" s="14">
        <v>18328</v>
      </c>
      <c r="U609" s="1" t="str">
        <f>TEXT(tblTransactions[[#This Row],[Date]],"YYYY-MM")</f>
        <v>2025-05</v>
      </c>
      <c r="Z609" s="1"/>
    </row>
    <row r="610" spans="15:26" ht="15" customHeight="1" x14ac:dyDescent="0.3">
      <c r="O610" s="14" t="s">
        <v>1326</v>
      </c>
      <c r="P610" s="14" t="s">
        <v>609</v>
      </c>
      <c r="Q610" s="15">
        <v>46007</v>
      </c>
      <c r="R610" s="14" t="s">
        <v>135</v>
      </c>
      <c r="S610" s="14">
        <v>18658</v>
      </c>
      <c r="U610" s="1" t="str">
        <f>TEXT(tblTransactions[[#This Row],[Date]],"YYYY-MM")</f>
        <v>2025-12</v>
      </c>
      <c r="Z610" s="1"/>
    </row>
    <row r="611" spans="15:26" ht="15" customHeight="1" x14ac:dyDescent="0.3">
      <c r="O611" s="14" t="s">
        <v>1327</v>
      </c>
      <c r="P611" s="14" t="s">
        <v>609</v>
      </c>
      <c r="Q611" s="15">
        <v>45758</v>
      </c>
      <c r="R611" s="14" t="s">
        <v>81</v>
      </c>
      <c r="S611" s="14">
        <v>15905</v>
      </c>
      <c r="U611" s="1" t="str">
        <f>TEXT(tblTransactions[[#This Row],[Date]],"YYYY-MM")</f>
        <v>2025-04</v>
      </c>
      <c r="Z611" s="1"/>
    </row>
    <row r="612" spans="15:26" ht="15" customHeight="1" x14ac:dyDescent="0.3">
      <c r="O612" s="14" t="s">
        <v>1328</v>
      </c>
      <c r="P612" s="14" t="s">
        <v>613</v>
      </c>
      <c r="Q612" s="15">
        <v>46073</v>
      </c>
      <c r="R612" s="14" t="s">
        <v>81</v>
      </c>
      <c r="S612" s="14">
        <v>12732</v>
      </c>
      <c r="U612" s="1" t="str">
        <f>TEXT(tblTransactions[[#This Row],[Date]],"YYYY-MM")</f>
        <v>2026-02</v>
      </c>
      <c r="Z612" s="1"/>
    </row>
    <row r="613" spans="15:26" ht="15" customHeight="1" x14ac:dyDescent="0.3">
      <c r="O613" s="14" t="s">
        <v>1329</v>
      </c>
      <c r="P613" s="14" t="s">
        <v>617</v>
      </c>
      <c r="Q613" s="15">
        <v>45756</v>
      </c>
      <c r="R613" s="14" t="s">
        <v>1220</v>
      </c>
      <c r="S613" s="14">
        <v>2713</v>
      </c>
      <c r="U613" s="1" t="str">
        <f>TEXT(tblTransactions[[#This Row],[Date]],"YYYY-MM")</f>
        <v>2025-04</v>
      </c>
      <c r="Z613" s="1"/>
    </row>
    <row r="614" spans="15:26" ht="15" customHeight="1" x14ac:dyDescent="0.3">
      <c r="O614" s="14" t="s">
        <v>1330</v>
      </c>
      <c r="P614" s="14" t="s">
        <v>617</v>
      </c>
      <c r="Q614" s="15">
        <v>45924</v>
      </c>
      <c r="R614" s="14" t="s">
        <v>89</v>
      </c>
      <c r="S614" s="14">
        <v>24517</v>
      </c>
      <c r="U614" s="1" t="str">
        <f>TEXT(tblTransactions[[#This Row],[Date]],"YYYY-MM")</f>
        <v>2025-09</v>
      </c>
      <c r="Z614" s="1"/>
    </row>
    <row r="615" spans="15:26" ht="15" customHeight="1" x14ac:dyDescent="0.3">
      <c r="O615" s="14" t="s">
        <v>1331</v>
      </c>
      <c r="P615" s="14" t="s">
        <v>617</v>
      </c>
      <c r="Q615" s="15">
        <v>46084</v>
      </c>
      <c r="R615" s="14" t="s">
        <v>117</v>
      </c>
      <c r="S615" s="14">
        <v>3896</v>
      </c>
      <c r="U615" s="1" t="str">
        <f>TEXT(tblTransactions[[#This Row],[Date]],"YYYY-MM")</f>
        <v>2026-03</v>
      </c>
      <c r="Z615" s="1"/>
    </row>
    <row r="616" spans="15:26" ht="15" customHeight="1" x14ac:dyDescent="0.3">
      <c r="O616" s="14" t="s">
        <v>1332</v>
      </c>
      <c r="P616" s="14" t="s">
        <v>617</v>
      </c>
      <c r="Q616" s="15">
        <v>46045</v>
      </c>
      <c r="R616" s="14" t="s">
        <v>117</v>
      </c>
      <c r="S616" s="14">
        <v>11395</v>
      </c>
      <c r="U616" s="1" t="str">
        <f>TEXT(tblTransactions[[#This Row],[Date]],"YYYY-MM")</f>
        <v>2026-01</v>
      </c>
      <c r="Z616" s="1"/>
    </row>
    <row r="617" spans="15:26" ht="15" customHeight="1" x14ac:dyDescent="0.3">
      <c r="O617" s="14" t="s">
        <v>1333</v>
      </c>
      <c r="P617" s="14" t="s">
        <v>617</v>
      </c>
      <c r="Q617" s="15">
        <v>45816</v>
      </c>
      <c r="R617" s="14" t="s">
        <v>110</v>
      </c>
      <c r="S617" s="14">
        <v>12044</v>
      </c>
      <c r="U617" s="1" t="str">
        <f>TEXT(tblTransactions[[#This Row],[Date]],"YYYY-MM")</f>
        <v>2025-06</v>
      </c>
      <c r="Z617" s="1"/>
    </row>
    <row r="618" spans="15:26" ht="15" customHeight="1" x14ac:dyDescent="0.3">
      <c r="O618" s="14" t="s">
        <v>1334</v>
      </c>
      <c r="P618" s="14" t="s">
        <v>620</v>
      </c>
      <c r="Q618" s="15">
        <v>45921</v>
      </c>
      <c r="R618" s="14" t="s">
        <v>117</v>
      </c>
      <c r="S618" s="14">
        <v>6237</v>
      </c>
      <c r="U618" s="1" t="str">
        <f>TEXT(tblTransactions[[#This Row],[Date]],"YYYY-MM")</f>
        <v>2025-09</v>
      </c>
      <c r="Z618" s="1"/>
    </row>
    <row r="619" spans="15:26" ht="15" customHeight="1" x14ac:dyDescent="0.3">
      <c r="O619" s="14" t="s">
        <v>1335</v>
      </c>
      <c r="P619" s="14" t="s">
        <v>620</v>
      </c>
      <c r="Q619" s="15">
        <v>46098</v>
      </c>
      <c r="R619" s="14" t="s">
        <v>81</v>
      </c>
      <c r="S619" s="14">
        <v>23286</v>
      </c>
      <c r="U619" s="1" t="str">
        <f>TEXT(tblTransactions[[#This Row],[Date]],"YYYY-MM")</f>
        <v>2026-03</v>
      </c>
      <c r="Z619" s="1"/>
    </row>
    <row r="620" spans="15:26" ht="15" customHeight="1" x14ac:dyDescent="0.3">
      <c r="O620" s="14" t="s">
        <v>1336</v>
      </c>
      <c r="P620" s="14" t="s">
        <v>620</v>
      </c>
      <c r="Q620" s="15">
        <v>45993</v>
      </c>
      <c r="R620" s="14" t="s">
        <v>117</v>
      </c>
      <c r="S620" s="14">
        <v>6472</v>
      </c>
      <c r="U620" s="1" t="str">
        <f>TEXT(tblTransactions[[#This Row],[Date]],"YYYY-MM")</f>
        <v>2025-12</v>
      </c>
      <c r="Z620" s="1"/>
    </row>
    <row r="621" spans="15:26" ht="15" customHeight="1" x14ac:dyDescent="0.3">
      <c r="O621" s="14" t="s">
        <v>1337</v>
      </c>
      <c r="P621" s="14" t="s">
        <v>620</v>
      </c>
      <c r="Q621" s="15">
        <v>45817</v>
      </c>
      <c r="R621" s="14" t="s">
        <v>110</v>
      </c>
      <c r="S621" s="14">
        <v>23963</v>
      </c>
      <c r="U621" s="1" t="str">
        <f>TEXT(tblTransactions[[#This Row],[Date]],"YYYY-MM")</f>
        <v>2025-06</v>
      </c>
      <c r="Z621" s="1"/>
    </row>
    <row r="622" spans="15:26" ht="15" customHeight="1" x14ac:dyDescent="0.3">
      <c r="O622" s="14" t="s">
        <v>1338</v>
      </c>
      <c r="P622" s="14" t="s">
        <v>620</v>
      </c>
      <c r="Q622" s="15">
        <v>45982</v>
      </c>
      <c r="R622" s="14" t="s">
        <v>110</v>
      </c>
      <c r="S622" s="14">
        <v>10115</v>
      </c>
      <c r="U622" s="1" t="str">
        <f>TEXT(tblTransactions[[#This Row],[Date]],"YYYY-MM")</f>
        <v>2025-11</v>
      </c>
      <c r="Z622" s="1"/>
    </row>
    <row r="623" spans="15:26" ht="15" customHeight="1" x14ac:dyDescent="0.3">
      <c r="O623" s="14" t="s">
        <v>1339</v>
      </c>
      <c r="P623" s="14" t="s">
        <v>620</v>
      </c>
      <c r="Q623" s="15">
        <v>45851</v>
      </c>
      <c r="R623" s="14" t="s">
        <v>110</v>
      </c>
      <c r="S623" s="14">
        <v>7036</v>
      </c>
      <c r="U623" s="1" t="str">
        <f>TEXT(tblTransactions[[#This Row],[Date]],"YYYY-MM")</f>
        <v>2025-07</v>
      </c>
      <c r="Z623" s="1"/>
    </row>
    <row r="624" spans="15:26" ht="15" customHeight="1" x14ac:dyDescent="0.3">
      <c r="O624" s="14" t="s">
        <v>1340</v>
      </c>
      <c r="P624" s="14" t="s">
        <v>620</v>
      </c>
      <c r="Q624" s="15">
        <v>45769</v>
      </c>
      <c r="R624" s="14" t="s">
        <v>1220</v>
      </c>
      <c r="S624" s="14">
        <v>10660</v>
      </c>
      <c r="U624" s="1" t="str">
        <f>TEXT(tblTransactions[[#This Row],[Date]],"YYYY-MM")</f>
        <v>2025-04</v>
      </c>
      <c r="Z624" s="1"/>
    </row>
    <row r="625" spans="15:26" ht="15" customHeight="1" x14ac:dyDescent="0.3">
      <c r="O625" s="14" t="s">
        <v>1341</v>
      </c>
      <c r="P625" s="14" t="s">
        <v>620</v>
      </c>
      <c r="Q625" s="15">
        <v>46011</v>
      </c>
      <c r="R625" s="14" t="s">
        <v>81</v>
      </c>
      <c r="S625" s="14">
        <v>18294</v>
      </c>
      <c r="U625" s="1" t="str">
        <f>TEXT(tblTransactions[[#This Row],[Date]],"YYYY-MM")</f>
        <v>2025-12</v>
      </c>
      <c r="Z625" s="1"/>
    </row>
    <row r="626" spans="15:26" ht="15" customHeight="1" x14ac:dyDescent="0.3">
      <c r="O626" s="14" t="s">
        <v>1342</v>
      </c>
      <c r="P626" s="14" t="s">
        <v>620</v>
      </c>
      <c r="Q626" s="15">
        <v>45990</v>
      </c>
      <c r="R626" s="14" t="s">
        <v>1220</v>
      </c>
      <c r="S626" s="14">
        <v>1699</v>
      </c>
      <c r="U626" s="1" t="str">
        <f>TEXT(tblTransactions[[#This Row],[Date]],"YYYY-MM")</f>
        <v>2025-11</v>
      </c>
      <c r="Z626" s="1"/>
    </row>
    <row r="627" spans="15:26" ht="15" customHeight="1" x14ac:dyDescent="0.3">
      <c r="O627" s="14" t="s">
        <v>1343</v>
      </c>
      <c r="P627" s="14" t="s">
        <v>624</v>
      </c>
      <c r="Q627" s="15">
        <v>45894</v>
      </c>
      <c r="R627" s="14" t="s">
        <v>1220</v>
      </c>
      <c r="S627" s="14">
        <v>2066</v>
      </c>
      <c r="U627" s="1" t="str">
        <f>TEXT(tblTransactions[[#This Row],[Date]],"YYYY-MM")</f>
        <v>2025-08</v>
      </c>
      <c r="Z627" s="1"/>
    </row>
    <row r="628" spans="15:26" ht="15" customHeight="1" x14ac:dyDescent="0.3">
      <c r="O628" s="14" t="s">
        <v>1344</v>
      </c>
      <c r="P628" s="14" t="s">
        <v>624</v>
      </c>
      <c r="Q628" s="15">
        <v>46083</v>
      </c>
      <c r="R628" s="14" t="s">
        <v>1220</v>
      </c>
      <c r="S628" s="14">
        <v>9452</v>
      </c>
      <c r="U628" s="1" t="str">
        <f>TEXT(tblTransactions[[#This Row],[Date]],"YYYY-MM")</f>
        <v>2026-03</v>
      </c>
      <c r="Z628" s="1"/>
    </row>
    <row r="629" spans="15:26" ht="15" customHeight="1" x14ac:dyDescent="0.3">
      <c r="O629" s="14" t="s">
        <v>1345</v>
      </c>
      <c r="P629" s="14" t="s">
        <v>624</v>
      </c>
      <c r="Q629" s="15">
        <v>45811</v>
      </c>
      <c r="R629" s="14" t="s">
        <v>1220</v>
      </c>
      <c r="S629" s="14">
        <v>14818</v>
      </c>
      <c r="U629" s="1" t="str">
        <f>TEXT(tblTransactions[[#This Row],[Date]],"YYYY-MM")</f>
        <v>2025-06</v>
      </c>
      <c r="Z629" s="1"/>
    </row>
    <row r="630" spans="15:26" ht="15" customHeight="1" x14ac:dyDescent="0.3">
      <c r="O630" s="14" t="s">
        <v>1346</v>
      </c>
      <c r="P630" s="14" t="s">
        <v>624</v>
      </c>
      <c r="Q630" s="15">
        <v>45952</v>
      </c>
      <c r="R630" s="14" t="s">
        <v>117</v>
      </c>
      <c r="S630" s="14">
        <v>14909</v>
      </c>
      <c r="U630" s="1" t="str">
        <f>TEXT(tblTransactions[[#This Row],[Date]],"YYYY-MM")</f>
        <v>2025-10</v>
      </c>
      <c r="Z630" s="1"/>
    </row>
    <row r="631" spans="15:26" ht="15" customHeight="1" x14ac:dyDescent="0.3">
      <c r="O631" s="14" t="s">
        <v>1347</v>
      </c>
      <c r="P631" s="14" t="s">
        <v>628</v>
      </c>
      <c r="Q631" s="15">
        <v>45921</v>
      </c>
      <c r="R631" s="14" t="s">
        <v>89</v>
      </c>
      <c r="S631" s="14">
        <v>16759</v>
      </c>
      <c r="U631" s="1" t="str">
        <f>TEXT(tblTransactions[[#This Row],[Date]],"YYYY-MM")</f>
        <v>2025-09</v>
      </c>
      <c r="Z631" s="1"/>
    </row>
    <row r="632" spans="15:26" ht="15" customHeight="1" x14ac:dyDescent="0.3">
      <c r="O632" s="14" t="s">
        <v>1348</v>
      </c>
      <c r="P632" s="14" t="s">
        <v>628</v>
      </c>
      <c r="Q632" s="15">
        <v>46102</v>
      </c>
      <c r="R632" s="14" t="s">
        <v>81</v>
      </c>
      <c r="S632" s="14">
        <v>12537</v>
      </c>
      <c r="U632" s="1" t="str">
        <f>TEXT(tblTransactions[[#This Row],[Date]],"YYYY-MM")</f>
        <v>2026-03</v>
      </c>
      <c r="Z632" s="1"/>
    </row>
    <row r="633" spans="15:26" ht="15" customHeight="1" x14ac:dyDescent="0.3">
      <c r="O633" s="14" t="s">
        <v>1349</v>
      </c>
      <c r="P633" s="14" t="s">
        <v>628</v>
      </c>
      <c r="Q633" s="15">
        <v>46013</v>
      </c>
      <c r="R633" s="14" t="s">
        <v>1220</v>
      </c>
      <c r="S633" s="14">
        <v>3207</v>
      </c>
      <c r="U633" s="1" t="str">
        <f>TEXT(tblTransactions[[#This Row],[Date]],"YYYY-MM")</f>
        <v>2025-12</v>
      </c>
      <c r="Z633" s="1"/>
    </row>
    <row r="634" spans="15:26" ht="15" customHeight="1" x14ac:dyDescent="0.3">
      <c r="O634" s="14" t="s">
        <v>1350</v>
      </c>
      <c r="P634" s="14" t="s">
        <v>628</v>
      </c>
      <c r="Q634" s="15">
        <v>45965</v>
      </c>
      <c r="R634" s="14" t="s">
        <v>110</v>
      </c>
      <c r="S634" s="14">
        <v>14610</v>
      </c>
      <c r="U634" s="1" t="str">
        <f>TEXT(tblTransactions[[#This Row],[Date]],"YYYY-MM")</f>
        <v>2025-11</v>
      </c>
      <c r="Z634" s="1"/>
    </row>
    <row r="635" spans="15:26" ht="15" customHeight="1" x14ac:dyDescent="0.3">
      <c r="O635" s="14" t="s">
        <v>1351</v>
      </c>
      <c r="P635" s="14" t="s">
        <v>628</v>
      </c>
      <c r="Q635" s="15">
        <v>46056</v>
      </c>
      <c r="R635" s="14" t="s">
        <v>89</v>
      </c>
      <c r="S635" s="14">
        <v>18374</v>
      </c>
      <c r="U635" s="1" t="str">
        <f>TEXT(tblTransactions[[#This Row],[Date]],"YYYY-MM")</f>
        <v>2026-02</v>
      </c>
      <c r="Z635" s="1"/>
    </row>
    <row r="636" spans="15:26" ht="15" customHeight="1" x14ac:dyDescent="0.3">
      <c r="O636" s="14" t="s">
        <v>1352</v>
      </c>
      <c r="P636" s="14" t="s">
        <v>628</v>
      </c>
      <c r="Q636" s="15">
        <v>45898</v>
      </c>
      <c r="R636" s="14" t="s">
        <v>1220</v>
      </c>
      <c r="S636" s="14">
        <v>3861</v>
      </c>
      <c r="U636" s="1" t="str">
        <f>TEXT(tblTransactions[[#This Row],[Date]],"YYYY-MM")</f>
        <v>2025-08</v>
      </c>
      <c r="Z636" s="1"/>
    </row>
    <row r="637" spans="15:26" ht="15" customHeight="1" x14ac:dyDescent="0.3">
      <c r="O637" s="14" t="s">
        <v>1353</v>
      </c>
      <c r="P637" s="14" t="s">
        <v>628</v>
      </c>
      <c r="Q637" s="15">
        <v>45788</v>
      </c>
      <c r="R637" s="14" t="s">
        <v>1220</v>
      </c>
      <c r="S637" s="14">
        <v>22157</v>
      </c>
      <c r="U637" s="1" t="str">
        <f>TEXT(tblTransactions[[#This Row],[Date]],"YYYY-MM")</f>
        <v>2025-05</v>
      </c>
      <c r="Z637" s="1"/>
    </row>
    <row r="638" spans="15:26" ht="15" customHeight="1" x14ac:dyDescent="0.3">
      <c r="O638" s="14" t="s">
        <v>1354</v>
      </c>
      <c r="P638" s="14" t="s">
        <v>633</v>
      </c>
      <c r="Q638" s="15">
        <v>45904</v>
      </c>
      <c r="R638" s="14" t="s">
        <v>81</v>
      </c>
      <c r="S638" s="14">
        <v>20246</v>
      </c>
      <c r="U638" s="1" t="str">
        <f>TEXT(tblTransactions[[#This Row],[Date]],"YYYY-MM")</f>
        <v>2025-09</v>
      </c>
      <c r="Z638" s="1"/>
    </row>
    <row r="639" spans="15:26" ht="15" customHeight="1" x14ac:dyDescent="0.3">
      <c r="O639" s="14" t="s">
        <v>1355</v>
      </c>
      <c r="P639" s="14" t="s">
        <v>633</v>
      </c>
      <c r="Q639" s="15">
        <v>45966</v>
      </c>
      <c r="R639" s="14" t="s">
        <v>89</v>
      </c>
      <c r="S639" s="14">
        <v>23102</v>
      </c>
      <c r="U639" s="1" t="str">
        <f>TEXT(tblTransactions[[#This Row],[Date]],"YYYY-MM")</f>
        <v>2025-11</v>
      </c>
      <c r="Z639" s="1"/>
    </row>
    <row r="640" spans="15:26" ht="15" customHeight="1" x14ac:dyDescent="0.3">
      <c r="O640" s="14" t="s">
        <v>1356</v>
      </c>
      <c r="P640" s="14" t="s">
        <v>633</v>
      </c>
      <c r="Q640" s="15">
        <v>45975</v>
      </c>
      <c r="R640" s="14" t="s">
        <v>1220</v>
      </c>
      <c r="S640" s="14">
        <v>15151</v>
      </c>
      <c r="U640" s="1" t="str">
        <f>TEXT(tblTransactions[[#This Row],[Date]],"YYYY-MM")</f>
        <v>2025-11</v>
      </c>
      <c r="Z640" s="1"/>
    </row>
    <row r="641" spans="15:26" ht="15" customHeight="1" x14ac:dyDescent="0.3">
      <c r="O641" s="14" t="s">
        <v>1357</v>
      </c>
      <c r="P641" s="14" t="s">
        <v>633</v>
      </c>
      <c r="Q641" s="15">
        <v>45769</v>
      </c>
      <c r="R641" s="14" t="s">
        <v>117</v>
      </c>
      <c r="S641" s="14">
        <v>12052</v>
      </c>
      <c r="U641" s="1" t="str">
        <f>TEXT(tblTransactions[[#This Row],[Date]],"YYYY-MM")</f>
        <v>2025-04</v>
      </c>
      <c r="Z641" s="1"/>
    </row>
    <row r="642" spans="15:26" ht="15" customHeight="1" x14ac:dyDescent="0.3">
      <c r="O642" s="14" t="s">
        <v>1358</v>
      </c>
      <c r="P642" s="14" t="s">
        <v>633</v>
      </c>
      <c r="Q642" s="15">
        <v>46062</v>
      </c>
      <c r="R642" s="14" t="s">
        <v>81</v>
      </c>
      <c r="S642" s="14">
        <v>9496</v>
      </c>
      <c r="U642" s="1" t="str">
        <f>TEXT(tblTransactions[[#This Row],[Date]],"YYYY-MM")</f>
        <v>2026-02</v>
      </c>
      <c r="Z642" s="1"/>
    </row>
    <row r="643" spans="15:26" ht="15" customHeight="1" x14ac:dyDescent="0.3">
      <c r="O643" s="14" t="s">
        <v>1359</v>
      </c>
      <c r="P643" s="14" t="s">
        <v>637</v>
      </c>
      <c r="Q643" s="15">
        <v>45786</v>
      </c>
      <c r="R643" s="14" t="s">
        <v>117</v>
      </c>
      <c r="S643" s="14">
        <v>21390</v>
      </c>
      <c r="U643" s="1" t="str">
        <f>TEXT(tblTransactions[[#This Row],[Date]],"YYYY-MM")</f>
        <v>2025-05</v>
      </c>
      <c r="Z643" s="1"/>
    </row>
    <row r="644" spans="15:26" ht="15" customHeight="1" x14ac:dyDescent="0.3">
      <c r="O644" s="14" t="s">
        <v>1360</v>
      </c>
      <c r="P644" s="14" t="s">
        <v>641</v>
      </c>
      <c r="Q644" s="15">
        <v>45934</v>
      </c>
      <c r="R644" s="14" t="s">
        <v>135</v>
      </c>
      <c r="S644" s="14">
        <v>22762</v>
      </c>
      <c r="U644" s="1" t="str">
        <f>TEXT(tblTransactions[[#This Row],[Date]],"YYYY-MM")</f>
        <v>2025-10</v>
      </c>
      <c r="Z644" s="1"/>
    </row>
    <row r="645" spans="15:26" ht="15" customHeight="1" x14ac:dyDescent="0.3">
      <c r="O645" s="14" t="s">
        <v>1361</v>
      </c>
      <c r="P645" s="14" t="s">
        <v>641</v>
      </c>
      <c r="Q645" s="15">
        <v>45829</v>
      </c>
      <c r="R645" s="14" t="s">
        <v>110</v>
      </c>
      <c r="S645" s="14">
        <v>5178</v>
      </c>
      <c r="U645" s="1" t="str">
        <f>TEXT(tblTransactions[[#This Row],[Date]],"YYYY-MM")</f>
        <v>2025-06</v>
      </c>
      <c r="Z645" s="1"/>
    </row>
    <row r="646" spans="15:26" ht="15" customHeight="1" x14ac:dyDescent="0.3">
      <c r="O646" s="14" t="s">
        <v>1362</v>
      </c>
      <c r="P646" s="14" t="s">
        <v>641</v>
      </c>
      <c r="Q646" s="15">
        <v>46059</v>
      </c>
      <c r="R646" s="14" t="s">
        <v>117</v>
      </c>
      <c r="S646" s="14">
        <v>14858</v>
      </c>
      <c r="U646" s="1" t="str">
        <f>TEXT(tblTransactions[[#This Row],[Date]],"YYYY-MM")</f>
        <v>2026-02</v>
      </c>
      <c r="Z646" s="1"/>
    </row>
    <row r="647" spans="15:26" ht="15" customHeight="1" x14ac:dyDescent="0.3">
      <c r="O647" s="14" t="s">
        <v>1363</v>
      </c>
      <c r="P647" s="14" t="s">
        <v>641</v>
      </c>
      <c r="Q647" s="15">
        <v>45765</v>
      </c>
      <c r="R647" s="14" t="s">
        <v>89</v>
      </c>
      <c r="S647" s="14">
        <v>2703</v>
      </c>
      <c r="U647" s="1" t="str">
        <f>TEXT(tblTransactions[[#This Row],[Date]],"YYYY-MM")</f>
        <v>2025-04</v>
      </c>
      <c r="Z647" s="1"/>
    </row>
    <row r="648" spans="15:26" ht="15" customHeight="1" x14ac:dyDescent="0.3">
      <c r="O648" s="14" t="s">
        <v>1364</v>
      </c>
      <c r="P648" s="14" t="s">
        <v>641</v>
      </c>
      <c r="Q648" s="15">
        <v>45868</v>
      </c>
      <c r="R648" s="14" t="s">
        <v>117</v>
      </c>
      <c r="S648" s="14">
        <v>12503</v>
      </c>
      <c r="U648" s="1" t="str">
        <f>TEXT(tblTransactions[[#This Row],[Date]],"YYYY-MM")</f>
        <v>2025-07</v>
      </c>
      <c r="Z648" s="1"/>
    </row>
    <row r="649" spans="15:26" ht="15" customHeight="1" x14ac:dyDescent="0.3">
      <c r="O649" s="14" t="s">
        <v>1365</v>
      </c>
      <c r="P649" s="14" t="s">
        <v>641</v>
      </c>
      <c r="Q649" s="15">
        <v>45933</v>
      </c>
      <c r="R649" s="14" t="s">
        <v>81</v>
      </c>
      <c r="S649" s="14">
        <v>19087</v>
      </c>
      <c r="U649" s="1" t="str">
        <f>TEXT(tblTransactions[[#This Row],[Date]],"YYYY-MM")</f>
        <v>2025-10</v>
      </c>
      <c r="Z649" s="1"/>
    </row>
    <row r="650" spans="15:26" ht="15" customHeight="1" x14ac:dyDescent="0.3">
      <c r="O650" s="14" t="s">
        <v>1366</v>
      </c>
      <c r="P650" s="14" t="s">
        <v>641</v>
      </c>
      <c r="Q650" s="15">
        <v>45764</v>
      </c>
      <c r="R650" s="14" t="s">
        <v>135</v>
      </c>
      <c r="S650" s="14">
        <v>5527</v>
      </c>
      <c r="U650" s="1" t="str">
        <f>TEXT(tblTransactions[[#This Row],[Date]],"YYYY-MM")</f>
        <v>2025-04</v>
      </c>
      <c r="Z650" s="1"/>
    </row>
    <row r="651" spans="15:26" ht="15" customHeight="1" x14ac:dyDescent="0.3">
      <c r="O651" s="14" t="s">
        <v>1367</v>
      </c>
      <c r="P651" s="14" t="s">
        <v>645</v>
      </c>
      <c r="Q651" s="15">
        <v>45937</v>
      </c>
      <c r="R651" s="14" t="s">
        <v>1220</v>
      </c>
      <c r="S651" s="14">
        <v>15047</v>
      </c>
      <c r="U651" s="1" t="str">
        <f>TEXT(tblTransactions[[#This Row],[Date]],"YYYY-MM")</f>
        <v>2025-10</v>
      </c>
      <c r="Z651" s="1"/>
    </row>
    <row r="652" spans="15:26" ht="15" customHeight="1" x14ac:dyDescent="0.3">
      <c r="O652" s="14" t="s">
        <v>1368</v>
      </c>
      <c r="P652" s="14" t="s">
        <v>645</v>
      </c>
      <c r="Q652" s="15">
        <v>45787</v>
      </c>
      <c r="R652" s="14" t="s">
        <v>135</v>
      </c>
      <c r="S652" s="14">
        <v>5011</v>
      </c>
      <c r="U652" s="1" t="str">
        <f>TEXT(tblTransactions[[#This Row],[Date]],"YYYY-MM")</f>
        <v>2025-05</v>
      </c>
      <c r="Z652" s="1"/>
    </row>
    <row r="653" spans="15:26" ht="15" customHeight="1" x14ac:dyDescent="0.3">
      <c r="O653" s="14" t="s">
        <v>1369</v>
      </c>
      <c r="P653" s="14" t="s">
        <v>645</v>
      </c>
      <c r="Q653" s="15">
        <v>46019</v>
      </c>
      <c r="R653" s="14" t="s">
        <v>1220</v>
      </c>
      <c r="S653" s="14">
        <v>13542</v>
      </c>
      <c r="U653" s="1" t="str">
        <f>TEXT(tblTransactions[[#This Row],[Date]],"YYYY-MM")</f>
        <v>2025-12</v>
      </c>
      <c r="Z653" s="1"/>
    </row>
    <row r="654" spans="15:26" ht="15" customHeight="1" x14ac:dyDescent="0.3">
      <c r="O654" s="14" t="s">
        <v>1370</v>
      </c>
      <c r="P654" s="14" t="s">
        <v>645</v>
      </c>
      <c r="Q654" s="15">
        <v>45908</v>
      </c>
      <c r="R654" s="14" t="s">
        <v>117</v>
      </c>
      <c r="S654" s="14">
        <v>9632</v>
      </c>
      <c r="U654" s="1" t="str">
        <f>TEXT(tblTransactions[[#This Row],[Date]],"YYYY-MM")</f>
        <v>2025-09</v>
      </c>
      <c r="Z654" s="1"/>
    </row>
    <row r="655" spans="15:26" ht="15" customHeight="1" x14ac:dyDescent="0.3">
      <c r="O655" s="14" t="s">
        <v>1371</v>
      </c>
      <c r="P655" s="14" t="s">
        <v>645</v>
      </c>
      <c r="Q655" s="15">
        <v>45875</v>
      </c>
      <c r="R655" s="14" t="s">
        <v>110</v>
      </c>
      <c r="S655" s="14">
        <v>1349</v>
      </c>
      <c r="U655" s="1" t="str">
        <f>TEXT(tblTransactions[[#This Row],[Date]],"YYYY-MM")</f>
        <v>2025-08</v>
      </c>
      <c r="Z655" s="1"/>
    </row>
    <row r="656" spans="15:26" ht="15" customHeight="1" x14ac:dyDescent="0.3">
      <c r="O656" s="14" t="s">
        <v>1372</v>
      </c>
      <c r="P656" s="14" t="s">
        <v>645</v>
      </c>
      <c r="Q656" s="15">
        <v>45843</v>
      </c>
      <c r="R656" s="14" t="s">
        <v>81</v>
      </c>
      <c r="S656" s="14">
        <v>17465</v>
      </c>
      <c r="U656" s="1" t="str">
        <f>TEXT(tblTransactions[[#This Row],[Date]],"YYYY-MM")</f>
        <v>2025-07</v>
      </c>
      <c r="Z656" s="1"/>
    </row>
    <row r="657" spans="15:26" ht="15" customHeight="1" x14ac:dyDescent="0.3">
      <c r="O657" s="14" t="s">
        <v>1373</v>
      </c>
      <c r="P657" s="14" t="s">
        <v>645</v>
      </c>
      <c r="Q657" s="15">
        <v>45946</v>
      </c>
      <c r="R657" s="14" t="s">
        <v>135</v>
      </c>
      <c r="S657" s="14">
        <v>4358</v>
      </c>
      <c r="U657" s="1" t="str">
        <f>TEXT(tblTransactions[[#This Row],[Date]],"YYYY-MM")</f>
        <v>2025-10</v>
      </c>
      <c r="Z657" s="1"/>
    </row>
    <row r="658" spans="15:26" ht="15" customHeight="1" x14ac:dyDescent="0.3">
      <c r="O658" s="14" t="s">
        <v>1374</v>
      </c>
      <c r="P658" s="14" t="s">
        <v>645</v>
      </c>
      <c r="Q658" s="15">
        <v>45882</v>
      </c>
      <c r="R658" s="14" t="s">
        <v>1220</v>
      </c>
      <c r="S658" s="14">
        <v>23569</v>
      </c>
      <c r="U658" s="1" t="str">
        <f>TEXT(tblTransactions[[#This Row],[Date]],"YYYY-MM")</f>
        <v>2025-08</v>
      </c>
      <c r="Z658" s="1"/>
    </row>
    <row r="659" spans="15:26" ht="15" customHeight="1" x14ac:dyDescent="0.3">
      <c r="O659" s="14" t="s">
        <v>1375</v>
      </c>
      <c r="P659" s="14" t="s">
        <v>649</v>
      </c>
      <c r="Q659" s="15">
        <v>45857</v>
      </c>
      <c r="R659" s="14" t="s">
        <v>135</v>
      </c>
      <c r="S659" s="14">
        <v>9857</v>
      </c>
      <c r="U659" s="1" t="str">
        <f>TEXT(tblTransactions[[#This Row],[Date]],"YYYY-MM")</f>
        <v>2025-07</v>
      </c>
      <c r="Z659" s="1"/>
    </row>
    <row r="660" spans="15:26" ht="15" customHeight="1" x14ac:dyDescent="0.3">
      <c r="O660" s="14" t="s">
        <v>1376</v>
      </c>
      <c r="P660" s="14" t="s">
        <v>649</v>
      </c>
      <c r="Q660" s="15">
        <v>46103</v>
      </c>
      <c r="R660" s="14" t="s">
        <v>81</v>
      </c>
      <c r="S660" s="14">
        <v>7059</v>
      </c>
      <c r="U660" s="1" t="str">
        <f>TEXT(tblTransactions[[#This Row],[Date]],"YYYY-MM")</f>
        <v>2026-03</v>
      </c>
      <c r="Z660" s="1"/>
    </row>
    <row r="661" spans="15:26" ht="15" customHeight="1" x14ac:dyDescent="0.3">
      <c r="O661" s="14" t="s">
        <v>1377</v>
      </c>
      <c r="P661" s="14" t="s">
        <v>649</v>
      </c>
      <c r="Q661" s="15">
        <v>45810</v>
      </c>
      <c r="R661" s="14" t="s">
        <v>89</v>
      </c>
      <c r="S661" s="14">
        <v>2926</v>
      </c>
      <c r="U661" s="1" t="str">
        <f>TEXT(tblTransactions[[#This Row],[Date]],"YYYY-MM")</f>
        <v>2025-06</v>
      </c>
      <c r="Z661" s="1"/>
    </row>
    <row r="662" spans="15:26" ht="15" customHeight="1" x14ac:dyDescent="0.3">
      <c r="O662" s="14" t="s">
        <v>1378</v>
      </c>
      <c r="P662" s="14" t="s">
        <v>649</v>
      </c>
      <c r="Q662" s="15">
        <v>45979</v>
      </c>
      <c r="R662" s="14" t="s">
        <v>89</v>
      </c>
      <c r="S662" s="14">
        <v>23875</v>
      </c>
      <c r="U662" s="1" t="str">
        <f>TEXT(tblTransactions[[#This Row],[Date]],"YYYY-MM")</f>
        <v>2025-11</v>
      </c>
      <c r="Z662" s="1"/>
    </row>
    <row r="663" spans="15:26" ht="15" customHeight="1" x14ac:dyDescent="0.3">
      <c r="O663" s="14" t="s">
        <v>1379</v>
      </c>
      <c r="P663" s="14" t="s">
        <v>649</v>
      </c>
      <c r="Q663" s="15">
        <v>45975</v>
      </c>
      <c r="R663" s="14" t="s">
        <v>110</v>
      </c>
      <c r="S663" s="14">
        <v>22845</v>
      </c>
      <c r="U663" s="1" t="str">
        <f>TEXT(tblTransactions[[#This Row],[Date]],"YYYY-MM")</f>
        <v>2025-11</v>
      </c>
      <c r="Z663" s="1"/>
    </row>
    <row r="664" spans="15:26" ht="15" customHeight="1" x14ac:dyDescent="0.3">
      <c r="O664" s="14" t="s">
        <v>1380</v>
      </c>
      <c r="P664" s="14" t="s">
        <v>649</v>
      </c>
      <c r="Q664" s="15">
        <v>45911</v>
      </c>
      <c r="R664" s="14" t="s">
        <v>117</v>
      </c>
      <c r="S664" s="14">
        <v>11884</v>
      </c>
      <c r="U664" s="1" t="str">
        <f>TEXT(tblTransactions[[#This Row],[Date]],"YYYY-MM")</f>
        <v>2025-09</v>
      </c>
      <c r="Z664" s="1"/>
    </row>
    <row r="665" spans="15:26" ht="15" customHeight="1" x14ac:dyDescent="0.3">
      <c r="O665" s="14" t="s">
        <v>1381</v>
      </c>
      <c r="P665" s="14" t="s">
        <v>649</v>
      </c>
      <c r="Q665" s="15">
        <v>46111</v>
      </c>
      <c r="R665" s="14" t="s">
        <v>110</v>
      </c>
      <c r="S665" s="14">
        <v>18522</v>
      </c>
      <c r="U665" s="1" t="str">
        <f>TEXT(tblTransactions[[#This Row],[Date]],"YYYY-MM")</f>
        <v>2026-03</v>
      </c>
      <c r="Z665" s="1"/>
    </row>
    <row r="666" spans="15:26" ht="15" customHeight="1" x14ac:dyDescent="0.3">
      <c r="O666" s="14" t="s">
        <v>1382</v>
      </c>
      <c r="P666" s="14" t="s">
        <v>649</v>
      </c>
      <c r="Q666" s="15">
        <v>46025</v>
      </c>
      <c r="R666" s="14" t="s">
        <v>1220</v>
      </c>
      <c r="S666" s="14">
        <v>10328</v>
      </c>
      <c r="U666" s="1" t="str">
        <f>TEXT(tblTransactions[[#This Row],[Date]],"YYYY-MM")</f>
        <v>2026-01</v>
      </c>
      <c r="Z666" s="1"/>
    </row>
    <row r="667" spans="15:26" ht="15" customHeight="1" x14ac:dyDescent="0.3">
      <c r="O667" s="14" t="s">
        <v>1383</v>
      </c>
      <c r="P667" s="14" t="s">
        <v>653</v>
      </c>
      <c r="Q667" s="15">
        <v>46112</v>
      </c>
      <c r="R667" s="14" t="s">
        <v>117</v>
      </c>
      <c r="S667" s="14">
        <v>23444</v>
      </c>
      <c r="U667" s="1" t="str">
        <f>TEXT(tblTransactions[[#This Row],[Date]],"YYYY-MM")</f>
        <v>2026-03</v>
      </c>
      <c r="Z667" s="1"/>
    </row>
    <row r="668" spans="15:26" ht="15" customHeight="1" x14ac:dyDescent="0.3">
      <c r="O668" s="14" t="s">
        <v>1384</v>
      </c>
      <c r="P668" s="14" t="s">
        <v>653</v>
      </c>
      <c r="Q668" s="15">
        <v>46074</v>
      </c>
      <c r="R668" s="14" t="s">
        <v>89</v>
      </c>
      <c r="S668" s="14">
        <v>12345</v>
      </c>
      <c r="U668" s="1" t="str">
        <f>TEXT(tblTransactions[[#This Row],[Date]],"YYYY-MM")</f>
        <v>2026-02</v>
      </c>
      <c r="Z668" s="1"/>
    </row>
    <row r="669" spans="15:26" ht="15" customHeight="1" x14ac:dyDescent="0.3">
      <c r="O669" s="14" t="s">
        <v>1385</v>
      </c>
      <c r="P669" s="14" t="s">
        <v>653</v>
      </c>
      <c r="Q669" s="15">
        <v>46008</v>
      </c>
      <c r="R669" s="14" t="s">
        <v>89</v>
      </c>
      <c r="S669" s="14">
        <v>4476</v>
      </c>
      <c r="U669" s="1" t="str">
        <f>TEXT(tblTransactions[[#This Row],[Date]],"YYYY-MM")</f>
        <v>2025-12</v>
      </c>
      <c r="Z669" s="1"/>
    </row>
    <row r="670" spans="15:26" ht="15" customHeight="1" x14ac:dyDescent="0.3">
      <c r="O670" s="14" t="s">
        <v>1386</v>
      </c>
      <c r="P670" s="14" t="s">
        <v>657</v>
      </c>
      <c r="Q670" s="15">
        <v>45819</v>
      </c>
      <c r="R670" s="14" t="s">
        <v>89</v>
      </c>
      <c r="S670" s="14">
        <v>16688</v>
      </c>
      <c r="U670" s="1" t="str">
        <f>TEXT(tblTransactions[[#This Row],[Date]],"YYYY-MM")</f>
        <v>2025-06</v>
      </c>
      <c r="Z670" s="1"/>
    </row>
    <row r="671" spans="15:26" ht="15" customHeight="1" x14ac:dyDescent="0.3">
      <c r="O671" s="14" t="s">
        <v>1387</v>
      </c>
      <c r="P671" s="14" t="s">
        <v>657</v>
      </c>
      <c r="Q671" s="15">
        <v>45761</v>
      </c>
      <c r="R671" s="14" t="s">
        <v>1220</v>
      </c>
      <c r="S671" s="14">
        <v>18654</v>
      </c>
      <c r="U671" s="1" t="str">
        <f>TEXT(tblTransactions[[#This Row],[Date]],"YYYY-MM")</f>
        <v>2025-04</v>
      </c>
      <c r="Z671" s="1"/>
    </row>
    <row r="672" spans="15:26" ht="15" customHeight="1" x14ac:dyDescent="0.3">
      <c r="O672" s="14" t="s">
        <v>1388</v>
      </c>
      <c r="P672" s="14" t="s">
        <v>657</v>
      </c>
      <c r="Q672" s="15">
        <v>46041</v>
      </c>
      <c r="R672" s="14" t="s">
        <v>1220</v>
      </c>
      <c r="S672" s="14">
        <v>15815</v>
      </c>
      <c r="U672" s="1" t="str">
        <f>TEXT(tblTransactions[[#This Row],[Date]],"YYYY-MM")</f>
        <v>2026-01</v>
      </c>
      <c r="Z672" s="1"/>
    </row>
    <row r="673" spans="15:26" ht="15" customHeight="1" x14ac:dyDescent="0.3">
      <c r="O673" s="14" t="s">
        <v>1389</v>
      </c>
      <c r="P673" s="14" t="s">
        <v>657</v>
      </c>
      <c r="Q673" s="15">
        <v>46030</v>
      </c>
      <c r="R673" s="14" t="s">
        <v>89</v>
      </c>
      <c r="S673" s="14">
        <v>20552</v>
      </c>
      <c r="U673" s="1" t="str">
        <f>TEXT(tblTransactions[[#This Row],[Date]],"YYYY-MM")</f>
        <v>2026-01</v>
      </c>
      <c r="Z673" s="1"/>
    </row>
    <row r="674" spans="15:26" ht="15" customHeight="1" x14ac:dyDescent="0.3">
      <c r="O674" s="14" t="s">
        <v>1390</v>
      </c>
      <c r="P674" s="14" t="s">
        <v>662</v>
      </c>
      <c r="Q674" s="15">
        <v>45781</v>
      </c>
      <c r="R674" s="14" t="s">
        <v>1220</v>
      </c>
      <c r="S674" s="14">
        <v>13546</v>
      </c>
      <c r="U674" s="1" t="str">
        <f>TEXT(tblTransactions[[#This Row],[Date]],"YYYY-MM")</f>
        <v>2025-05</v>
      </c>
      <c r="Z674" s="1"/>
    </row>
    <row r="675" spans="15:26" ht="15" customHeight="1" x14ac:dyDescent="0.3">
      <c r="O675" s="14" t="s">
        <v>1391</v>
      </c>
      <c r="P675" s="14" t="s">
        <v>662</v>
      </c>
      <c r="Q675" s="15">
        <v>45993</v>
      </c>
      <c r="R675" s="14" t="s">
        <v>135</v>
      </c>
      <c r="S675" s="14">
        <v>13960</v>
      </c>
      <c r="U675" s="1" t="str">
        <f>TEXT(tblTransactions[[#This Row],[Date]],"YYYY-MM")</f>
        <v>2025-12</v>
      </c>
      <c r="Z675" s="1"/>
    </row>
    <row r="676" spans="15:26" ht="15" customHeight="1" x14ac:dyDescent="0.3">
      <c r="O676" s="14" t="s">
        <v>1392</v>
      </c>
      <c r="P676" s="14" t="s">
        <v>666</v>
      </c>
      <c r="Q676" s="15">
        <v>46042</v>
      </c>
      <c r="R676" s="14" t="s">
        <v>110</v>
      </c>
      <c r="S676" s="14">
        <v>4606</v>
      </c>
      <c r="U676" s="1" t="str">
        <f>TEXT(tblTransactions[[#This Row],[Date]],"YYYY-MM")</f>
        <v>2026-01</v>
      </c>
      <c r="Z676" s="1"/>
    </row>
    <row r="677" spans="15:26" ht="15" customHeight="1" x14ac:dyDescent="0.3">
      <c r="O677" s="14" t="s">
        <v>1393</v>
      </c>
      <c r="P677" s="14" t="s">
        <v>666</v>
      </c>
      <c r="Q677" s="15">
        <v>45910</v>
      </c>
      <c r="R677" s="14" t="s">
        <v>117</v>
      </c>
      <c r="S677" s="14">
        <v>2930</v>
      </c>
      <c r="U677" s="1" t="str">
        <f>TEXT(tblTransactions[[#This Row],[Date]],"YYYY-MM")</f>
        <v>2025-09</v>
      </c>
      <c r="Z677" s="1"/>
    </row>
    <row r="678" spans="15:26" ht="15" customHeight="1" x14ac:dyDescent="0.3">
      <c r="O678" s="14" t="s">
        <v>1394</v>
      </c>
      <c r="P678" s="14" t="s">
        <v>666</v>
      </c>
      <c r="Q678" s="15">
        <v>45978</v>
      </c>
      <c r="R678" s="14" t="s">
        <v>81</v>
      </c>
      <c r="S678" s="14">
        <v>22785</v>
      </c>
      <c r="U678" s="1" t="str">
        <f>TEXT(tblTransactions[[#This Row],[Date]],"YYYY-MM")</f>
        <v>2025-11</v>
      </c>
      <c r="Z678" s="1"/>
    </row>
    <row r="679" spans="15:26" ht="15" customHeight="1" x14ac:dyDescent="0.3">
      <c r="O679" s="14" t="s">
        <v>1395</v>
      </c>
      <c r="P679" s="14" t="s">
        <v>666</v>
      </c>
      <c r="Q679" s="15">
        <v>46012</v>
      </c>
      <c r="R679" s="14" t="s">
        <v>1220</v>
      </c>
      <c r="S679" s="14">
        <v>4705</v>
      </c>
      <c r="U679" s="1" t="str">
        <f>TEXT(tblTransactions[[#This Row],[Date]],"YYYY-MM")</f>
        <v>2025-12</v>
      </c>
      <c r="Z679" s="1"/>
    </row>
    <row r="680" spans="15:26" ht="15" customHeight="1" x14ac:dyDescent="0.3">
      <c r="O680" s="14" t="s">
        <v>1396</v>
      </c>
      <c r="P680" s="14" t="s">
        <v>666</v>
      </c>
      <c r="Q680" s="15">
        <v>46030</v>
      </c>
      <c r="R680" s="14" t="s">
        <v>117</v>
      </c>
      <c r="S680" s="14">
        <v>19760</v>
      </c>
      <c r="U680" s="1" t="str">
        <f>TEXT(tblTransactions[[#This Row],[Date]],"YYYY-MM")</f>
        <v>2026-01</v>
      </c>
      <c r="Z680" s="1"/>
    </row>
    <row r="681" spans="15:26" ht="15" customHeight="1" x14ac:dyDescent="0.3">
      <c r="O681" s="14" t="s">
        <v>1397</v>
      </c>
      <c r="P681" s="14" t="s">
        <v>666</v>
      </c>
      <c r="Q681" s="15">
        <v>45841</v>
      </c>
      <c r="R681" s="14" t="s">
        <v>89</v>
      </c>
      <c r="S681" s="14">
        <v>14676</v>
      </c>
      <c r="U681" s="1" t="str">
        <f>TEXT(tblTransactions[[#This Row],[Date]],"YYYY-MM")</f>
        <v>2025-07</v>
      </c>
      <c r="Z681" s="1"/>
    </row>
    <row r="682" spans="15:26" ht="15" customHeight="1" x14ac:dyDescent="0.3">
      <c r="O682" s="14" t="s">
        <v>1398</v>
      </c>
      <c r="P682" s="14" t="s">
        <v>666</v>
      </c>
      <c r="Q682" s="15">
        <v>46005</v>
      </c>
      <c r="R682" s="14" t="s">
        <v>110</v>
      </c>
      <c r="S682" s="14">
        <v>4568</v>
      </c>
      <c r="U682" s="1" t="str">
        <f>TEXT(tblTransactions[[#This Row],[Date]],"YYYY-MM")</f>
        <v>2025-12</v>
      </c>
      <c r="Z682" s="1"/>
    </row>
    <row r="683" spans="15:26" ht="15" customHeight="1" x14ac:dyDescent="0.3">
      <c r="O683" s="14" t="s">
        <v>1399</v>
      </c>
      <c r="P683" s="14" t="s">
        <v>670</v>
      </c>
      <c r="Q683" s="15">
        <v>45826</v>
      </c>
      <c r="R683" s="14" t="s">
        <v>1220</v>
      </c>
      <c r="S683" s="14">
        <v>5895</v>
      </c>
      <c r="U683" s="1" t="str">
        <f>TEXT(tblTransactions[[#This Row],[Date]],"YYYY-MM")</f>
        <v>2025-06</v>
      </c>
      <c r="Z683" s="1"/>
    </row>
    <row r="684" spans="15:26" ht="15" customHeight="1" x14ac:dyDescent="0.3">
      <c r="O684" s="14" t="s">
        <v>1400</v>
      </c>
      <c r="P684" s="14" t="s">
        <v>670</v>
      </c>
      <c r="Q684" s="15">
        <v>45830</v>
      </c>
      <c r="R684" s="14" t="s">
        <v>1220</v>
      </c>
      <c r="S684" s="14">
        <v>23743</v>
      </c>
      <c r="U684" s="1" t="str">
        <f>TEXT(tblTransactions[[#This Row],[Date]],"YYYY-MM")</f>
        <v>2025-06</v>
      </c>
      <c r="Z684" s="1"/>
    </row>
    <row r="685" spans="15:26" ht="15" customHeight="1" x14ac:dyDescent="0.3">
      <c r="O685" s="14" t="s">
        <v>1401</v>
      </c>
      <c r="P685" s="14" t="s">
        <v>670</v>
      </c>
      <c r="Q685" s="15">
        <v>45863</v>
      </c>
      <c r="R685" s="14" t="s">
        <v>1220</v>
      </c>
      <c r="S685" s="14">
        <v>17503</v>
      </c>
      <c r="U685" s="1" t="str">
        <f>TEXT(tblTransactions[[#This Row],[Date]],"YYYY-MM")</f>
        <v>2025-07</v>
      </c>
      <c r="Z685" s="1"/>
    </row>
    <row r="686" spans="15:26" ht="15" customHeight="1" x14ac:dyDescent="0.3">
      <c r="O686" s="14" t="s">
        <v>1402</v>
      </c>
      <c r="P686" s="14" t="s">
        <v>670</v>
      </c>
      <c r="Q686" s="15">
        <v>45893</v>
      </c>
      <c r="R686" s="14" t="s">
        <v>110</v>
      </c>
      <c r="S686" s="14">
        <v>8711</v>
      </c>
      <c r="U686" s="1" t="str">
        <f>TEXT(tblTransactions[[#This Row],[Date]],"YYYY-MM")</f>
        <v>2025-08</v>
      </c>
      <c r="Z686" s="1"/>
    </row>
    <row r="687" spans="15:26" ht="15" customHeight="1" x14ac:dyDescent="0.3">
      <c r="O687" s="14" t="s">
        <v>1403</v>
      </c>
      <c r="P687" s="14" t="s">
        <v>670</v>
      </c>
      <c r="Q687" s="15">
        <v>45848</v>
      </c>
      <c r="R687" s="14" t="s">
        <v>117</v>
      </c>
      <c r="S687" s="14">
        <v>18549</v>
      </c>
      <c r="U687" s="1" t="str">
        <f>TEXT(tblTransactions[[#This Row],[Date]],"YYYY-MM")</f>
        <v>2025-07</v>
      </c>
      <c r="Z687" s="1"/>
    </row>
    <row r="688" spans="15:26" ht="15" customHeight="1" x14ac:dyDescent="0.3">
      <c r="O688" s="14" t="s">
        <v>1404</v>
      </c>
      <c r="P688" s="14" t="s">
        <v>670</v>
      </c>
      <c r="Q688" s="15">
        <v>45888</v>
      </c>
      <c r="R688" s="14" t="s">
        <v>89</v>
      </c>
      <c r="S688" s="14">
        <v>20980</v>
      </c>
      <c r="U688" s="1" t="str">
        <f>TEXT(tblTransactions[[#This Row],[Date]],"YYYY-MM")</f>
        <v>2025-08</v>
      </c>
      <c r="Z688" s="1"/>
    </row>
    <row r="689" spans="15:26" ht="15" customHeight="1" x14ac:dyDescent="0.3">
      <c r="O689" s="14" t="s">
        <v>1405</v>
      </c>
      <c r="P689" s="14" t="s">
        <v>670</v>
      </c>
      <c r="Q689" s="15">
        <v>45903</v>
      </c>
      <c r="R689" s="14" t="s">
        <v>135</v>
      </c>
      <c r="S689" s="14">
        <v>17981</v>
      </c>
      <c r="U689" s="1" t="str">
        <f>TEXT(tblTransactions[[#This Row],[Date]],"YYYY-MM")</f>
        <v>2025-09</v>
      </c>
      <c r="Z689" s="1"/>
    </row>
    <row r="690" spans="15:26" ht="15" customHeight="1" x14ac:dyDescent="0.3">
      <c r="O690" s="14" t="s">
        <v>1406</v>
      </c>
      <c r="P690" s="14" t="s">
        <v>670</v>
      </c>
      <c r="Q690" s="15">
        <v>45795</v>
      </c>
      <c r="R690" s="14" t="s">
        <v>135</v>
      </c>
      <c r="S690" s="14">
        <v>21503</v>
      </c>
      <c r="U690" s="1" t="str">
        <f>TEXT(tblTransactions[[#This Row],[Date]],"YYYY-MM")</f>
        <v>2025-05</v>
      </c>
      <c r="Z690" s="1"/>
    </row>
    <row r="691" spans="15:26" ht="15" customHeight="1" x14ac:dyDescent="0.3">
      <c r="O691" s="14" t="s">
        <v>1407</v>
      </c>
      <c r="P691" s="14" t="s">
        <v>670</v>
      </c>
      <c r="Q691" s="15">
        <v>45834</v>
      </c>
      <c r="R691" s="14" t="s">
        <v>135</v>
      </c>
      <c r="S691" s="14">
        <v>19526</v>
      </c>
      <c r="U691" s="1" t="str">
        <f>TEXT(tblTransactions[[#This Row],[Date]],"YYYY-MM")</f>
        <v>2025-06</v>
      </c>
      <c r="Z691" s="1"/>
    </row>
    <row r="692" spans="15:26" ht="15" customHeight="1" x14ac:dyDescent="0.3">
      <c r="O692" s="14" t="s">
        <v>1408</v>
      </c>
      <c r="P692" s="14" t="s">
        <v>674</v>
      </c>
      <c r="Q692" s="15">
        <v>45835</v>
      </c>
      <c r="R692" s="14" t="s">
        <v>117</v>
      </c>
      <c r="S692" s="14">
        <v>20962</v>
      </c>
      <c r="U692" s="1" t="str">
        <f>TEXT(tblTransactions[[#This Row],[Date]],"YYYY-MM")</f>
        <v>2025-06</v>
      </c>
      <c r="Z692" s="1"/>
    </row>
    <row r="693" spans="15:26" ht="15" customHeight="1" x14ac:dyDescent="0.3">
      <c r="O693" s="14" t="s">
        <v>1409</v>
      </c>
      <c r="P693" s="14" t="s">
        <v>674</v>
      </c>
      <c r="Q693" s="15">
        <v>46057</v>
      </c>
      <c r="R693" s="14" t="s">
        <v>1220</v>
      </c>
      <c r="S693" s="14">
        <v>18968</v>
      </c>
      <c r="U693" s="1" t="str">
        <f>TEXT(tblTransactions[[#This Row],[Date]],"YYYY-MM")</f>
        <v>2026-02</v>
      </c>
      <c r="Z693" s="1"/>
    </row>
    <row r="694" spans="15:26" ht="15" customHeight="1" x14ac:dyDescent="0.3">
      <c r="O694" s="14" t="s">
        <v>1410</v>
      </c>
      <c r="P694" s="14" t="s">
        <v>674</v>
      </c>
      <c r="Q694" s="15">
        <v>45769</v>
      </c>
      <c r="R694" s="14" t="s">
        <v>110</v>
      </c>
      <c r="S694" s="14">
        <v>3161</v>
      </c>
      <c r="U694" s="1" t="str">
        <f>TEXT(tblTransactions[[#This Row],[Date]],"YYYY-MM")</f>
        <v>2025-04</v>
      </c>
      <c r="Z694" s="1"/>
    </row>
    <row r="695" spans="15:26" ht="15" customHeight="1" x14ac:dyDescent="0.3">
      <c r="O695" s="14" t="s">
        <v>1411</v>
      </c>
      <c r="P695" s="14" t="s">
        <v>678</v>
      </c>
      <c r="Q695" s="15">
        <v>46076</v>
      </c>
      <c r="R695" s="14" t="s">
        <v>135</v>
      </c>
      <c r="S695" s="14">
        <v>9172</v>
      </c>
      <c r="U695" s="1" t="str">
        <f>TEXT(tblTransactions[[#This Row],[Date]],"YYYY-MM")</f>
        <v>2026-02</v>
      </c>
      <c r="Z695" s="1"/>
    </row>
    <row r="696" spans="15:26" ht="15" customHeight="1" x14ac:dyDescent="0.3">
      <c r="O696" s="14" t="s">
        <v>1412</v>
      </c>
      <c r="P696" s="14" t="s">
        <v>682</v>
      </c>
      <c r="Q696" s="15">
        <v>46040</v>
      </c>
      <c r="R696" s="14" t="s">
        <v>81</v>
      </c>
      <c r="S696" s="14">
        <v>20754</v>
      </c>
      <c r="U696" s="1" t="str">
        <f>TEXT(tblTransactions[[#This Row],[Date]],"YYYY-MM")</f>
        <v>2026-01</v>
      </c>
      <c r="Z696" s="1"/>
    </row>
    <row r="697" spans="15:26" ht="15" customHeight="1" x14ac:dyDescent="0.3">
      <c r="O697" s="14" t="s">
        <v>1413</v>
      </c>
      <c r="P697" s="14" t="s">
        <v>682</v>
      </c>
      <c r="Q697" s="15">
        <v>46075</v>
      </c>
      <c r="R697" s="14" t="s">
        <v>110</v>
      </c>
      <c r="S697" s="14">
        <v>16819</v>
      </c>
      <c r="U697" s="1" t="str">
        <f>TEXT(tblTransactions[[#This Row],[Date]],"YYYY-MM")</f>
        <v>2026-02</v>
      </c>
      <c r="Z697" s="1"/>
    </row>
    <row r="698" spans="15:26" ht="15" customHeight="1" x14ac:dyDescent="0.3">
      <c r="O698" s="14" t="s">
        <v>1414</v>
      </c>
      <c r="P698" s="14" t="s">
        <v>682</v>
      </c>
      <c r="Q698" s="15">
        <v>46069</v>
      </c>
      <c r="R698" s="14" t="s">
        <v>135</v>
      </c>
      <c r="S698" s="14">
        <v>9991</v>
      </c>
      <c r="U698" s="1" t="str">
        <f>TEXT(tblTransactions[[#This Row],[Date]],"YYYY-MM")</f>
        <v>2026-02</v>
      </c>
      <c r="Z698" s="1"/>
    </row>
    <row r="699" spans="15:26" ht="15" customHeight="1" x14ac:dyDescent="0.3">
      <c r="O699" s="14" t="s">
        <v>1415</v>
      </c>
      <c r="P699" s="14" t="s">
        <v>682</v>
      </c>
      <c r="Q699" s="15">
        <v>46076</v>
      </c>
      <c r="R699" s="14" t="s">
        <v>1220</v>
      </c>
      <c r="S699" s="14">
        <v>16325</v>
      </c>
      <c r="U699" s="1" t="str">
        <f>TEXT(tblTransactions[[#This Row],[Date]],"YYYY-MM")</f>
        <v>2026-02</v>
      </c>
      <c r="Z699" s="1"/>
    </row>
    <row r="700" spans="15:26" ht="15" customHeight="1" x14ac:dyDescent="0.3">
      <c r="O700" s="14" t="s">
        <v>1416</v>
      </c>
      <c r="P700" s="14" t="s">
        <v>686</v>
      </c>
      <c r="Q700" s="15">
        <v>46098</v>
      </c>
      <c r="R700" s="14" t="s">
        <v>81</v>
      </c>
      <c r="S700" s="14">
        <v>10246</v>
      </c>
      <c r="U700" s="1" t="str">
        <f>TEXT(tblTransactions[[#This Row],[Date]],"YYYY-MM")</f>
        <v>2026-03</v>
      </c>
      <c r="Z700" s="1"/>
    </row>
    <row r="701" spans="15:26" ht="15" customHeight="1" x14ac:dyDescent="0.3">
      <c r="O701" s="14" t="s">
        <v>1417</v>
      </c>
      <c r="P701" s="14" t="s">
        <v>686</v>
      </c>
      <c r="Q701" s="15">
        <v>45980</v>
      </c>
      <c r="R701" s="14" t="s">
        <v>110</v>
      </c>
      <c r="S701" s="14">
        <v>23064</v>
      </c>
      <c r="U701" s="1" t="str">
        <f>TEXT(tblTransactions[[#This Row],[Date]],"YYYY-MM")</f>
        <v>2025-11</v>
      </c>
      <c r="Z701" s="1"/>
    </row>
    <row r="702" spans="15:26" ht="15" customHeight="1" x14ac:dyDescent="0.3">
      <c r="O702" s="14" t="s">
        <v>1418</v>
      </c>
      <c r="P702" s="14" t="s">
        <v>686</v>
      </c>
      <c r="Q702" s="15">
        <v>45778</v>
      </c>
      <c r="R702" s="14" t="s">
        <v>89</v>
      </c>
      <c r="S702" s="14">
        <v>14904</v>
      </c>
      <c r="U702" s="1" t="str">
        <f>TEXT(tblTransactions[[#This Row],[Date]],"YYYY-MM")</f>
        <v>2025-05</v>
      </c>
      <c r="Z702" s="1"/>
    </row>
    <row r="703" spans="15:26" ht="15" customHeight="1" x14ac:dyDescent="0.3">
      <c r="O703" s="14" t="s">
        <v>1419</v>
      </c>
      <c r="P703" s="14" t="s">
        <v>686</v>
      </c>
      <c r="Q703" s="15">
        <v>45960</v>
      </c>
      <c r="R703" s="14" t="s">
        <v>81</v>
      </c>
      <c r="S703" s="14">
        <v>15718</v>
      </c>
      <c r="U703" s="1" t="str">
        <f>TEXT(tblTransactions[[#This Row],[Date]],"YYYY-MM")</f>
        <v>2025-10</v>
      </c>
      <c r="Z703" s="1"/>
    </row>
    <row r="704" spans="15:26" ht="15" customHeight="1" x14ac:dyDescent="0.3">
      <c r="O704" s="14" t="s">
        <v>1420</v>
      </c>
      <c r="P704" s="14" t="s">
        <v>690</v>
      </c>
      <c r="Q704" s="15">
        <v>45922</v>
      </c>
      <c r="R704" s="14" t="s">
        <v>135</v>
      </c>
      <c r="S704" s="14">
        <v>5207</v>
      </c>
      <c r="U704" s="1" t="str">
        <f>TEXT(tblTransactions[[#This Row],[Date]],"YYYY-MM")</f>
        <v>2025-09</v>
      </c>
      <c r="Z704" s="1"/>
    </row>
    <row r="705" spans="15:26" ht="15" customHeight="1" x14ac:dyDescent="0.3">
      <c r="O705" s="14" t="s">
        <v>1421</v>
      </c>
      <c r="P705" s="14" t="s">
        <v>690</v>
      </c>
      <c r="Q705" s="15">
        <v>45908</v>
      </c>
      <c r="R705" s="14" t="s">
        <v>117</v>
      </c>
      <c r="S705" s="14">
        <v>10963</v>
      </c>
      <c r="U705" s="1" t="str">
        <f>TEXT(tblTransactions[[#This Row],[Date]],"YYYY-MM")</f>
        <v>2025-09</v>
      </c>
      <c r="Z705" s="1"/>
    </row>
    <row r="706" spans="15:26" ht="15" customHeight="1" x14ac:dyDescent="0.3">
      <c r="O706" s="14" t="s">
        <v>1422</v>
      </c>
      <c r="P706" s="14" t="s">
        <v>690</v>
      </c>
      <c r="Q706" s="15">
        <v>45924</v>
      </c>
      <c r="R706" s="14" t="s">
        <v>81</v>
      </c>
      <c r="S706" s="14">
        <v>4784</v>
      </c>
      <c r="U706" s="1" t="str">
        <f>TEXT(tblTransactions[[#This Row],[Date]],"YYYY-MM")</f>
        <v>2025-09</v>
      </c>
      <c r="Z706" s="1"/>
    </row>
    <row r="707" spans="15:26" ht="15" customHeight="1" x14ac:dyDescent="0.3">
      <c r="O707" s="14" t="s">
        <v>1423</v>
      </c>
      <c r="P707" s="14" t="s">
        <v>690</v>
      </c>
      <c r="Q707" s="15">
        <v>45937</v>
      </c>
      <c r="R707" s="14" t="s">
        <v>135</v>
      </c>
      <c r="S707" s="14">
        <v>18904</v>
      </c>
      <c r="U707" s="1" t="str">
        <f>TEXT(tblTransactions[[#This Row],[Date]],"YYYY-MM")</f>
        <v>2025-10</v>
      </c>
      <c r="Z707" s="1"/>
    </row>
    <row r="708" spans="15:26" ht="15" customHeight="1" x14ac:dyDescent="0.3">
      <c r="O708" s="14" t="s">
        <v>1424</v>
      </c>
      <c r="P708" s="14" t="s">
        <v>694</v>
      </c>
      <c r="Q708" s="15">
        <v>45911</v>
      </c>
      <c r="R708" s="14" t="s">
        <v>89</v>
      </c>
      <c r="S708" s="14">
        <v>15785</v>
      </c>
      <c r="U708" s="1" t="str">
        <f>TEXT(tblTransactions[[#This Row],[Date]],"YYYY-MM")</f>
        <v>2025-09</v>
      </c>
      <c r="Z708" s="1"/>
    </row>
    <row r="709" spans="15:26" ht="15" customHeight="1" x14ac:dyDescent="0.3">
      <c r="O709" s="14" t="s">
        <v>1425</v>
      </c>
      <c r="P709" s="14" t="s">
        <v>694</v>
      </c>
      <c r="Q709" s="15">
        <v>45810</v>
      </c>
      <c r="R709" s="14" t="s">
        <v>1220</v>
      </c>
      <c r="S709" s="14">
        <v>15232</v>
      </c>
      <c r="U709" s="1" t="str">
        <f>TEXT(tblTransactions[[#This Row],[Date]],"YYYY-MM")</f>
        <v>2025-06</v>
      </c>
      <c r="Z709" s="1"/>
    </row>
    <row r="710" spans="15:26" ht="15" customHeight="1" x14ac:dyDescent="0.3">
      <c r="O710" s="14" t="s">
        <v>1426</v>
      </c>
      <c r="P710" s="14" t="s">
        <v>698</v>
      </c>
      <c r="Q710" s="15">
        <v>45820</v>
      </c>
      <c r="R710" s="14" t="s">
        <v>110</v>
      </c>
      <c r="S710" s="14">
        <v>2158</v>
      </c>
      <c r="U710" s="1" t="str">
        <f>TEXT(tblTransactions[[#This Row],[Date]],"YYYY-MM")</f>
        <v>2025-06</v>
      </c>
      <c r="Z710" s="1"/>
    </row>
    <row r="711" spans="15:26" ht="15" customHeight="1" x14ac:dyDescent="0.3">
      <c r="O711" s="14" t="s">
        <v>1427</v>
      </c>
      <c r="P711" s="14" t="s">
        <v>698</v>
      </c>
      <c r="Q711" s="15">
        <v>45896</v>
      </c>
      <c r="R711" s="14" t="s">
        <v>81</v>
      </c>
      <c r="S711" s="14">
        <v>20664</v>
      </c>
      <c r="U711" s="1" t="str">
        <f>TEXT(tblTransactions[[#This Row],[Date]],"YYYY-MM")</f>
        <v>2025-08</v>
      </c>
      <c r="Z711" s="1"/>
    </row>
    <row r="712" spans="15:26" ht="15" customHeight="1" x14ac:dyDescent="0.3">
      <c r="O712" s="14" t="s">
        <v>1428</v>
      </c>
      <c r="P712" s="14" t="s">
        <v>698</v>
      </c>
      <c r="Q712" s="15">
        <v>45962</v>
      </c>
      <c r="R712" s="14" t="s">
        <v>89</v>
      </c>
      <c r="S712" s="14">
        <v>5733</v>
      </c>
      <c r="U712" s="1" t="str">
        <f>TEXT(tblTransactions[[#This Row],[Date]],"YYYY-MM")</f>
        <v>2025-11</v>
      </c>
      <c r="Z712" s="1"/>
    </row>
    <row r="713" spans="15:26" ht="15" customHeight="1" x14ac:dyDescent="0.3">
      <c r="O713" s="14" t="s">
        <v>1429</v>
      </c>
      <c r="P713" s="14" t="s">
        <v>698</v>
      </c>
      <c r="Q713" s="15">
        <v>45915</v>
      </c>
      <c r="R713" s="14" t="s">
        <v>135</v>
      </c>
      <c r="S713" s="14">
        <v>24129</v>
      </c>
      <c r="U713" s="1" t="str">
        <f>TEXT(tblTransactions[[#This Row],[Date]],"YYYY-MM")</f>
        <v>2025-09</v>
      </c>
      <c r="Z713" s="1"/>
    </row>
    <row r="714" spans="15:26" ht="15" customHeight="1" x14ac:dyDescent="0.3">
      <c r="O714" s="14" t="s">
        <v>1430</v>
      </c>
      <c r="P714" s="14" t="s">
        <v>702</v>
      </c>
      <c r="Q714" s="15">
        <v>45845</v>
      </c>
      <c r="R714" s="14" t="s">
        <v>89</v>
      </c>
      <c r="S714" s="14">
        <v>16827</v>
      </c>
      <c r="U714" s="1" t="str">
        <f>TEXT(tblTransactions[[#This Row],[Date]],"YYYY-MM")</f>
        <v>2025-07</v>
      </c>
      <c r="Z714" s="1"/>
    </row>
    <row r="715" spans="15:26" ht="15" customHeight="1" x14ac:dyDescent="0.3">
      <c r="O715" s="14" t="s">
        <v>1431</v>
      </c>
      <c r="P715" s="14" t="s">
        <v>702</v>
      </c>
      <c r="Q715" s="15">
        <v>46011</v>
      </c>
      <c r="R715" s="14" t="s">
        <v>81</v>
      </c>
      <c r="S715" s="14">
        <v>16843</v>
      </c>
      <c r="U715" s="1" t="str">
        <f>TEXT(tblTransactions[[#This Row],[Date]],"YYYY-MM")</f>
        <v>2025-12</v>
      </c>
      <c r="Z715" s="1"/>
    </row>
    <row r="716" spans="15:26" ht="15" customHeight="1" x14ac:dyDescent="0.3">
      <c r="O716" s="14" t="s">
        <v>1432</v>
      </c>
      <c r="P716" s="14" t="s">
        <v>702</v>
      </c>
      <c r="Q716" s="15">
        <v>45905</v>
      </c>
      <c r="R716" s="14" t="s">
        <v>81</v>
      </c>
      <c r="S716" s="14">
        <v>1259</v>
      </c>
      <c r="U716" s="1" t="str">
        <f>TEXT(tblTransactions[[#This Row],[Date]],"YYYY-MM")</f>
        <v>2025-09</v>
      </c>
      <c r="Z716" s="1"/>
    </row>
    <row r="717" spans="15:26" ht="15" customHeight="1" x14ac:dyDescent="0.3">
      <c r="O717" s="14" t="s">
        <v>1433</v>
      </c>
      <c r="P717" s="14" t="s">
        <v>702</v>
      </c>
      <c r="Q717" s="15">
        <v>45794</v>
      </c>
      <c r="R717" s="14" t="s">
        <v>81</v>
      </c>
      <c r="S717" s="14">
        <v>17062</v>
      </c>
      <c r="U717" s="1" t="str">
        <f>TEXT(tblTransactions[[#This Row],[Date]],"YYYY-MM")</f>
        <v>2025-05</v>
      </c>
      <c r="Z717" s="1"/>
    </row>
    <row r="718" spans="15:26" ht="15" customHeight="1" x14ac:dyDescent="0.3">
      <c r="O718" s="14" t="s">
        <v>1434</v>
      </c>
      <c r="P718" s="14" t="s">
        <v>702</v>
      </c>
      <c r="Q718" s="15">
        <v>45982</v>
      </c>
      <c r="R718" s="14" t="s">
        <v>89</v>
      </c>
      <c r="S718" s="14">
        <v>7549</v>
      </c>
      <c r="U718" s="1" t="str">
        <f>TEXT(tblTransactions[[#This Row],[Date]],"YYYY-MM")</f>
        <v>2025-11</v>
      </c>
      <c r="Z718" s="1"/>
    </row>
    <row r="719" spans="15:26" ht="15" customHeight="1" x14ac:dyDescent="0.3">
      <c r="O719" s="14" t="s">
        <v>1435</v>
      </c>
      <c r="P719" s="14" t="s">
        <v>702</v>
      </c>
      <c r="Q719" s="15">
        <v>46046</v>
      </c>
      <c r="R719" s="14" t="s">
        <v>1220</v>
      </c>
      <c r="S719" s="14">
        <v>2094</v>
      </c>
      <c r="U719" s="1" t="str">
        <f>TEXT(tblTransactions[[#This Row],[Date]],"YYYY-MM")</f>
        <v>2026-01</v>
      </c>
      <c r="Z719" s="1"/>
    </row>
    <row r="720" spans="15:26" ht="15" customHeight="1" x14ac:dyDescent="0.3">
      <c r="O720" s="14" t="s">
        <v>1436</v>
      </c>
      <c r="P720" s="14" t="s">
        <v>706</v>
      </c>
      <c r="Q720" s="15">
        <v>45892</v>
      </c>
      <c r="R720" s="14" t="s">
        <v>81</v>
      </c>
      <c r="S720" s="14">
        <v>20079</v>
      </c>
      <c r="U720" s="1" t="str">
        <f>TEXT(tblTransactions[[#This Row],[Date]],"YYYY-MM")</f>
        <v>2025-08</v>
      </c>
      <c r="Z720" s="1"/>
    </row>
    <row r="721" spans="15:26" ht="15" customHeight="1" x14ac:dyDescent="0.3">
      <c r="O721" s="14" t="s">
        <v>1437</v>
      </c>
      <c r="P721" s="14" t="s">
        <v>710</v>
      </c>
      <c r="Q721" s="15">
        <v>45894</v>
      </c>
      <c r="R721" s="14" t="s">
        <v>135</v>
      </c>
      <c r="S721" s="14">
        <v>767</v>
      </c>
      <c r="U721" s="1" t="str">
        <f>TEXT(tblTransactions[[#This Row],[Date]],"YYYY-MM")</f>
        <v>2025-08</v>
      </c>
      <c r="Z721" s="1"/>
    </row>
    <row r="722" spans="15:26" ht="15" customHeight="1" x14ac:dyDescent="0.3">
      <c r="O722" s="14" t="s">
        <v>1438</v>
      </c>
      <c r="P722" s="14" t="s">
        <v>710</v>
      </c>
      <c r="Q722" s="15">
        <v>45803</v>
      </c>
      <c r="R722" s="14" t="s">
        <v>81</v>
      </c>
      <c r="S722" s="14">
        <v>4888</v>
      </c>
      <c r="U722" s="1" t="str">
        <f>TEXT(tblTransactions[[#This Row],[Date]],"YYYY-MM")</f>
        <v>2025-05</v>
      </c>
      <c r="Z722" s="1"/>
    </row>
    <row r="723" spans="15:26" ht="15" customHeight="1" x14ac:dyDescent="0.3">
      <c r="O723" s="14" t="s">
        <v>1439</v>
      </c>
      <c r="P723" s="14" t="s">
        <v>710</v>
      </c>
      <c r="Q723" s="15">
        <v>45883</v>
      </c>
      <c r="R723" s="14" t="s">
        <v>117</v>
      </c>
      <c r="S723" s="14">
        <v>12485</v>
      </c>
      <c r="U723" s="1" t="str">
        <f>TEXT(tblTransactions[[#This Row],[Date]],"YYYY-MM")</f>
        <v>2025-08</v>
      </c>
      <c r="Z723" s="1"/>
    </row>
    <row r="724" spans="15:26" ht="15" customHeight="1" x14ac:dyDescent="0.3">
      <c r="O724" s="14" t="s">
        <v>1440</v>
      </c>
      <c r="P724" s="14" t="s">
        <v>710</v>
      </c>
      <c r="Q724" s="15">
        <v>45954</v>
      </c>
      <c r="R724" s="14" t="s">
        <v>1220</v>
      </c>
      <c r="S724" s="14">
        <v>1982</v>
      </c>
      <c r="U724" s="1" t="str">
        <f>TEXT(tblTransactions[[#This Row],[Date]],"YYYY-MM")</f>
        <v>2025-10</v>
      </c>
      <c r="Z724" s="1"/>
    </row>
    <row r="725" spans="15:26" ht="15" customHeight="1" x14ac:dyDescent="0.3">
      <c r="O725" s="14" t="s">
        <v>1441</v>
      </c>
      <c r="P725" s="14" t="s">
        <v>710</v>
      </c>
      <c r="Q725" s="15">
        <v>45953</v>
      </c>
      <c r="R725" s="14" t="s">
        <v>110</v>
      </c>
      <c r="S725" s="14">
        <v>19186</v>
      </c>
      <c r="U725" s="1" t="str">
        <f>TEXT(tblTransactions[[#This Row],[Date]],"YYYY-MM")</f>
        <v>2025-10</v>
      </c>
      <c r="Z725" s="1"/>
    </row>
    <row r="726" spans="15:26" ht="15" customHeight="1" x14ac:dyDescent="0.3">
      <c r="O726" s="14" t="s">
        <v>1442</v>
      </c>
      <c r="P726" s="14" t="s">
        <v>710</v>
      </c>
      <c r="Q726" s="15">
        <v>46035</v>
      </c>
      <c r="R726" s="14" t="s">
        <v>89</v>
      </c>
      <c r="S726" s="14">
        <v>12379</v>
      </c>
      <c r="U726" s="1" t="str">
        <f>TEXT(tblTransactions[[#This Row],[Date]],"YYYY-MM")</f>
        <v>2026-01</v>
      </c>
      <c r="Z726" s="1"/>
    </row>
    <row r="727" spans="15:26" ht="15" customHeight="1" x14ac:dyDescent="0.3">
      <c r="O727" s="14" t="s">
        <v>1443</v>
      </c>
      <c r="P727" s="14" t="s">
        <v>710</v>
      </c>
      <c r="Q727" s="15">
        <v>46031</v>
      </c>
      <c r="R727" s="14" t="s">
        <v>1220</v>
      </c>
      <c r="S727" s="14">
        <v>2909</v>
      </c>
      <c r="U727" s="1" t="str">
        <f>TEXT(tblTransactions[[#This Row],[Date]],"YYYY-MM")</f>
        <v>2026-01</v>
      </c>
      <c r="Z727" s="1"/>
    </row>
    <row r="728" spans="15:26" ht="15" customHeight="1" x14ac:dyDescent="0.3">
      <c r="O728" s="14" t="s">
        <v>1444</v>
      </c>
      <c r="P728" s="14" t="s">
        <v>710</v>
      </c>
      <c r="Q728" s="15">
        <v>45945</v>
      </c>
      <c r="R728" s="14" t="s">
        <v>135</v>
      </c>
      <c r="S728" s="14">
        <v>15257</v>
      </c>
      <c r="U728" s="1" t="str">
        <f>TEXT(tblTransactions[[#This Row],[Date]],"YYYY-MM")</f>
        <v>2025-10</v>
      </c>
      <c r="Z728" s="1"/>
    </row>
    <row r="729" spans="15:26" ht="15" customHeight="1" x14ac:dyDescent="0.3">
      <c r="O729" s="14" t="s">
        <v>1445</v>
      </c>
      <c r="P729" s="14" t="s">
        <v>714</v>
      </c>
      <c r="Q729" s="15">
        <v>45891</v>
      </c>
      <c r="R729" s="14" t="s">
        <v>135</v>
      </c>
      <c r="S729" s="14">
        <v>22795</v>
      </c>
      <c r="U729" s="1" t="str">
        <f>TEXT(tblTransactions[[#This Row],[Date]],"YYYY-MM")</f>
        <v>2025-08</v>
      </c>
      <c r="Z729" s="1"/>
    </row>
    <row r="730" spans="15:26" ht="15" customHeight="1" x14ac:dyDescent="0.3">
      <c r="O730" s="14" t="s">
        <v>1446</v>
      </c>
      <c r="P730" s="14" t="s">
        <v>714</v>
      </c>
      <c r="Q730" s="15">
        <v>46060</v>
      </c>
      <c r="R730" s="14" t="s">
        <v>110</v>
      </c>
      <c r="S730" s="14">
        <v>4716</v>
      </c>
      <c r="U730" s="1" t="str">
        <f>TEXT(tblTransactions[[#This Row],[Date]],"YYYY-MM")</f>
        <v>2026-02</v>
      </c>
      <c r="Z730" s="1"/>
    </row>
    <row r="731" spans="15:26" ht="15" customHeight="1" x14ac:dyDescent="0.3">
      <c r="O731" s="14" t="s">
        <v>1447</v>
      </c>
      <c r="P731" s="14" t="s">
        <v>714</v>
      </c>
      <c r="Q731" s="15">
        <v>45797</v>
      </c>
      <c r="R731" s="14" t="s">
        <v>81</v>
      </c>
      <c r="S731" s="14">
        <v>12728</v>
      </c>
      <c r="U731" s="1" t="str">
        <f>TEXT(tblTransactions[[#This Row],[Date]],"YYYY-MM")</f>
        <v>2025-05</v>
      </c>
      <c r="Z731" s="1"/>
    </row>
    <row r="732" spans="15:26" ht="15" customHeight="1" x14ac:dyDescent="0.3">
      <c r="O732" s="14" t="s">
        <v>1448</v>
      </c>
      <c r="P732" s="14" t="s">
        <v>714</v>
      </c>
      <c r="Q732" s="15">
        <v>45921</v>
      </c>
      <c r="R732" s="14" t="s">
        <v>135</v>
      </c>
      <c r="S732" s="14">
        <v>12480</v>
      </c>
      <c r="U732" s="1" t="str">
        <f>TEXT(tblTransactions[[#This Row],[Date]],"YYYY-MM")</f>
        <v>2025-09</v>
      </c>
      <c r="Z732" s="1"/>
    </row>
    <row r="733" spans="15:26" ht="15" customHeight="1" x14ac:dyDescent="0.3">
      <c r="O733" s="14" t="s">
        <v>1449</v>
      </c>
      <c r="P733" s="14" t="s">
        <v>714</v>
      </c>
      <c r="Q733" s="15">
        <v>45821</v>
      </c>
      <c r="R733" s="14" t="s">
        <v>89</v>
      </c>
      <c r="S733" s="14">
        <v>20241</v>
      </c>
      <c r="U733" s="1" t="str">
        <f>TEXT(tblTransactions[[#This Row],[Date]],"YYYY-MM")</f>
        <v>2025-06</v>
      </c>
      <c r="Z733" s="1"/>
    </row>
    <row r="734" spans="15:26" ht="15" customHeight="1" x14ac:dyDescent="0.3">
      <c r="O734" s="14" t="s">
        <v>1450</v>
      </c>
      <c r="P734" s="14" t="s">
        <v>714</v>
      </c>
      <c r="Q734" s="15">
        <v>46008</v>
      </c>
      <c r="R734" s="14" t="s">
        <v>81</v>
      </c>
      <c r="S734" s="14">
        <v>16886</v>
      </c>
      <c r="U734" s="1" t="str">
        <f>TEXT(tblTransactions[[#This Row],[Date]],"YYYY-MM")</f>
        <v>2025-12</v>
      </c>
      <c r="Z734" s="1"/>
    </row>
    <row r="735" spans="15:26" ht="15" customHeight="1" x14ac:dyDescent="0.3">
      <c r="O735" s="14" t="s">
        <v>1451</v>
      </c>
      <c r="P735" s="14" t="s">
        <v>714</v>
      </c>
      <c r="Q735" s="15">
        <v>45768</v>
      </c>
      <c r="R735" s="14" t="s">
        <v>110</v>
      </c>
      <c r="S735" s="14">
        <v>1775</v>
      </c>
      <c r="U735" s="1" t="str">
        <f>TEXT(tblTransactions[[#This Row],[Date]],"YYYY-MM")</f>
        <v>2025-04</v>
      </c>
      <c r="Z735" s="1"/>
    </row>
    <row r="736" spans="15:26" ht="15" customHeight="1" x14ac:dyDescent="0.3">
      <c r="O736" s="14" t="s">
        <v>1452</v>
      </c>
      <c r="P736" s="14" t="s">
        <v>714</v>
      </c>
      <c r="Q736" s="15">
        <v>45818</v>
      </c>
      <c r="R736" s="14" t="s">
        <v>117</v>
      </c>
      <c r="S736" s="14">
        <v>11413</v>
      </c>
      <c r="U736" s="1" t="str">
        <f>TEXT(tblTransactions[[#This Row],[Date]],"YYYY-MM")</f>
        <v>2025-06</v>
      </c>
      <c r="Z736" s="1"/>
    </row>
    <row r="737" spans="15:26" ht="15" customHeight="1" x14ac:dyDescent="0.3">
      <c r="O737" s="14" t="s">
        <v>1453</v>
      </c>
      <c r="P737" s="14" t="s">
        <v>714</v>
      </c>
      <c r="Q737" s="15">
        <v>45990</v>
      </c>
      <c r="R737" s="14" t="s">
        <v>135</v>
      </c>
      <c r="S737" s="14">
        <v>15474</v>
      </c>
      <c r="U737" s="1" t="str">
        <f>TEXT(tblTransactions[[#This Row],[Date]],"YYYY-MM")</f>
        <v>2025-11</v>
      </c>
      <c r="Z737" s="1"/>
    </row>
    <row r="738" spans="15:26" ht="15" customHeight="1" x14ac:dyDescent="0.3">
      <c r="O738" s="14" t="s">
        <v>1454</v>
      </c>
      <c r="P738" s="14" t="s">
        <v>717</v>
      </c>
      <c r="Q738" s="15">
        <v>46058</v>
      </c>
      <c r="R738" s="14" t="s">
        <v>135</v>
      </c>
      <c r="S738" s="14">
        <v>5080</v>
      </c>
      <c r="U738" s="1" t="str">
        <f>TEXT(tblTransactions[[#This Row],[Date]],"YYYY-MM")</f>
        <v>2026-02</v>
      </c>
      <c r="Z738" s="1"/>
    </row>
    <row r="739" spans="15:26" ht="15" customHeight="1" x14ac:dyDescent="0.3">
      <c r="O739" s="14" t="s">
        <v>1455</v>
      </c>
      <c r="P739" s="14" t="s">
        <v>717</v>
      </c>
      <c r="Q739" s="15">
        <v>45915</v>
      </c>
      <c r="R739" s="14" t="s">
        <v>135</v>
      </c>
      <c r="S739" s="14">
        <v>10937</v>
      </c>
      <c r="U739" s="1" t="str">
        <f>TEXT(tblTransactions[[#This Row],[Date]],"YYYY-MM")</f>
        <v>2025-09</v>
      </c>
      <c r="Z739" s="1"/>
    </row>
    <row r="740" spans="15:26" ht="15" customHeight="1" x14ac:dyDescent="0.3">
      <c r="O740" s="14" t="s">
        <v>1456</v>
      </c>
      <c r="P740" s="14" t="s">
        <v>717</v>
      </c>
      <c r="Q740" s="15">
        <v>45831</v>
      </c>
      <c r="R740" s="14" t="s">
        <v>81</v>
      </c>
      <c r="S740" s="14">
        <v>20701</v>
      </c>
      <c r="U740" s="1" t="str">
        <f>TEXT(tblTransactions[[#This Row],[Date]],"YYYY-MM")</f>
        <v>2025-06</v>
      </c>
      <c r="Z740" s="1"/>
    </row>
    <row r="741" spans="15:26" ht="15" customHeight="1" x14ac:dyDescent="0.3">
      <c r="O741" s="14" t="s">
        <v>1457</v>
      </c>
      <c r="P741" s="14" t="s">
        <v>721</v>
      </c>
      <c r="Q741" s="15">
        <v>46051</v>
      </c>
      <c r="R741" s="14" t="s">
        <v>1220</v>
      </c>
      <c r="S741" s="14">
        <v>17123</v>
      </c>
      <c r="U741" s="1" t="str">
        <f>TEXT(tblTransactions[[#This Row],[Date]],"YYYY-MM")</f>
        <v>2026-01</v>
      </c>
      <c r="Z741" s="1"/>
    </row>
    <row r="742" spans="15:26" ht="15" customHeight="1" x14ac:dyDescent="0.3">
      <c r="O742" s="14" t="s">
        <v>1458</v>
      </c>
      <c r="P742" s="14" t="s">
        <v>721</v>
      </c>
      <c r="Q742" s="15">
        <v>46008</v>
      </c>
      <c r="R742" s="14" t="s">
        <v>135</v>
      </c>
      <c r="S742" s="14">
        <v>16551</v>
      </c>
      <c r="U742" s="1" t="str">
        <f>TEXT(tblTransactions[[#This Row],[Date]],"YYYY-MM")</f>
        <v>2025-12</v>
      </c>
      <c r="Z742" s="1"/>
    </row>
    <row r="743" spans="15:26" ht="15" customHeight="1" x14ac:dyDescent="0.3">
      <c r="O743" s="14" t="s">
        <v>1459</v>
      </c>
      <c r="P743" s="14" t="s">
        <v>721</v>
      </c>
      <c r="Q743" s="15">
        <v>46110</v>
      </c>
      <c r="R743" s="14" t="s">
        <v>135</v>
      </c>
      <c r="S743" s="14">
        <v>10323</v>
      </c>
      <c r="U743" s="1" t="str">
        <f>TEXT(tblTransactions[[#This Row],[Date]],"YYYY-MM")</f>
        <v>2026-03</v>
      </c>
      <c r="Z743" s="1"/>
    </row>
    <row r="744" spans="15:26" ht="15" customHeight="1" x14ac:dyDescent="0.3">
      <c r="O744" s="14" t="s">
        <v>1460</v>
      </c>
      <c r="P744" s="14" t="s">
        <v>721</v>
      </c>
      <c r="Q744" s="15">
        <v>45991</v>
      </c>
      <c r="R744" s="14" t="s">
        <v>110</v>
      </c>
      <c r="S744" s="14">
        <v>12570</v>
      </c>
      <c r="U744" s="1" t="str">
        <f>TEXT(tblTransactions[[#This Row],[Date]],"YYYY-MM")</f>
        <v>2025-11</v>
      </c>
      <c r="Z744" s="1"/>
    </row>
    <row r="745" spans="15:26" ht="15" customHeight="1" x14ac:dyDescent="0.3">
      <c r="O745" s="14" t="s">
        <v>1461</v>
      </c>
      <c r="P745" s="14" t="s">
        <v>721</v>
      </c>
      <c r="Q745" s="15">
        <v>45917</v>
      </c>
      <c r="R745" s="14" t="s">
        <v>117</v>
      </c>
      <c r="S745" s="14">
        <v>4091</v>
      </c>
      <c r="U745" s="1" t="str">
        <f>TEXT(tblTransactions[[#This Row],[Date]],"YYYY-MM")</f>
        <v>2025-09</v>
      </c>
      <c r="Z745" s="1"/>
    </row>
    <row r="746" spans="15:26" ht="15" customHeight="1" x14ac:dyDescent="0.3">
      <c r="O746" s="14" t="s">
        <v>1462</v>
      </c>
      <c r="P746" s="14" t="s">
        <v>725</v>
      </c>
      <c r="Q746" s="15">
        <v>46046</v>
      </c>
      <c r="R746" s="14" t="s">
        <v>1220</v>
      </c>
      <c r="S746" s="14">
        <v>24267</v>
      </c>
      <c r="U746" s="1" t="str">
        <f>TEXT(tblTransactions[[#This Row],[Date]],"YYYY-MM")</f>
        <v>2026-01</v>
      </c>
      <c r="Z746" s="1"/>
    </row>
    <row r="747" spans="15:26" ht="15" customHeight="1" x14ac:dyDescent="0.3">
      <c r="O747" s="14" t="s">
        <v>1463</v>
      </c>
      <c r="P747" s="14" t="s">
        <v>725</v>
      </c>
      <c r="Q747" s="15">
        <v>46100</v>
      </c>
      <c r="R747" s="14" t="s">
        <v>117</v>
      </c>
      <c r="S747" s="14">
        <v>1373</v>
      </c>
      <c r="U747" s="1" t="str">
        <f>TEXT(tblTransactions[[#This Row],[Date]],"YYYY-MM")</f>
        <v>2026-03</v>
      </c>
      <c r="Z747" s="1"/>
    </row>
    <row r="748" spans="15:26" ht="15" customHeight="1" x14ac:dyDescent="0.3">
      <c r="O748" s="14" t="s">
        <v>1464</v>
      </c>
      <c r="P748" s="14" t="s">
        <v>725</v>
      </c>
      <c r="Q748" s="15">
        <v>46053</v>
      </c>
      <c r="R748" s="14" t="s">
        <v>81</v>
      </c>
      <c r="S748" s="14">
        <v>9200</v>
      </c>
      <c r="U748" s="1" t="str">
        <f>TEXT(tblTransactions[[#This Row],[Date]],"YYYY-MM")</f>
        <v>2026-01</v>
      </c>
      <c r="Z748" s="1"/>
    </row>
    <row r="749" spans="15:26" ht="15" customHeight="1" x14ac:dyDescent="0.3">
      <c r="O749" s="14" t="s">
        <v>1465</v>
      </c>
      <c r="P749" s="14" t="s">
        <v>725</v>
      </c>
      <c r="Q749" s="15">
        <v>46083</v>
      </c>
      <c r="R749" s="14" t="s">
        <v>135</v>
      </c>
      <c r="S749" s="14">
        <v>19427</v>
      </c>
      <c r="U749" s="1" t="str">
        <f>TEXT(tblTransactions[[#This Row],[Date]],"YYYY-MM")</f>
        <v>2026-03</v>
      </c>
      <c r="Z749" s="1"/>
    </row>
    <row r="750" spans="15:26" ht="15" customHeight="1" x14ac:dyDescent="0.3">
      <c r="O750" s="14" t="s">
        <v>1466</v>
      </c>
      <c r="P750" s="14" t="s">
        <v>725</v>
      </c>
      <c r="Q750" s="15">
        <v>45864</v>
      </c>
      <c r="R750" s="14" t="s">
        <v>117</v>
      </c>
      <c r="S750" s="14">
        <v>2182</v>
      </c>
      <c r="U750" s="1" t="str">
        <f>TEXT(tblTransactions[[#This Row],[Date]],"YYYY-MM")</f>
        <v>2025-07</v>
      </c>
      <c r="Z750" s="1"/>
    </row>
    <row r="751" spans="15:26" ht="15" customHeight="1" x14ac:dyDescent="0.3">
      <c r="O751" s="14" t="s">
        <v>1467</v>
      </c>
      <c r="P751" s="14" t="s">
        <v>725</v>
      </c>
      <c r="Q751" s="15">
        <v>46046</v>
      </c>
      <c r="R751" s="14" t="s">
        <v>81</v>
      </c>
      <c r="S751" s="14">
        <v>6087</v>
      </c>
      <c r="U751" s="1" t="str">
        <f>TEXT(tblTransactions[[#This Row],[Date]],"YYYY-MM")</f>
        <v>2026-01</v>
      </c>
      <c r="Z751" s="1"/>
    </row>
    <row r="752" spans="15:26" ht="15" customHeight="1" x14ac:dyDescent="0.3">
      <c r="O752" s="14" t="s">
        <v>1468</v>
      </c>
      <c r="P752" s="14" t="s">
        <v>725</v>
      </c>
      <c r="Q752" s="15">
        <v>46016</v>
      </c>
      <c r="R752" s="14" t="s">
        <v>117</v>
      </c>
      <c r="S752" s="14">
        <v>24131</v>
      </c>
      <c r="U752" s="1" t="str">
        <f>TEXT(tblTransactions[[#This Row],[Date]],"YYYY-MM")</f>
        <v>2025-12</v>
      </c>
      <c r="Z752" s="1"/>
    </row>
    <row r="753" spans="15:26" ht="15" customHeight="1" x14ac:dyDescent="0.3">
      <c r="O753" s="14" t="s">
        <v>1469</v>
      </c>
      <c r="P753" s="14" t="s">
        <v>729</v>
      </c>
      <c r="Q753" s="15">
        <v>45942</v>
      </c>
      <c r="R753" s="14" t="s">
        <v>89</v>
      </c>
      <c r="S753" s="14">
        <v>22806</v>
      </c>
      <c r="U753" s="1" t="str">
        <f>TEXT(tblTransactions[[#This Row],[Date]],"YYYY-MM")</f>
        <v>2025-10</v>
      </c>
      <c r="Z753" s="1"/>
    </row>
    <row r="754" spans="15:26" ht="15" customHeight="1" x14ac:dyDescent="0.3">
      <c r="O754" s="14" t="s">
        <v>1470</v>
      </c>
      <c r="P754" s="14" t="s">
        <v>729</v>
      </c>
      <c r="Q754" s="15">
        <v>45872</v>
      </c>
      <c r="R754" s="14" t="s">
        <v>110</v>
      </c>
      <c r="S754" s="14">
        <v>19261</v>
      </c>
      <c r="U754" s="1" t="str">
        <f>TEXT(tblTransactions[[#This Row],[Date]],"YYYY-MM")</f>
        <v>2025-08</v>
      </c>
      <c r="Z754" s="1"/>
    </row>
    <row r="755" spans="15:26" ht="15" customHeight="1" x14ac:dyDescent="0.3">
      <c r="O755" s="14" t="s">
        <v>1471</v>
      </c>
      <c r="P755" s="14" t="s">
        <v>729</v>
      </c>
      <c r="Q755" s="15">
        <v>46106</v>
      </c>
      <c r="R755" s="14" t="s">
        <v>110</v>
      </c>
      <c r="S755" s="14">
        <v>6751</v>
      </c>
      <c r="U755" s="1" t="str">
        <f>TEXT(tblTransactions[[#This Row],[Date]],"YYYY-MM")</f>
        <v>2026-03</v>
      </c>
      <c r="Z755" s="1"/>
    </row>
    <row r="756" spans="15:26" ht="15" customHeight="1" x14ac:dyDescent="0.3">
      <c r="O756" s="14" t="s">
        <v>1472</v>
      </c>
      <c r="P756" s="14" t="s">
        <v>729</v>
      </c>
      <c r="Q756" s="15">
        <v>45757</v>
      </c>
      <c r="R756" s="14" t="s">
        <v>81</v>
      </c>
      <c r="S756" s="14">
        <v>10779</v>
      </c>
      <c r="U756" s="1" t="str">
        <f>TEXT(tblTransactions[[#This Row],[Date]],"YYYY-MM")</f>
        <v>2025-04</v>
      </c>
      <c r="Z756" s="1"/>
    </row>
    <row r="757" spans="15:26" ht="15" customHeight="1" x14ac:dyDescent="0.3">
      <c r="O757" s="14" t="s">
        <v>1473</v>
      </c>
      <c r="P757" s="14" t="s">
        <v>729</v>
      </c>
      <c r="Q757" s="15">
        <v>45962</v>
      </c>
      <c r="R757" s="14" t="s">
        <v>89</v>
      </c>
      <c r="S757" s="14">
        <v>14031</v>
      </c>
      <c r="U757" s="1" t="str">
        <f>TEXT(tblTransactions[[#This Row],[Date]],"YYYY-MM")</f>
        <v>2025-11</v>
      </c>
      <c r="Z757" s="1"/>
    </row>
    <row r="758" spans="15:26" ht="15" customHeight="1" x14ac:dyDescent="0.3">
      <c r="O758" s="14" t="s">
        <v>1474</v>
      </c>
      <c r="P758" s="14" t="s">
        <v>729</v>
      </c>
      <c r="Q758" s="15">
        <v>46101</v>
      </c>
      <c r="R758" s="14" t="s">
        <v>89</v>
      </c>
      <c r="S758" s="14">
        <v>13947</v>
      </c>
      <c r="U758" s="1" t="str">
        <f>TEXT(tblTransactions[[#This Row],[Date]],"YYYY-MM")</f>
        <v>2026-03</v>
      </c>
      <c r="Z758" s="1"/>
    </row>
    <row r="759" spans="15:26" ht="15" customHeight="1" x14ac:dyDescent="0.3">
      <c r="O759" s="14" t="s">
        <v>1475</v>
      </c>
      <c r="P759" s="14" t="s">
        <v>729</v>
      </c>
      <c r="Q759" s="15">
        <v>46004</v>
      </c>
      <c r="R759" s="14" t="s">
        <v>135</v>
      </c>
      <c r="S759" s="14">
        <v>15953</v>
      </c>
      <c r="U759" s="1" t="str">
        <f>TEXT(tblTransactions[[#This Row],[Date]],"YYYY-MM")</f>
        <v>2025-12</v>
      </c>
      <c r="Z759" s="1"/>
    </row>
    <row r="760" spans="15:26" ht="15" customHeight="1" x14ac:dyDescent="0.3">
      <c r="O760" s="14" t="s">
        <v>1476</v>
      </c>
      <c r="P760" s="14" t="s">
        <v>729</v>
      </c>
      <c r="Q760" s="15">
        <v>45779</v>
      </c>
      <c r="R760" s="14" t="s">
        <v>117</v>
      </c>
      <c r="S760" s="14">
        <v>5024</v>
      </c>
      <c r="U760" s="1" t="str">
        <f>TEXT(tblTransactions[[#This Row],[Date]],"YYYY-MM")</f>
        <v>2025-05</v>
      </c>
      <c r="Z760" s="1"/>
    </row>
    <row r="761" spans="15:26" ht="15" customHeight="1" x14ac:dyDescent="0.3">
      <c r="O761" s="14" t="s">
        <v>1477</v>
      </c>
      <c r="P761" s="14" t="s">
        <v>729</v>
      </c>
      <c r="Q761" s="15">
        <v>46013</v>
      </c>
      <c r="R761" s="14" t="s">
        <v>89</v>
      </c>
      <c r="S761" s="14">
        <v>18879</v>
      </c>
      <c r="U761" s="1" t="str">
        <f>TEXT(tblTransactions[[#This Row],[Date]],"YYYY-MM")</f>
        <v>2025-12</v>
      </c>
      <c r="Z761" s="1"/>
    </row>
    <row r="762" spans="15:26" ht="15" customHeight="1" x14ac:dyDescent="0.3">
      <c r="O762" s="14" t="s">
        <v>1478</v>
      </c>
      <c r="P762" s="14" t="s">
        <v>729</v>
      </c>
      <c r="Q762" s="15">
        <v>45914</v>
      </c>
      <c r="R762" s="14" t="s">
        <v>117</v>
      </c>
      <c r="S762" s="14">
        <v>16175</v>
      </c>
      <c r="U762" s="1" t="str">
        <f>TEXT(tblTransactions[[#This Row],[Date]],"YYYY-MM")</f>
        <v>2025-09</v>
      </c>
      <c r="Z762" s="1"/>
    </row>
    <row r="763" spans="15:26" ht="15" customHeight="1" x14ac:dyDescent="0.3">
      <c r="O763" s="14" t="s">
        <v>1479</v>
      </c>
      <c r="P763" s="14" t="s">
        <v>733</v>
      </c>
      <c r="Q763" s="15">
        <v>45940</v>
      </c>
      <c r="R763" s="14" t="s">
        <v>1220</v>
      </c>
      <c r="S763" s="14">
        <v>6174</v>
      </c>
      <c r="U763" s="1" t="str">
        <f>TEXT(tblTransactions[[#This Row],[Date]],"YYYY-MM")</f>
        <v>2025-10</v>
      </c>
      <c r="Z763" s="1"/>
    </row>
    <row r="764" spans="15:26" ht="15" customHeight="1" x14ac:dyDescent="0.3">
      <c r="O764" s="14" t="s">
        <v>1480</v>
      </c>
      <c r="P764" s="14" t="s">
        <v>733</v>
      </c>
      <c r="Q764" s="15">
        <v>45983</v>
      </c>
      <c r="R764" s="14" t="s">
        <v>135</v>
      </c>
      <c r="S764" s="14">
        <v>11717</v>
      </c>
      <c r="U764" s="1" t="str">
        <f>TEXT(tblTransactions[[#This Row],[Date]],"YYYY-MM")</f>
        <v>2025-11</v>
      </c>
      <c r="Z764" s="1"/>
    </row>
    <row r="765" spans="15:26" ht="15" customHeight="1" x14ac:dyDescent="0.3">
      <c r="O765" s="14" t="s">
        <v>1481</v>
      </c>
      <c r="P765" s="14" t="s">
        <v>733</v>
      </c>
      <c r="Q765" s="15">
        <v>46027</v>
      </c>
      <c r="R765" s="14" t="s">
        <v>1220</v>
      </c>
      <c r="S765" s="14">
        <v>22646</v>
      </c>
      <c r="U765" s="1" t="str">
        <f>TEXT(tblTransactions[[#This Row],[Date]],"YYYY-MM")</f>
        <v>2026-01</v>
      </c>
      <c r="Z765" s="1"/>
    </row>
    <row r="766" spans="15:26" ht="15" customHeight="1" x14ac:dyDescent="0.3">
      <c r="O766" s="14" t="s">
        <v>1482</v>
      </c>
      <c r="P766" s="14" t="s">
        <v>733</v>
      </c>
      <c r="Q766" s="15">
        <v>46096</v>
      </c>
      <c r="R766" s="14" t="s">
        <v>117</v>
      </c>
      <c r="S766" s="14">
        <v>23218</v>
      </c>
      <c r="U766" s="1" t="str">
        <f>TEXT(tblTransactions[[#This Row],[Date]],"YYYY-MM")</f>
        <v>2026-03</v>
      </c>
      <c r="Z766" s="1"/>
    </row>
    <row r="767" spans="15:26" ht="15" customHeight="1" x14ac:dyDescent="0.3">
      <c r="O767" s="14" t="s">
        <v>1483</v>
      </c>
      <c r="P767" s="14" t="s">
        <v>733</v>
      </c>
      <c r="Q767" s="15">
        <v>45883</v>
      </c>
      <c r="R767" s="14" t="s">
        <v>135</v>
      </c>
      <c r="S767" s="14">
        <v>16365</v>
      </c>
      <c r="U767" s="1" t="str">
        <f>TEXT(tblTransactions[[#This Row],[Date]],"YYYY-MM")</f>
        <v>2025-08</v>
      </c>
      <c r="Z767" s="1"/>
    </row>
    <row r="768" spans="15:26" ht="15" customHeight="1" x14ac:dyDescent="0.3">
      <c r="O768" s="14" t="s">
        <v>1484</v>
      </c>
      <c r="P768" s="14" t="s">
        <v>733</v>
      </c>
      <c r="Q768" s="15">
        <v>45846</v>
      </c>
      <c r="R768" s="14" t="s">
        <v>89</v>
      </c>
      <c r="S768" s="14">
        <v>9642</v>
      </c>
      <c r="U768" s="1" t="str">
        <f>TEXT(tblTransactions[[#This Row],[Date]],"YYYY-MM")</f>
        <v>2025-07</v>
      </c>
      <c r="Z768" s="1"/>
    </row>
    <row r="769" spans="15:26" ht="15" customHeight="1" x14ac:dyDescent="0.3">
      <c r="O769" s="14" t="s">
        <v>1485</v>
      </c>
      <c r="P769" s="14" t="s">
        <v>733</v>
      </c>
      <c r="Q769" s="15">
        <v>46033</v>
      </c>
      <c r="R769" s="14" t="s">
        <v>1220</v>
      </c>
      <c r="S769" s="14">
        <v>7868</v>
      </c>
      <c r="U769" s="1" t="str">
        <f>TEXT(tblTransactions[[#This Row],[Date]],"YYYY-MM")</f>
        <v>2026-01</v>
      </c>
      <c r="Z769" s="1"/>
    </row>
    <row r="770" spans="15:26" ht="15" customHeight="1" x14ac:dyDescent="0.3">
      <c r="O770" s="14" t="s">
        <v>1486</v>
      </c>
      <c r="P770" s="14" t="s">
        <v>733</v>
      </c>
      <c r="Q770" s="15">
        <v>45900</v>
      </c>
      <c r="R770" s="14" t="s">
        <v>1220</v>
      </c>
      <c r="S770" s="14">
        <v>23598</v>
      </c>
      <c r="U770" s="1" t="str">
        <f>TEXT(tblTransactions[[#This Row],[Date]],"YYYY-MM")</f>
        <v>2025-08</v>
      </c>
      <c r="Z770" s="1"/>
    </row>
    <row r="771" spans="15:26" ht="15" customHeight="1" x14ac:dyDescent="0.3">
      <c r="O771" s="14" t="s">
        <v>1487</v>
      </c>
      <c r="P771" s="14" t="s">
        <v>733</v>
      </c>
      <c r="Q771" s="15">
        <v>45854</v>
      </c>
      <c r="R771" s="14" t="s">
        <v>117</v>
      </c>
      <c r="S771" s="14">
        <v>23601</v>
      </c>
      <c r="U771" s="1" t="str">
        <f>TEXT(tblTransactions[[#This Row],[Date]],"YYYY-MM")</f>
        <v>2025-07</v>
      </c>
      <c r="Z771" s="1"/>
    </row>
    <row r="772" spans="15:26" ht="15" customHeight="1" x14ac:dyDescent="0.3">
      <c r="O772" s="14" t="s">
        <v>1488</v>
      </c>
      <c r="P772" s="14" t="s">
        <v>737</v>
      </c>
      <c r="Q772" s="15">
        <v>45910</v>
      </c>
      <c r="R772" s="14" t="s">
        <v>81</v>
      </c>
      <c r="S772" s="14">
        <v>11929</v>
      </c>
      <c r="U772" s="1" t="str">
        <f>TEXT(tblTransactions[[#This Row],[Date]],"YYYY-MM")</f>
        <v>2025-09</v>
      </c>
      <c r="Z772" s="1"/>
    </row>
    <row r="773" spans="15:26" ht="15" customHeight="1" x14ac:dyDescent="0.3">
      <c r="O773" s="14" t="s">
        <v>1489</v>
      </c>
      <c r="P773" s="14" t="s">
        <v>737</v>
      </c>
      <c r="Q773" s="15">
        <v>46034</v>
      </c>
      <c r="R773" s="14" t="s">
        <v>117</v>
      </c>
      <c r="S773" s="14">
        <v>9460</v>
      </c>
      <c r="U773" s="1" t="str">
        <f>TEXT(tblTransactions[[#This Row],[Date]],"YYYY-MM")</f>
        <v>2026-01</v>
      </c>
      <c r="Z773" s="1"/>
    </row>
    <row r="774" spans="15:26" ht="15" customHeight="1" x14ac:dyDescent="0.3">
      <c r="O774" s="14" t="s">
        <v>1490</v>
      </c>
      <c r="P774" s="14" t="s">
        <v>737</v>
      </c>
      <c r="Q774" s="15">
        <v>45895</v>
      </c>
      <c r="R774" s="14" t="s">
        <v>110</v>
      </c>
      <c r="S774" s="14">
        <v>19291</v>
      </c>
      <c r="U774" s="1" t="str">
        <f>TEXT(tblTransactions[[#This Row],[Date]],"YYYY-MM")</f>
        <v>2025-08</v>
      </c>
      <c r="Z774" s="1"/>
    </row>
    <row r="775" spans="15:26" ht="15" customHeight="1" x14ac:dyDescent="0.3">
      <c r="O775" s="14" t="s">
        <v>1491</v>
      </c>
      <c r="P775" s="14" t="s">
        <v>737</v>
      </c>
      <c r="Q775" s="15">
        <v>46094</v>
      </c>
      <c r="R775" s="14" t="s">
        <v>135</v>
      </c>
      <c r="S775" s="14">
        <v>12941</v>
      </c>
      <c r="U775" s="1" t="str">
        <f>TEXT(tblTransactions[[#This Row],[Date]],"YYYY-MM")</f>
        <v>2026-03</v>
      </c>
      <c r="Z775" s="1"/>
    </row>
    <row r="776" spans="15:26" ht="15" customHeight="1" x14ac:dyDescent="0.3">
      <c r="O776" s="14" t="s">
        <v>1492</v>
      </c>
      <c r="P776" s="14" t="s">
        <v>737</v>
      </c>
      <c r="Q776" s="15">
        <v>45950</v>
      </c>
      <c r="R776" s="14" t="s">
        <v>1220</v>
      </c>
      <c r="S776" s="14">
        <v>5299</v>
      </c>
      <c r="U776" s="1" t="str">
        <f>TEXT(tblTransactions[[#This Row],[Date]],"YYYY-MM")</f>
        <v>2025-10</v>
      </c>
      <c r="Z776" s="1"/>
    </row>
    <row r="777" spans="15:26" ht="15" customHeight="1" x14ac:dyDescent="0.3">
      <c r="O777" s="14" t="s">
        <v>1493</v>
      </c>
      <c r="P777" s="14" t="s">
        <v>737</v>
      </c>
      <c r="Q777" s="15">
        <v>45896</v>
      </c>
      <c r="R777" s="14" t="s">
        <v>110</v>
      </c>
      <c r="S777" s="14">
        <v>9925</v>
      </c>
      <c r="U777" s="1" t="str">
        <f>TEXT(tblTransactions[[#This Row],[Date]],"YYYY-MM")</f>
        <v>2025-08</v>
      </c>
      <c r="Z777" s="1"/>
    </row>
    <row r="778" spans="15:26" ht="15" customHeight="1" x14ac:dyDescent="0.3">
      <c r="O778" s="14" t="s">
        <v>1494</v>
      </c>
      <c r="P778" s="14" t="s">
        <v>737</v>
      </c>
      <c r="Q778" s="15">
        <v>45788</v>
      </c>
      <c r="R778" s="14" t="s">
        <v>1220</v>
      </c>
      <c r="S778" s="14">
        <v>14995</v>
      </c>
      <c r="U778" s="1" t="str">
        <f>TEXT(tblTransactions[[#This Row],[Date]],"YYYY-MM")</f>
        <v>2025-05</v>
      </c>
      <c r="Z778" s="1"/>
    </row>
    <row r="779" spans="15:26" ht="15" customHeight="1" x14ac:dyDescent="0.3">
      <c r="O779" s="14" t="s">
        <v>1495</v>
      </c>
      <c r="P779" s="14" t="s">
        <v>737</v>
      </c>
      <c r="Q779" s="15">
        <v>46083</v>
      </c>
      <c r="R779" s="14" t="s">
        <v>1220</v>
      </c>
      <c r="S779" s="14">
        <v>24988</v>
      </c>
      <c r="U779" s="1" t="str">
        <f>TEXT(tblTransactions[[#This Row],[Date]],"YYYY-MM")</f>
        <v>2026-03</v>
      </c>
      <c r="Z779" s="1"/>
    </row>
    <row r="780" spans="15:26" ht="15" customHeight="1" x14ac:dyDescent="0.3">
      <c r="O780" s="14" t="s">
        <v>1496</v>
      </c>
      <c r="P780" s="14" t="s">
        <v>741</v>
      </c>
      <c r="Q780" s="15">
        <v>45857</v>
      </c>
      <c r="R780" s="14" t="s">
        <v>89</v>
      </c>
      <c r="S780" s="14">
        <v>18148</v>
      </c>
      <c r="U780" s="1" t="str">
        <f>TEXT(tblTransactions[[#This Row],[Date]],"YYYY-MM")</f>
        <v>2025-07</v>
      </c>
      <c r="Z780" s="1"/>
    </row>
    <row r="781" spans="15:26" ht="15" customHeight="1" x14ac:dyDescent="0.3">
      <c r="O781" s="14" t="s">
        <v>1497</v>
      </c>
      <c r="P781" s="14" t="s">
        <v>741</v>
      </c>
      <c r="Q781" s="15">
        <v>45886</v>
      </c>
      <c r="R781" s="14" t="s">
        <v>135</v>
      </c>
      <c r="S781" s="14">
        <v>23312</v>
      </c>
      <c r="U781" s="1" t="str">
        <f>TEXT(tblTransactions[[#This Row],[Date]],"YYYY-MM")</f>
        <v>2025-08</v>
      </c>
      <c r="Z781" s="1"/>
    </row>
    <row r="782" spans="15:26" ht="15" customHeight="1" x14ac:dyDescent="0.3">
      <c r="O782" s="14" t="s">
        <v>1498</v>
      </c>
      <c r="P782" s="14" t="s">
        <v>741</v>
      </c>
      <c r="Q782" s="15">
        <v>45887</v>
      </c>
      <c r="R782" s="14" t="s">
        <v>89</v>
      </c>
      <c r="S782" s="14">
        <v>4079</v>
      </c>
      <c r="U782" s="1" t="str">
        <f>TEXT(tblTransactions[[#This Row],[Date]],"YYYY-MM")</f>
        <v>2025-08</v>
      </c>
      <c r="Z782" s="1"/>
    </row>
    <row r="783" spans="15:26" ht="15" customHeight="1" x14ac:dyDescent="0.3">
      <c r="O783" s="14" t="s">
        <v>1499</v>
      </c>
      <c r="P783" s="14" t="s">
        <v>741</v>
      </c>
      <c r="Q783" s="15">
        <v>46063</v>
      </c>
      <c r="R783" s="14" t="s">
        <v>117</v>
      </c>
      <c r="S783" s="14">
        <v>19729</v>
      </c>
      <c r="U783" s="1" t="str">
        <f>TEXT(tblTransactions[[#This Row],[Date]],"YYYY-MM")</f>
        <v>2026-02</v>
      </c>
      <c r="Z783" s="1"/>
    </row>
    <row r="784" spans="15:26" ht="15" customHeight="1" x14ac:dyDescent="0.3">
      <c r="O784" s="14" t="s">
        <v>1500</v>
      </c>
      <c r="P784" s="14" t="s">
        <v>741</v>
      </c>
      <c r="Q784" s="15">
        <v>45870</v>
      </c>
      <c r="R784" s="14" t="s">
        <v>89</v>
      </c>
      <c r="S784" s="14">
        <v>2163</v>
      </c>
      <c r="U784" s="1" t="str">
        <f>TEXT(tblTransactions[[#This Row],[Date]],"YYYY-MM")</f>
        <v>2025-08</v>
      </c>
      <c r="Z784" s="1"/>
    </row>
    <row r="785" spans="15:26" ht="15" customHeight="1" x14ac:dyDescent="0.3">
      <c r="O785" s="14" t="s">
        <v>1501</v>
      </c>
      <c r="P785" s="14" t="s">
        <v>741</v>
      </c>
      <c r="Q785" s="15">
        <v>46090</v>
      </c>
      <c r="R785" s="14" t="s">
        <v>135</v>
      </c>
      <c r="S785" s="14">
        <v>7894</v>
      </c>
      <c r="U785" s="1" t="str">
        <f>TEXT(tblTransactions[[#This Row],[Date]],"YYYY-MM")</f>
        <v>2026-03</v>
      </c>
      <c r="Z785" s="1"/>
    </row>
    <row r="786" spans="15:26" ht="15" customHeight="1" x14ac:dyDescent="0.3">
      <c r="O786" s="14" t="s">
        <v>1502</v>
      </c>
      <c r="P786" s="14" t="s">
        <v>741</v>
      </c>
      <c r="Q786" s="15">
        <v>46074</v>
      </c>
      <c r="R786" s="14" t="s">
        <v>89</v>
      </c>
      <c r="S786" s="14">
        <v>2220</v>
      </c>
      <c r="U786" s="1" t="str">
        <f>TEXT(tblTransactions[[#This Row],[Date]],"YYYY-MM")</f>
        <v>2026-02</v>
      </c>
      <c r="Z786" s="1"/>
    </row>
    <row r="787" spans="15:26" ht="15" customHeight="1" x14ac:dyDescent="0.3">
      <c r="O787" s="14" t="s">
        <v>1503</v>
      </c>
      <c r="P787" s="14" t="s">
        <v>741</v>
      </c>
      <c r="Q787" s="15">
        <v>45799</v>
      </c>
      <c r="R787" s="14" t="s">
        <v>81</v>
      </c>
      <c r="S787" s="14">
        <v>11323</v>
      </c>
      <c r="U787" s="1" t="str">
        <f>TEXT(tblTransactions[[#This Row],[Date]],"YYYY-MM")</f>
        <v>2025-05</v>
      </c>
      <c r="Z787" s="1"/>
    </row>
    <row r="788" spans="15:26" ht="15" customHeight="1" x14ac:dyDescent="0.3">
      <c r="O788" s="14" t="s">
        <v>1504</v>
      </c>
      <c r="P788" s="14" t="s">
        <v>745</v>
      </c>
      <c r="Q788" s="15">
        <v>45799</v>
      </c>
      <c r="R788" s="14" t="s">
        <v>117</v>
      </c>
      <c r="S788" s="14">
        <v>5004</v>
      </c>
      <c r="U788" s="1" t="str">
        <f>TEXT(tblTransactions[[#This Row],[Date]],"YYYY-MM")</f>
        <v>2025-05</v>
      </c>
      <c r="Z788" s="1"/>
    </row>
    <row r="789" spans="15:26" ht="15" customHeight="1" x14ac:dyDescent="0.3">
      <c r="O789" s="14" t="s">
        <v>1505</v>
      </c>
      <c r="P789" s="14" t="s">
        <v>745</v>
      </c>
      <c r="Q789" s="15">
        <v>45750</v>
      </c>
      <c r="R789" s="14" t="s">
        <v>135</v>
      </c>
      <c r="S789" s="14">
        <v>5675</v>
      </c>
      <c r="U789" s="1" t="str">
        <f>TEXT(tblTransactions[[#This Row],[Date]],"YYYY-MM")</f>
        <v>2025-04</v>
      </c>
      <c r="Z789" s="1"/>
    </row>
    <row r="790" spans="15:26" ht="15" customHeight="1" x14ac:dyDescent="0.3">
      <c r="O790" s="14" t="s">
        <v>1506</v>
      </c>
      <c r="P790" s="14" t="s">
        <v>745</v>
      </c>
      <c r="Q790" s="15">
        <v>45956</v>
      </c>
      <c r="R790" s="14" t="s">
        <v>117</v>
      </c>
      <c r="S790" s="14">
        <v>16087</v>
      </c>
      <c r="U790" s="1" t="str">
        <f>TEXT(tblTransactions[[#This Row],[Date]],"YYYY-MM")</f>
        <v>2025-10</v>
      </c>
      <c r="Z790" s="1"/>
    </row>
    <row r="791" spans="15:26" ht="15" customHeight="1" x14ac:dyDescent="0.3">
      <c r="O791" s="14" t="s">
        <v>1507</v>
      </c>
      <c r="P791" s="14" t="s">
        <v>745</v>
      </c>
      <c r="Q791" s="15">
        <v>45992</v>
      </c>
      <c r="R791" s="14" t="s">
        <v>117</v>
      </c>
      <c r="S791" s="14">
        <v>7035</v>
      </c>
      <c r="U791" s="1" t="str">
        <f>TEXT(tblTransactions[[#This Row],[Date]],"YYYY-MM")</f>
        <v>2025-12</v>
      </c>
      <c r="Z791" s="1"/>
    </row>
    <row r="792" spans="15:26" ht="15" customHeight="1" x14ac:dyDescent="0.3">
      <c r="O792" s="14" t="s">
        <v>1508</v>
      </c>
      <c r="P792" s="14" t="s">
        <v>745</v>
      </c>
      <c r="Q792" s="15">
        <v>45895</v>
      </c>
      <c r="R792" s="14" t="s">
        <v>1220</v>
      </c>
      <c r="S792" s="14">
        <v>9852</v>
      </c>
      <c r="U792" s="1" t="str">
        <f>TEXT(tblTransactions[[#This Row],[Date]],"YYYY-MM")</f>
        <v>2025-08</v>
      </c>
      <c r="Z792" s="1"/>
    </row>
    <row r="793" spans="15:26" ht="15" customHeight="1" x14ac:dyDescent="0.3">
      <c r="O793" s="14" t="s">
        <v>1509</v>
      </c>
      <c r="P793" s="14" t="s">
        <v>745</v>
      </c>
      <c r="Q793" s="15">
        <v>46078</v>
      </c>
      <c r="R793" s="14" t="s">
        <v>110</v>
      </c>
      <c r="S793" s="14">
        <v>3431</v>
      </c>
      <c r="U793" s="1" t="str">
        <f>TEXT(tblTransactions[[#This Row],[Date]],"YYYY-MM")</f>
        <v>2026-02</v>
      </c>
      <c r="Z793" s="1"/>
    </row>
    <row r="794" spans="15:26" ht="15" customHeight="1" x14ac:dyDescent="0.3">
      <c r="O794" s="14" t="s">
        <v>1510</v>
      </c>
      <c r="P794" s="14" t="s">
        <v>745</v>
      </c>
      <c r="Q794" s="15">
        <v>46081</v>
      </c>
      <c r="R794" s="14" t="s">
        <v>135</v>
      </c>
      <c r="S794" s="14">
        <v>8109</v>
      </c>
      <c r="U794" s="1" t="str">
        <f>TEXT(tblTransactions[[#This Row],[Date]],"YYYY-MM")</f>
        <v>2026-02</v>
      </c>
      <c r="Z794" s="1"/>
    </row>
    <row r="795" spans="15:26" ht="15" customHeight="1" x14ac:dyDescent="0.3">
      <c r="O795" s="14" t="s">
        <v>1511</v>
      </c>
      <c r="P795" s="14" t="s">
        <v>745</v>
      </c>
      <c r="Q795" s="15">
        <v>46021</v>
      </c>
      <c r="R795" s="14" t="s">
        <v>117</v>
      </c>
      <c r="S795" s="14">
        <v>24195</v>
      </c>
      <c r="U795" s="1" t="str">
        <f>TEXT(tblTransactions[[#This Row],[Date]],"YYYY-MM")</f>
        <v>2025-12</v>
      </c>
      <c r="Z795" s="1"/>
    </row>
    <row r="796" spans="15:26" ht="15" customHeight="1" x14ac:dyDescent="0.3">
      <c r="O796" s="14" t="s">
        <v>1512</v>
      </c>
      <c r="P796" s="14" t="s">
        <v>749</v>
      </c>
      <c r="Q796" s="15">
        <v>45837</v>
      </c>
      <c r="R796" s="14" t="s">
        <v>81</v>
      </c>
      <c r="S796" s="14">
        <v>6260</v>
      </c>
      <c r="U796" s="1" t="str">
        <f>TEXT(tblTransactions[[#This Row],[Date]],"YYYY-MM")</f>
        <v>2025-06</v>
      </c>
      <c r="Z796" s="1"/>
    </row>
    <row r="797" spans="15:26" ht="15" customHeight="1" x14ac:dyDescent="0.3">
      <c r="O797" s="14" t="s">
        <v>1513</v>
      </c>
      <c r="P797" s="14" t="s">
        <v>753</v>
      </c>
      <c r="Q797" s="15">
        <v>45951</v>
      </c>
      <c r="R797" s="14" t="s">
        <v>81</v>
      </c>
      <c r="S797" s="14">
        <v>6605</v>
      </c>
      <c r="U797" s="1" t="str">
        <f>TEXT(tblTransactions[[#This Row],[Date]],"YYYY-MM")</f>
        <v>2025-10</v>
      </c>
      <c r="Z797" s="1"/>
    </row>
    <row r="798" spans="15:26" ht="15" customHeight="1" x14ac:dyDescent="0.3">
      <c r="O798" s="14" t="s">
        <v>1514</v>
      </c>
      <c r="P798" s="14" t="s">
        <v>757</v>
      </c>
      <c r="Q798" s="15">
        <v>45767</v>
      </c>
      <c r="R798" s="14" t="s">
        <v>110</v>
      </c>
      <c r="S798" s="14">
        <v>10277</v>
      </c>
      <c r="U798" s="1" t="str">
        <f>TEXT(tblTransactions[[#This Row],[Date]],"YYYY-MM")</f>
        <v>2025-04</v>
      </c>
      <c r="Z798" s="1"/>
    </row>
    <row r="799" spans="15:26" ht="15" customHeight="1" x14ac:dyDescent="0.3">
      <c r="O799" s="14" t="s">
        <v>1515</v>
      </c>
      <c r="P799" s="14" t="s">
        <v>757</v>
      </c>
      <c r="Q799" s="15">
        <v>46038</v>
      </c>
      <c r="R799" s="14" t="s">
        <v>135</v>
      </c>
      <c r="S799" s="14">
        <v>4016</v>
      </c>
      <c r="U799" s="1" t="str">
        <f>TEXT(tblTransactions[[#This Row],[Date]],"YYYY-MM")</f>
        <v>2026-01</v>
      </c>
      <c r="Z799" s="1"/>
    </row>
    <row r="800" spans="15:26" ht="15" customHeight="1" x14ac:dyDescent="0.3">
      <c r="O800" s="14" t="s">
        <v>1516</v>
      </c>
      <c r="P800" s="14" t="s">
        <v>757</v>
      </c>
      <c r="Q800" s="15">
        <v>45919</v>
      </c>
      <c r="R800" s="14" t="s">
        <v>1220</v>
      </c>
      <c r="S800" s="14">
        <v>15388</v>
      </c>
      <c r="U800" s="1" t="str">
        <f>TEXT(tblTransactions[[#This Row],[Date]],"YYYY-MM")</f>
        <v>2025-09</v>
      </c>
      <c r="Z800" s="1"/>
    </row>
    <row r="801" spans="15:26" ht="15" customHeight="1" x14ac:dyDescent="0.3">
      <c r="O801" s="14" t="s">
        <v>1517</v>
      </c>
      <c r="P801" s="14" t="s">
        <v>757</v>
      </c>
      <c r="Q801" s="15">
        <v>46076</v>
      </c>
      <c r="R801" s="14" t="s">
        <v>135</v>
      </c>
      <c r="S801" s="14">
        <v>17680</v>
      </c>
      <c r="U801" s="1" t="str">
        <f>TEXT(tblTransactions[[#This Row],[Date]],"YYYY-MM")</f>
        <v>2026-02</v>
      </c>
      <c r="Z801" s="1"/>
    </row>
    <row r="802" spans="15:26" ht="15" customHeight="1" x14ac:dyDescent="0.3">
      <c r="O802" s="14" t="s">
        <v>1518</v>
      </c>
      <c r="P802" s="14" t="s">
        <v>757</v>
      </c>
      <c r="Q802" s="15">
        <v>46000</v>
      </c>
      <c r="R802" s="14" t="s">
        <v>89</v>
      </c>
      <c r="S802" s="14">
        <v>17022</v>
      </c>
      <c r="U802" s="1" t="str">
        <f>TEXT(tblTransactions[[#This Row],[Date]],"YYYY-MM")</f>
        <v>2025-12</v>
      </c>
      <c r="Z802" s="1"/>
    </row>
    <row r="803" spans="15:26" ht="15" customHeight="1" x14ac:dyDescent="0.3">
      <c r="O803" s="14" t="s">
        <v>1519</v>
      </c>
      <c r="P803" s="14" t="s">
        <v>761</v>
      </c>
      <c r="Q803" s="15">
        <v>45887</v>
      </c>
      <c r="R803" s="14" t="s">
        <v>89</v>
      </c>
      <c r="S803" s="14">
        <v>4191</v>
      </c>
      <c r="U803" s="1" t="str">
        <f>TEXT(tblTransactions[[#This Row],[Date]],"YYYY-MM")</f>
        <v>2025-08</v>
      </c>
      <c r="Z803" s="1"/>
    </row>
    <row r="804" spans="15:26" ht="15" customHeight="1" x14ac:dyDescent="0.3">
      <c r="O804" s="14" t="s">
        <v>1520</v>
      </c>
      <c r="P804" s="14" t="s">
        <v>761</v>
      </c>
      <c r="Q804" s="15">
        <v>45917</v>
      </c>
      <c r="R804" s="14" t="s">
        <v>89</v>
      </c>
      <c r="S804" s="14">
        <v>24457</v>
      </c>
      <c r="U804" s="1" t="str">
        <f>TEXT(tblTransactions[[#This Row],[Date]],"YYYY-MM")</f>
        <v>2025-09</v>
      </c>
      <c r="Z804" s="1"/>
    </row>
    <row r="805" spans="15:26" ht="15" customHeight="1" x14ac:dyDescent="0.3">
      <c r="O805" s="14" t="s">
        <v>1521</v>
      </c>
      <c r="P805" s="14" t="s">
        <v>761</v>
      </c>
      <c r="Q805" s="15">
        <v>45982</v>
      </c>
      <c r="R805" s="14" t="s">
        <v>117</v>
      </c>
      <c r="S805" s="14">
        <v>8930</v>
      </c>
      <c r="U805" s="1" t="str">
        <f>TEXT(tblTransactions[[#This Row],[Date]],"YYYY-MM")</f>
        <v>2025-11</v>
      </c>
      <c r="Z805" s="1"/>
    </row>
    <row r="806" spans="15:26" ht="15" customHeight="1" x14ac:dyDescent="0.3">
      <c r="O806" s="14" t="s">
        <v>1522</v>
      </c>
      <c r="P806" s="14" t="s">
        <v>761</v>
      </c>
      <c r="Q806" s="15">
        <v>45843</v>
      </c>
      <c r="R806" s="14" t="s">
        <v>110</v>
      </c>
      <c r="S806" s="14">
        <v>24637</v>
      </c>
      <c r="U806" s="1" t="str">
        <f>TEXT(tblTransactions[[#This Row],[Date]],"YYYY-MM")</f>
        <v>2025-07</v>
      </c>
      <c r="Z806" s="1"/>
    </row>
    <row r="807" spans="15:26" ht="15" customHeight="1" x14ac:dyDescent="0.3">
      <c r="O807" s="14" t="s">
        <v>1523</v>
      </c>
      <c r="P807" s="14" t="s">
        <v>761</v>
      </c>
      <c r="Q807" s="15">
        <v>45920</v>
      </c>
      <c r="R807" s="14" t="s">
        <v>1220</v>
      </c>
      <c r="S807" s="14">
        <v>19105</v>
      </c>
      <c r="U807" s="1" t="str">
        <f>TEXT(tblTransactions[[#This Row],[Date]],"YYYY-MM")</f>
        <v>2025-09</v>
      </c>
      <c r="Z807" s="1"/>
    </row>
    <row r="808" spans="15:26" ht="15" customHeight="1" x14ac:dyDescent="0.3">
      <c r="O808" s="14" t="s">
        <v>1524</v>
      </c>
      <c r="P808" s="14" t="s">
        <v>761</v>
      </c>
      <c r="Q808" s="15">
        <v>46093</v>
      </c>
      <c r="R808" s="14" t="s">
        <v>89</v>
      </c>
      <c r="S808" s="14">
        <v>6250</v>
      </c>
      <c r="U808" s="1" t="str">
        <f>TEXT(tblTransactions[[#This Row],[Date]],"YYYY-MM")</f>
        <v>2026-03</v>
      </c>
      <c r="Z808" s="1"/>
    </row>
    <row r="809" spans="15:26" ht="15" customHeight="1" x14ac:dyDescent="0.3">
      <c r="O809" s="14" t="s">
        <v>1525</v>
      </c>
      <c r="P809" s="14" t="s">
        <v>761</v>
      </c>
      <c r="Q809" s="15">
        <v>46060</v>
      </c>
      <c r="R809" s="14" t="s">
        <v>117</v>
      </c>
      <c r="S809" s="14">
        <v>13787</v>
      </c>
      <c r="U809" s="1" t="str">
        <f>TEXT(tblTransactions[[#This Row],[Date]],"YYYY-MM")</f>
        <v>2026-02</v>
      </c>
      <c r="Z809" s="1"/>
    </row>
    <row r="810" spans="15:26" ht="15" customHeight="1" x14ac:dyDescent="0.3">
      <c r="O810" s="14" t="s">
        <v>1526</v>
      </c>
      <c r="P810" s="14" t="s">
        <v>761</v>
      </c>
      <c r="Q810" s="15">
        <v>45966</v>
      </c>
      <c r="R810" s="14" t="s">
        <v>135</v>
      </c>
      <c r="S810" s="14">
        <v>11245</v>
      </c>
      <c r="U810" s="1" t="str">
        <f>TEXT(tblTransactions[[#This Row],[Date]],"YYYY-MM")</f>
        <v>2025-11</v>
      </c>
      <c r="Z810" s="1"/>
    </row>
    <row r="811" spans="15:26" ht="15" customHeight="1" x14ac:dyDescent="0.3">
      <c r="O811" s="14" t="s">
        <v>1527</v>
      </c>
      <c r="P811" s="14" t="s">
        <v>765</v>
      </c>
      <c r="Q811" s="15">
        <v>45953</v>
      </c>
      <c r="R811" s="14" t="s">
        <v>117</v>
      </c>
      <c r="S811" s="14">
        <v>3625</v>
      </c>
      <c r="U811" s="1" t="str">
        <f>TEXT(tblTransactions[[#This Row],[Date]],"YYYY-MM")</f>
        <v>2025-10</v>
      </c>
      <c r="Z811" s="1"/>
    </row>
    <row r="812" spans="15:26" ht="15" customHeight="1" x14ac:dyDescent="0.3">
      <c r="O812" s="14" t="s">
        <v>1528</v>
      </c>
      <c r="P812" s="14" t="s">
        <v>765</v>
      </c>
      <c r="Q812" s="15">
        <v>45842</v>
      </c>
      <c r="R812" s="14" t="s">
        <v>89</v>
      </c>
      <c r="S812" s="14">
        <v>16145</v>
      </c>
      <c r="U812" s="1" t="str">
        <f>TEXT(tblTransactions[[#This Row],[Date]],"YYYY-MM")</f>
        <v>2025-07</v>
      </c>
      <c r="Z812" s="1"/>
    </row>
    <row r="813" spans="15:26" ht="15" customHeight="1" x14ac:dyDescent="0.3">
      <c r="O813" s="14" t="s">
        <v>1529</v>
      </c>
      <c r="P813" s="14" t="s">
        <v>769</v>
      </c>
      <c r="Q813" s="15">
        <v>45875</v>
      </c>
      <c r="R813" s="14" t="s">
        <v>110</v>
      </c>
      <c r="S813" s="14">
        <v>9045</v>
      </c>
      <c r="U813" s="1" t="str">
        <f>TEXT(tblTransactions[[#This Row],[Date]],"YYYY-MM")</f>
        <v>2025-08</v>
      </c>
      <c r="Z813" s="1"/>
    </row>
    <row r="814" spans="15:26" ht="15" customHeight="1" x14ac:dyDescent="0.3">
      <c r="O814" s="14" t="s">
        <v>1530</v>
      </c>
      <c r="P814" s="14" t="s">
        <v>769</v>
      </c>
      <c r="Q814" s="15">
        <v>45944</v>
      </c>
      <c r="R814" s="14" t="s">
        <v>89</v>
      </c>
      <c r="S814" s="14">
        <v>15138</v>
      </c>
      <c r="U814" s="1" t="str">
        <f>TEXT(tblTransactions[[#This Row],[Date]],"YYYY-MM")</f>
        <v>2025-10</v>
      </c>
      <c r="Z814" s="1"/>
    </row>
    <row r="815" spans="15:26" ht="15" customHeight="1" x14ac:dyDescent="0.3">
      <c r="O815" s="14" t="s">
        <v>1531</v>
      </c>
      <c r="P815" s="14" t="s">
        <v>769</v>
      </c>
      <c r="Q815" s="15">
        <v>45884</v>
      </c>
      <c r="R815" s="14" t="s">
        <v>1220</v>
      </c>
      <c r="S815" s="14">
        <v>10394</v>
      </c>
      <c r="U815" s="1" t="str">
        <f>TEXT(tblTransactions[[#This Row],[Date]],"YYYY-MM")</f>
        <v>2025-08</v>
      </c>
      <c r="Z815" s="1"/>
    </row>
    <row r="816" spans="15:26" ht="15" customHeight="1" x14ac:dyDescent="0.3">
      <c r="O816" s="14" t="s">
        <v>1532</v>
      </c>
      <c r="P816" s="14" t="s">
        <v>769</v>
      </c>
      <c r="Q816" s="15">
        <v>46046</v>
      </c>
      <c r="R816" s="14" t="s">
        <v>117</v>
      </c>
      <c r="S816" s="14">
        <v>19272</v>
      </c>
      <c r="U816" s="1" t="str">
        <f>TEXT(tblTransactions[[#This Row],[Date]],"YYYY-MM")</f>
        <v>2026-01</v>
      </c>
      <c r="Z816" s="1"/>
    </row>
    <row r="817" spans="15:26" ht="15" customHeight="1" x14ac:dyDescent="0.3">
      <c r="O817" s="14" t="s">
        <v>1533</v>
      </c>
      <c r="P817" s="14" t="s">
        <v>769</v>
      </c>
      <c r="Q817" s="15">
        <v>45753</v>
      </c>
      <c r="R817" s="14" t="s">
        <v>1220</v>
      </c>
      <c r="S817" s="14">
        <v>21919</v>
      </c>
      <c r="U817" s="1" t="str">
        <f>TEXT(tblTransactions[[#This Row],[Date]],"YYYY-MM")</f>
        <v>2025-04</v>
      </c>
      <c r="Z817" s="1"/>
    </row>
    <row r="818" spans="15:26" ht="15" customHeight="1" x14ac:dyDescent="0.3">
      <c r="O818" s="14" t="s">
        <v>1534</v>
      </c>
      <c r="P818" s="14" t="s">
        <v>769</v>
      </c>
      <c r="Q818" s="15">
        <v>45932</v>
      </c>
      <c r="R818" s="14" t="s">
        <v>117</v>
      </c>
      <c r="S818" s="14">
        <v>8243</v>
      </c>
      <c r="U818" s="1" t="str">
        <f>TEXT(tblTransactions[[#This Row],[Date]],"YYYY-MM")</f>
        <v>2025-10</v>
      </c>
      <c r="Z818" s="1"/>
    </row>
    <row r="819" spans="15:26" ht="15" customHeight="1" x14ac:dyDescent="0.3">
      <c r="O819" s="14" t="s">
        <v>1535</v>
      </c>
      <c r="P819" s="14" t="s">
        <v>772</v>
      </c>
      <c r="Q819" s="15">
        <v>46089</v>
      </c>
      <c r="R819" s="14" t="s">
        <v>110</v>
      </c>
      <c r="S819" s="14">
        <v>15750</v>
      </c>
      <c r="U819" s="1" t="str">
        <f>TEXT(tblTransactions[[#This Row],[Date]],"YYYY-MM")</f>
        <v>2026-03</v>
      </c>
      <c r="Z819" s="1"/>
    </row>
    <row r="820" spans="15:26" ht="15" customHeight="1" x14ac:dyDescent="0.3">
      <c r="O820" s="14" t="s">
        <v>1536</v>
      </c>
      <c r="P820" s="14" t="s">
        <v>776</v>
      </c>
      <c r="Q820" s="15">
        <v>45829</v>
      </c>
      <c r="R820" s="14" t="s">
        <v>81</v>
      </c>
      <c r="S820" s="14">
        <v>22981</v>
      </c>
      <c r="U820" s="1" t="str">
        <f>TEXT(tblTransactions[[#This Row],[Date]],"YYYY-MM")</f>
        <v>2025-06</v>
      </c>
      <c r="Z820" s="1"/>
    </row>
    <row r="821" spans="15:26" ht="15" customHeight="1" x14ac:dyDescent="0.3">
      <c r="O821" s="14" t="s">
        <v>1537</v>
      </c>
      <c r="P821" s="14" t="s">
        <v>776</v>
      </c>
      <c r="Q821" s="15">
        <v>46005</v>
      </c>
      <c r="R821" s="14" t="s">
        <v>117</v>
      </c>
      <c r="S821" s="14">
        <v>10690</v>
      </c>
      <c r="U821" s="1" t="str">
        <f>TEXT(tblTransactions[[#This Row],[Date]],"YYYY-MM")</f>
        <v>2025-12</v>
      </c>
      <c r="Z821" s="1"/>
    </row>
    <row r="822" spans="15:26" ht="15" customHeight="1" x14ac:dyDescent="0.3">
      <c r="O822" s="14" t="s">
        <v>1538</v>
      </c>
      <c r="P822" s="14" t="s">
        <v>776</v>
      </c>
      <c r="Q822" s="15">
        <v>46101</v>
      </c>
      <c r="R822" s="14" t="s">
        <v>110</v>
      </c>
      <c r="S822" s="14">
        <v>21429</v>
      </c>
      <c r="U822" s="1" t="str">
        <f>TEXT(tblTransactions[[#This Row],[Date]],"YYYY-MM")</f>
        <v>2026-03</v>
      </c>
      <c r="Z822" s="1"/>
    </row>
    <row r="823" spans="15:26" ht="15" customHeight="1" x14ac:dyDescent="0.3">
      <c r="O823" s="14" t="s">
        <v>1539</v>
      </c>
      <c r="P823" s="14" t="s">
        <v>776</v>
      </c>
      <c r="Q823" s="15">
        <v>45899</v>
      </c>
      <c r="R823" s="14" t="s">
        <v>1220</v>
      </c>
      <c r="S823" s="14">
        <v>20640</v>
      </c>
      <c r="U823" s="1" t="str">
        <f>TEXT(tblTransactions[[#This Row],[Date]],"YYYY-MM")</f>
        <v>2025-08</v>
      </c>
      <c r="Z823" s="1"/>
    </row>
    <row r="824" spans="15:26" ht="15" customHeight="1" x14ac:dyDescent="0.3">
      <c r="O824" s="14" t="s">
        <v>1540</v>
      </c>
      <c r="P824" s="14" t="s">
        <v>776</v>
      </c>
      <c r="Q824" s="15">
        <v>45861</v>
      </c>
      <c r="R824" s="14" t="s">
        <v>89</v>
      </c>
      <c r="S824" s="14">
        <v>4876</v>
      </c>
      <c r="U824" s="1" t="str">
        <f>TEXT(tblTransactions[[#This Row],[Date]],"YYYY-MM")</f>
        <v>2025-07</v>
      </c>
      <c r="Z824" s="1"/>
    </row>
    <row r="825" spans="15:26" ht="15" customHeight="1" x14ac:dyDescent="0.3">
      <c r="O825" s="14" t="s">
        <v>1541</v>
      </c>
      <c r="P825" s="14" t="s">
        <v>781</v>
      </c>
      <c r="Q825" s="15">
        <v>45826</v>
      </c>
      <c r="R825" s="14" t="s">
        <v>81</v>
      </c>
      <c r="S825" s="14">
        <v>20348</v>
      </c>
      <c r="U825" s="1" t="str">
        <f>TEXT(tblTransactions[[#This Row],[Date]],"YYYY-MM")</f>
        <v>2025-06</v>
      </c>
      <c r="Z825" s="1"/>
    </row>
    <row r="826" spans="15:26" ht="15" customHeight="1" x14ac:dyDescent="0.3">
      <c r="O826" s="14" t="s">
        <v>1542</v>
      </c>
      <c r="P826" s="14" t="s">
        <v>781</v>
      </c>
      <c r="Q826" s="15">
        <v>45939</v>
      </c>
      <c r="R826" s="14" t="s">
        <v>81</v>
      </c>
      <c r="S826" s="14">
        <v>23501</v>
      </c>
      <c r="U826" s="1" t="str">
        <f>TEXT(tblTransactions[[#This Row],[Date]],"YYYY-MM")</f>
        <v>2025-10</v>
      </c>
      <c r="Z826" s="1"/>
    </row>
    <row r="827" spans="15:26" ht="15" customHeight="1" x14ac:dyDescent="0.3">
      <c r="O827" s="14" t="s">
        <v>1543</v>
      </c>
      <c r="P827" s="14" t="s">
        <v>781</v>
      </c>
      <c r="Q827" s="15">
        <v>46029</v>
      </c>
      <c r="R827" s="14" t="s">
        <v>81</v>
      </c>
      <c r="S827" s="14">
        <v>18113</v>
      </c>
      <c r="U827" s="1" t="str">
        <f>TEXT(tblTransactions[[#This Row],[Date]],"YYYY-MM")</f>
        <v>2026-01</v>
      </c>
      <c r="Z827" s="1"/>
    </row>
    <row r="828" spans="15:26" ht="15" customHeight="1" x14ac:dyDescent="0.3">
      <c r="O828" s="14" t="s">
        <v>1544</v>
      </c>
      <c r="P828" s="14" t="s">
        <v>781</v>
      </c>
      <c r="Q828" s="15">
        <v>46088</v>
      </c>
      <c r="R828" s="14" t="s">
        <v>89</v>
      </c>
      <c r="S828" s="14">
        <v>8608</v>
      </c>
      <c r="U828" s="1" t="str">
        <f>TEXT(tblTransactions[[#This Row],[Date]],"YYYY-MM")</f>
        <v>2026-03</v>
      </c>
      <c r="Z828" s="1"/>
    </row>
    <row r="829" spans="15:26" ht="15" customHeight="1" x14ac:dyDescent="0.3">
      <c r="O829" s="14" t="s">
        <v>1545</v>
      </c>
      <c r="P829" s="14" t="s">
        <v>781</v>
      </c>
      <c r="Q829" s="15">
        <v>46096</v>
      </c>
      <c r="R829" s="14" t="s">
        <v>135</v>
      </c>
      <c r="S829" s="14">
        <v>3182</v>
      </c>
      <c r="U829" s="1" t="str">
        <f>TEXT(tblTransactions[[#This Row],[Date]],"YYYY-MM")</f>
        <v>2026-03</v>
      </c>
      <c r="Z829" s="1"/>
    </row>
    <row r="830" spans="15:26" ht="15" customHeight="1" x14ac:dyDescent="0.3">
      <c r="O830" s="14" t="s">
        <v>1546</v>
      </c>
      <c r="P830" s="14" t="s">
        <v>781</v>
      </c>
      <c r="Q830" s="15">
        <v>46017</v>
      </c>
      <c r="R830" s="14" t="s">
        <v>81</v>
      </c>
      <c r="S830" s="14">
        <v>17807</v>
      </c>
      <c r="U830" s="1" t="str">
        <f>TEXT(tblTransactions[[#This Row],[Date]],"YYYY-MM")</f>
        <v>2025-12</v>
      </c>
      <c r="Z830" s="1"/>
    </row>
    <row r="831" spans="15:26" ht="15" customHeight="1" x14ac:dyDescent="0.3">
      <c r="O831" s="14" t="s">
        <v>1547</v>
      </c>
      <c r="P831" s="14" t="s">
        <v>781</v>
      </c>
      <c r="Q831" s="15">
        <v>46108</v>
      </c>
      <c r="R831" s="14" t="s">
        <v>1220</v>
      </c>
      <c r="S831" s="14">
        <v>3059</v>
      </c>
      <c r="U831" s="1" t="str">
        <f>TEXT(tblTransactions[[#This Row],[Date]],"YYYY-MM")</f>
        <v>2026-03</v>
      </c>
      <c r="Z831" s="1"/>
    </row>
    <row r="832" spans="15:26" ht="15" customHeight="1" x14ac:dyDescent="0.3">
      <c r="O832" s="14" t="s">
        <v>1548</v>
      </c>
      <c r="P832" s="14" t="s">
        <v>781</v>
      </c>
      <c r="Q832" s="15">
        <v>46036</v>
      </c>
      <c r="R832" s="14" t="s">
        <v>110</v>
      </c>
      <c r="S832" s="14">
        <v>2523</v>
      </c>
      <c r="U832" s="1" t="str">
        <f>TEXT(tblTransactions[[#This Row],[Date]],"YYYY-MM")</f>
        <v>2026-01</v>
      </c>
      <c r="Z832" s="1"/>
    </row>
    <row r="833" spans="15:26" ht="15" customHeight="1" x14ac:dyDescent="0.3">
      <c r="O833" s="14" t="s">
        <v>1549</v>
      </c>
      <c r="P833" s="14" t="s">
        <v>785</v>
      </c>
      <c r="Q833" s="15">
        <v>46006</v>
      </c>
      <c r="R833" s="14" t="s">
        <v>89</v>
      </c>
      <c r="S833" s="14">
        <v>19266</v>
      </c>
      <c r="U833" s="1" t="str">
        <f>TEXT(tblTransactions[[#This Row],[Date]],"YYYY-MM")</f>
        <v>2025-12</v>
      </c>
      <c r="Z833" s="1"/>
    </row>
    <row r="834" spans="15:26" ht="15" customHeight="1" x14ac:dyDescent="0.3">
      <c r="O834" s="14" t="s">
        <v>1550</v>
      </c>
      <c r="P834" s="14" t="s">
        <v>785</v>
      </c>
      <c r="Q834" s="15">
        <v>46022</v>
      </c>
      <c r="R834" s="14" t="s">
        <v>89</v>
      </c>
      <c r="S834" s="14">
        <v>5891</v>
      </c>
      <c r="U834" s="1" t="str">
        <f>TEXT(tblTransactions[[#This Row],[Date]],"YYYY-MM")</f>
        <v>2025-12</v>
      </c>
      <c r="Z834" s="1"/>
    </row>
    <row r="835" spans="15:26" ht="15" customHeight="1" x14ac:dyDescent="0.3">
      <c r="O835" s="14" t="s">
        <v>1551</v>
      </c>
      <c r="P835" s="14" t="s">
        <v>785</v>
      </c>
      <c r="Q835" s="15">
        <v>45915</v>
      </c>
      <c r="R835" s="14" t="s">
        <v>135</v>
      </c>
      <c r="S835" s="14">
        <v>14978</v>
      </c>
      <c r="U835" s="1" t="str">
        <f>TEXT(tblTransactions[[#This Row],[Date]],"YYYY-MM")</f>
        <v>2025-09</v>
      </c>
      <c r="Z835" s="1"/>
    </row>
    <row r="836" spans="15:26" ht="15" customHeight="1" x14ac:dyDescent="0.3">
      <c r="O836" s="14" t="s">
        <v>1552</v>
      </c>
      <c r="P836" s="14" t="s">
        <v>785</v>
      </c>
      <c r="Q836" s="15">
        <v>45807</v>
      </c>
      <c r="R836" s="14" t="s">
        <v>117</v>
      </c>
      <c r="S836" s="14">
        <v>7230</v>
      </c>
      <c r="U836" s="1" t="str">
        <f>TEXT(tblTransactions[[#This Row],[Date]],"YYYY-MM")</f>
        <v>2025-05</v>
      </c>
      <c r="Z836" s="1"/>
    </row>
    <row r="837" spans="15:26" ht="15" customHeight="1" x14ac:dyDescent="0.3">
      <c r="O837" s="14" t="s">
        <v>1553</v>
      </c>
      <c r="P837" s="14" t="s">
        <v>785</v>
      </c>
      <c r="Q837" s="15">
        <v>46046</v>
      </c>
      <c r="R837" s="14" t="s">
        <v>81</v>
      </c>
      <c r="S837" s="14">
        <v>3479</v>
      </c>
      <c r="U837" s="1" t="str">
        <f>TEXT(tblTransactions[[#This Row],[Date]],"YYYY-MM")</f>
        <v>2026-01</v>
      </c>
      <c r="Z837" s="1"/>
    </row>
    <row r="838" spans="15:26" ht="15" customHeight="1" x14ac:dyDescent="0.3">
      <c r="O838" s="14" t="s">
        <v>1554</v>
      </c>
      <c r="P838" s="14" t="s">
        <v>785</v>
      </c>
      <c r="Q838" s="15">
        <v>46009</v>
      </c>
      <c r="R838" s="14" t="s">
        <v>81</v>
      </c>
      <c r="S838" s="14">
        <v>2323</v>
      </c>
      <c r="U838" s="1" t="str">
        <f>TEXT(tblTransactions[[#This Row],[Date]],"YYYY-MM")</f>
        <v>2025-12</v>
      </c>
      <c r="Z838" s="1"/>
    </row>
    <row r="839" spans="15:26" ht="15" customHeight="1" x14ac:dyDescent="0.3">
      <c r="O839" s="14" t="s">
        <v>1555</v>
      </c>
      <c r="P839" s="14" t="s">
        <v>785</v>
      </c>
      <c r="Q839" s="15">
        <v>45980</v>
      </c>
      <c r="R839" s="14" t="s">
        <v>89</v>
      </c>
      <c r="S839" s="14">
        <v>17318</v>
      </c>
      <c r="U839" s="1" t="str">
        <f>TEXT(tblTransactions[[#This Row],[Date]],"YYYY-MM")</f>
        <v>2025-11</v>
      </c>
      <c r="Z839" s="1"/>
    </row>
    <row r="840" spans="15:26" ht="15" customHeight="1" x14ac:dyDescent="0.3">
      <c r="O840" s="14" t="s">
        <v>1556</v>
      </c>
      <c r="P840" s="14" t="s">
        <v>785</v>
      </c>
      <c r="Q840" s="15">
        <v>45960</v>
      </c>
      <c r="R840" s="14" t="s">
        <v>81</v>
      </c>
      <c r="S840" s="14">
        <v>18978</v>
      </c>
      <c r="U840" s="1" t="str">
        <f>TEXT(tblTransactions[[#This Row],[Date]],"YYYY-MM")</f>
        <v>2025-10</v>
      </c>
      <c r="Z840" s="1"/>
    </row>
    <row r="841" spans="15:26" ht="15" customHeight="1" x14ac:dyDescent="0.3">
      <c r="O841" s="14" t="s">
        <v>1557</v>
      </c>
      <c r="P841" s="14" t="s">
        <v>785</v>
      </c>
      <c r="Q841" s="15">
        <v>45777</v>
      </c>
      <c r="R841" s="14" t="s">
        <v>135</v>
      </c>
      <c r="S841" s="14">
        <v>15651</v>
      </c>
      <c r="U841" s="1" t="str">
        <f>TEXT(tblTransactions[[#This Row],[Date]],"YYYY-MM")</f>
        <v>2025-04</v>
      </c>
      <c r="Z841" s="1"/>
    </row>
    <row r="842" spans="15:26" ht="15" customHeight="1" x14ac:dyDescent="0.3">
      <c r="O842" s="14" t="s">
        <v>1558</v>
      </c>
      <c r="P842" s="14" t="s">
        <v>789</v>
      </c>
      <c r="Q842" s="15">
        <v>45759</v>
      </c>
      <c r="R842" s="14" t="s">
        <v>81</v>
      </c>
      <c r="S842" s="14">
        <v>8838</v>
      </c>
      <c r="U842" s="1" t="str">
        <f>TEXT(tblTransactions[[#This Row],[Date]],"YYYY-MM")</f>
        <v>2025-04</v>
      </c>
      <c r="Z842" s="1"/>
    </row>
    <row r="843" spans="15:26" ht="15" customHeight="1" x14ac:dyDescent="0.3">
      <c r="O843" s="14" t="s">
        <v>1559</v>
      </c>
      <c r="P843" s="14" t="s">
        <v>789</v>
      </c>
      <c r="Q843" s="15">
        <v>45749</v>
      </c>
      <c r="R843" s="14" t="s">
        <v>117</v>
      </c>
      <c r="S843" s="14">
        <v>7640</v>
      </c>
      <c r="U843" s="1" t="str">
        <f>TEXT(tblTransactions[[#This Row],[Date]],"YYYY-MM")</f>
        <v>2025-04</v>
      </c>
      <c r="Z843" s="1"/>
    </row>
    <row r="844" spans="15:26" ht="15" customHeight="1" x14ac:dyDescent="0.3">
      <c r="O844" s="14" t="s">
        <v>1560</v>
      </c>
      <c r="P844" s="14" t="s">
        <v>789</v>
      </c>
      <c r="Q844" s="15">
        <v>46044</v>
      </c>
      <c r="R844" s="14" t="s">
        <v>110</v>
      </c>
      <c r="S844" s="14">
        <v>1984</v>
      </c>
      <c r="U844" s="1" t="str">
        <f>TEXT(tblTransactions[[#This Row],[Date]],"YYYY-MM")</f>
        <v>2026-01</v>
      </c>
      <c r="Z844" s="1"/>
    </row>
    <row r="845" spans="15:26" ht="15" customHeight="1" x14ac:dyDescent="0.3">
      <c r="O845" s="14" t="s">
        <v>1561</v>
      </c>
      <c r="P845" s="14" t="s">
        <v>789</v>
      </c>
      <c r="Q845" s="15">
        <v>45964</v>
      </c>
      <c r="R845" s="14" t="s">
        <v>1220</v>
      </c>
      <c r="S845" s="14">
        <v>23450</v>
      </c>
      <c r="U845" s="1" t="str">
        <f>TEXT(tblTransactions[[#This Row],[Date]],"YYYY-MM")</f>
        <v>2025-11</v>
      </c>
      <c r="Z845" s="1"/>
    </row>
    <row r="846" spans="15:26" ht="15" customHeight="1" x14ac:dyDescent="0.3">
      <c r="O846" s="14" t="s">
        <v>1562</v>
      </c>
      <c r="P846" s="14" t="s">
        <v>789</v>
      </c>
      <c r="Q846" s="15">
        <v>45780</v>
      </c>
      <c r="R846" s="14" t="s">
        <v>135</v>
      </c>
      <c r="S846" s="14">
        <v>2474</v>
      </c>
      <c r="U846" s="1" t="str">
        <f>TEXT(tblTransactions[[#This Row],[Date]],"YYYY-MM")</f>
        <v>2025-05</v>
      </c>
      <c r="Z846" s="1"/>
    </row>
    <row r="847" spans="15:26" ht="15" customHeight="1" x14ac:dyDescent="0.3">
      <c r="O847" s="14" t="s">
        <v>1563</v>
      </c>
      <c r="P847" s="14" t="s">
        <v>792</v>
      </c>
      <c r="Q847" s="15">
        <v>45989</v>
      </c>
      <c r="R847" s="14" t="s">
        <v>110</v>
      </c>
      <c r="S847" s="14">
        <v>9907</v>
      </c>
      <c r="U847" s="1" t="str">
        <f>TEXT(tblTransactions[[#This Row],[Date]],"YYYY-MM")</f>
        <v>2025-11</v>
      </c>
      <c r="Z847" s="1"/>
    </row>
    <row r="848" spans="15:26" ht="15" customHeight="1" x14ac:dyDescent="0.3">
      <c r="O848" s="14" t="s">
        <v>1564</v>
      </c>
      <c r="P848" s="14" t="s">
        <v>792</v>
      </c>
      <c r="Q848" s="15">
        <v>45957</v>
      </c>
      <c r="R848" s="14" t="s">
        <v>89</v>
      </c>
      <c r="S848" s="14">
        <v>4937</v>
      </c>
      <c r="U848" s="1" t="str">
        <f>TEXT(tblTransactions[[#This Row],[Date]],"YYYY-MM")</f>
        <v>2025-10</v>
      </c>
      <c r="Z848" s="1"/>
    </row>
    <row r="849" spans="15:26" ht="15" customHeight="1" x14ac:dyDescent="0.3">
      <c r="O849" s="14" t="s">
        <v>1565</v>
      </c>
      <c r="P849" s="14" t="s">
        <v>796</v>
      </c>
      <c r="Q849" s="15">
        <v>45939</v>
      </c>
      <c r="R849" s="14" t="s">
        <v>81</v>
      </c>
      <c r="S849" s="14">
        <v>15197</v>
      </c>
      <c r="U849" s="1" t="str">
        <f>TEXT(tblTransactions[[#This Row],[Date]],"YYYY-MM")</f>
        <v>2025-10</v>
      </c>
      <c r="Z849" s="1"/>
    </row>
    <row r="850" spans="15:26" ht="15" customHeight="1" x14ac:dyDescent="0.3">
      <c r="O850" s="14" t="s">
        <v>1566</v>
      </c>
      <c r="P850" s="14" t="s">
        <v>796</v>
      </c>
      <c r="Q850" s="15">
        <v>45941</v>
      </c>
      <c r="R850" s="14" t="s">
        <v>81</v>
      </c>
      <c r="S850" s="14">
        <v>3129</v>
      </c>
      <c r="U850" s="1" t="str">
        <f>TEXT(tblTransactions[[#This Row],[Date]],"YYYY-MM")</f>
        <v>2025-10</v>
      </c>
      <c r="Z850" s="1"/>
    </row>
    <row r="851" spans="15:26" ht="15" customHeight="1" x14ac:dyDescent="0.3">
      <c r="O851" s="14" t="s">
        <v>1567</v>
      </c>
      <c r="P851" s="14" t="s">
        <v>796</v>
      </c>
      <c r="Q851" s="15">
        <v>46097</v>
      </c>
      <c r="R851" s="14" t="s">
        <v>117</v>
      </c>
      <c r="S851" s="14">
        <v>18171</v>
      </c>
      <c r="U851" s="1" t="str">
        <f>TEXT(tblTransactions[[#This Row],[Date]],"YYYY-MM")</f>
        <v>2026-03</v>
      </c>
      <c r="Z851" s="1"/>
    </row>
    <row r="852" spans="15:26" ht="15" customHeight="1" x14ac:dyDescent="0.3">
      <c r="O852" s="14" t="s">
        <v>1568</v>
      </c>
      <c r="P852" s="14" t="s">
        <v>796</v>
      </c>
      <c r="Q852" s="15">
        <v>45816</v>
      </c>
      <c r="R852" s="14" t="s">
        <v>117</v>
      </c>
      <c r="S852" s="14">
        <v>11895</v>
      </c>
      <c r="U852" s="1" t="str">
        <f>TEXT(tblTransactions[[#This Row],[Date]],"YYYY-MM")</f>
        <v>2025-06</v>
      </c>
      <c r="Z852" s="1"/>
    </row>
    <row r="853" spans="15:26" ht="15" customHeight="1" x14ac:dyDescent="0.3">
      <c r="O853" s="14" t="s">
        <v>1569</v>
      </c>
      <c r="P853" s="14" t="s">
        <v>796</v>
      </c>
      <c r="Q853" s="15">
        <v>45808</v>
      </c>
      <c r="R853" s="14" t="s">
        <v>89</v>
      </c>
      <c r="S853" s="14">
        <v>18104</v>
      </c>
      <c r="U853" s="1" t="str">
        <f>TEXT(tblTransactions[[#This Row],[Date]],"YYYY-MM")</f>
        <v>2025-05</v>
      </c>
      <c r="Z853" s="1"/>
    </row>
    <row r="854" spans="15:26" ht="15" customHeight="1" x14ac:dyDescent="0.3">
      <c r="O854" s="14" t="s">
        <v>1570</v>
      </c>
      <c r="P854" s="14" t="s">
        <v>796</v>
      </c>
      <c r="Q854" s="15">
        <v>45949</v>
      </c>
      <c r="R854" s="14" t="s">
        <v>135</v>
      </c>
      <c r="S854" s="14">
        <v>4672</v>
      </c>
      <c r="U854" s="1" t="str">
        <f>TEXT(tblTransactions[[#This Row],[Date]],"YYYY-MM")</f>
        <v>2025-10</v>
      </c>
      <c r="Z854" s="1"/>
    </row>
    <row r="855" spans="15:26" ht="15" customHeight="1" x14ac:dyDescent="0.3">
      <c r="O855" s="14" t="s">
        <v>1571</v>
      </c>
      <c r="P855" s="14" t="s">
        <v>796</v>
      </c>
      <c r="Q855" s="15">
        <v>45862</v>
      </c>
      <c r="R855" s="14" t="s">
        <v>110</v>
      </c>
      <c r="S855" s="14">
        <v>1244</v>
      </c>
      <c r="U855" s="1" t="str">
        <f>TEXT(tblTransactions[[#This Row],[Date]],"YYYY-MM")</f>
        <v>2025-07</v>
      </c>
      <c r="Z855" s="1"/>
    </row>
    <row r="856" spans="15:26" ht="15" customHeight="1" x14ac:dyDescent="0.3">
      <c r="O856" s="14" t="s">
        <v>1572</v>
      </c>
      <c r="P856" s="14" t="s">
        <v>799</v>
      </c>
      <c r="Q856" s="15">
        <v>45985</v>
      </c>
      <c r="R856" s="14" t="s">
        <v>117</v>
      </c>
      <c r="S856" s="14">
        <v>24063</v>
      </c>
      <c r="U856" s="1" t="str">
        <f>TEXT(tblTransactions[[#This Row],[Date]],"YYYY-MM")</f>
        <v>2025-11</v>
      </c>
      <c r="Z856" s="1"/>
    </row>
    <row r="857" spans="15:26" ht="15" customHeight="1" x14ac:dyDescent="0.3">
      <c r="O857" s="14" t="s">
        <v>1573</v>
      </c>
      <c r="P857" s="14" t="s">
        <v>799</v>
      </c>
      <c r="Q857" s="15">
        <v>46026</v>
      </c>
      <c r="R857" s="14" t="s">
        <v>81</v>
      </c>
      <c r="S857" s="14">
        <v>17930</v>
      </c>
      <c r="U857" s="1" t="str">
        <f>TEXT(tblTransactions[[#This Row],[Date]],"YYYY-MM")</f>
        <v>2026-01</v>
      </c>
      <c r="Z857" s="1"/>
    </row>
    <row r="858" spans="15:26" ht="15" customHeight="1" x14ac:dyDescent="0.3">
      <c r="O858" s="14" t="s">
        <v>1574</v>
      </c>
      <c r="P858" s="14" t="s">
        <v>799</v>
      </c>
      <c r="Q858" s="15">
        <v>45942</v>
      </c>
      <c r="R858" s="14" t="s">
        <v>89</v>
      </c>
      <c r="S858" s="14">
        <v>8610</v>
      </c>
      <c r="U858" s="1" t="str">
        <f>TEXT(tblTransactions[[#This Row],[Date]],"YYYY-MM")</f>
        <v>2025-10</v>
      </c>
      <c r="Z858" s="1"/>
    </row>
    <row r="859" spans="15:26" ht="15" customHeight="1" x14ac:dyDescent="0.3">
      <c r="O859" s="14" t="s">
        <v>1575</v>
      </c>
      <c r="P859" s="14" t="s">
        <v>799</v>
      </c>
      <c r="Q859" s="15">
        <v>45983</v>
      </c>
      <c r="R859" s="14" t="s">
        <v>1220</v>
      </c>
      <c r="S859" s="14">
        <v>5583</v>
      </c>
      <c r="U859" s="1" t="str">
        <f>TEXT(tblTransactions[[#This Row],[Date]],"YYYY-MM")</f>
        <v>2025-11</v>
      </c>
      <c r="Z859" s="1"/>
    </row>
    <row r="860" spans="15:26" ht="15" customHeight="1" x14ac:dyDescent="0.3">
      <c r="O860" s="14" t="s">
        <v>1576</v>
      </c>
      <c r="P860" s="14" t="s">
        <v>799</v>
      </c>
      <c r="Q860" s="15">
        <v>45889</v>
      </c>
      <c r="R860" s="14" t="s">
        <v>89</v>
      </c>
      <c r="S860" s="14">
        <v>24257</v>
      </c>
      <c r="U860" s="1" t="str">
        <f>TEXT(tblTransactions[[#This Row],[Date]],"YYYY-MM")</f>
        <v>2025-08</v>
      </c>
      <c r="Z860" s="1"/>
    </row>
    <row r="861" spans="15:26" ht="15" customHeight="1" x14ac:dyDescent="0.3">
      <c r="O861" s="14" t="s">
        <v>1577</v>
      </c>
      <c r="P861" s="14" t="s">
        <v>803</v>
      </c>
      <c r="Q861" s="15">
        <v>45764</v>
      </c>
      <c r="R861" s="14" t="s">
        <v>117</v>
      </c>
      <c r="S861" s="14">
        <v>14237</v>
      </c>
      <c r="U861" s="1" t="str">
        <f>TEXT(tblTransactions[[#This Row],[Date]],"YYYY-MM")</f>
        <v>2025-04</v>
      </c>
      <c r="Z861" s="1"/>
    </row>
    <row r="862" spans="15:26" ht="15" customHeight="1" x14ac:dyDescent="0.3">
      <c r="O862" s="14" t="s">
        <v>1578</v>
      </c>
      <c r="P862" s="14" t="s">
        <v>803</v>
      </c>
      <c r="Q862" s="15">
        <v>46062</v>
      </c>
      <c r="R862" s="14" t="s">
        <v>110</v>
      </c>
      <c r="S862" s="14">
        <v>8386</v>
      </c>
      <c r="U862" s="1" t="str">
        <f>TEXT(tblTransactions[[#This Row],[Date]],"YYYY-MM")</f>
        <v>2026-02</v>
      </c>
      <c r="Z862" s="1"/>
    </row>
    <row r="863" spans="15:26" ht="15" customHeight="1" x14ac:dyDescent="0.3">
      <c r="O863" s="14" t="s">
        <v>1579</v>
      </c>
      <c r="P863" s="14" t="s">
        <v>807</v>
      </c>
      <c r="Q863" s="15">
        <v>45782</v>
      </c>
      <c r="R863" s="14" t="s">
        <v>110</v>
      </c>
      <c r="S863" s="14">
        <v>19962</v>
      </c>
      <c r="U863" s="1" t="str">
        <f>TEXT(tblTransactions[[#This Row],[Date]],"YYYY-MM")</f>
        <v>2025-05</v>
      </c>
      <c r="Z863" s="1"/>
    </row>
    <row r="864" spans="15:26" ht="15" customHeight="1" x14ac:dyDescent="0.3">
      <c r="O864" s="14" t="s">
        <v>1580</v>
      </c>
      <c r="P864" s="14" t="s">
        <v>807</v>
      </c>
      <c r="Q864" s="15">
        <v>45765</v>
      </c>
      <c r="R864" s="14" t="s">
        <v>81</v>
      </c>
      <c r="S864" s="14">
        <v>20088</v>
      </c>
      <c r="U864" s="1" t="str">
        <f>TEXT(tblTransactions[[#This Row],[Date]],"YYYY-MM")</f>
        <v>2025-04</v>
      </c>
      <c r="Z864" s="1"/>
    </row>
    <row r="865" spans="15:26" ht="15" customHeight="1" x14ac:dyDescent="0.3">
      <c r="O865" s="14" t="s">
        <v>1581</v>
      </c>
      <c r="P865" s="14" t="s">
        <v>807</v>
      </c>
      <c r="Q865" s="15">
        <v>46092</v>
      </c>
      <c r="R865" s="14" t="s">
        <v>117</v>
      </c>
      <c r="S865" s="14">
        <v>2095</v>
      </c>
      <c r="U865" s="1" t="str">
        <f>TEXT(tblTransactions[[#This Row],[Date]],"YYYY-MM")</f>
        <v>2026-03</v>
      </c>
      <c r="Z865" s="1"/>
    </row>
    <row r="866" spans="15:26" ht="15" customHeight="1" x14ac:dyDescent="0.3">
      <c r="O866" s="14" t="s">
        <v>1582</v>
      </c>
      <c r="P866" s="14" t="s">
        <v>807</v>
      </c>
      <c r="Q866" s="15">
        <v>45873</v>
      </c>
      <c r="R866" s="14" t="s">
        <v>117</v>
      </c>
      <c r="S866" s="14">
        <v>1949</v>
      </c>
      <c r="U866" s="1" t="str">
        <f>TEXT(tblTransactions[[#This Row],[Date]],"YYYY-MM")</f>
        <v>2025-08</v>
      </c>
      <c r="Z866" s="1"/>
    </row>
    <row r="867" spans="15:26" ht="15" customHeight="1" x14ac:dyDescent="0.3">
      <c r="O867" s="14" t="s">
        <v>1583</v>
      </c>
      <c r="P867" s="14" t="s">
        <v>811</v>
      </c>
      <c r="Q867" s="15">
        <v>45972</v>
      </c>
      <c r="R867" s="14" t="s">
        <v>89</v>
      </c>
      <c r="S867" s="14">
        <v>18186</v>
      </c>
      <c r="U867" s="1" t="str">
        <f>TEXT(tblTransactions[[#This Row],[Date]],"YYYY-MM")</f>
        <v>2025-11</v>
      </c>
      <c r="Z867" s="1"/>
    </row>
    <row r="868" spans="15:26" ht="15" customHeight="1" x14ac:dyDescent="0.3">
      <c r="O868" s="14" t="s">
        <v>1584</v>
      </c>
      <c r="P868" s="14" t="s">
        <v>811</v>
      </c>
      <c r="Q868" s="15">
        <v>45859</v>
      </c>
      <c r="R868" s="14" t="s">
        <v>110</v>
      </c>
      <c r="S868" s="14">
        <v>5091</v>
      </c>
      <c r="U868" s="1" t="str">
        <f>TEXT(tblTransactions[[#This Row],[Date]],"YYYY-MM")</f>
        <v>2025-07</v>
      </c>
      <c r="Z868" s="1"/>
    </row>
    <row r="869" spans="15:26" ht="15" customHeight="1" x14ac:dyDescent="0.3">
      <c r="O869" s="14" t="s">
        <v>1585</v>
      </c>
      <c r="P869" s="14" t="s">
        <v>811</v>
      </c>
      <c r="Q869" s="15">
        <v>46005</v>
      </c>
      <c r="R869" s="14" t="s">
        <v>1220</v>
      </c>
      <c r="S869" s="14">
        <v>8173</v>
      </c>
      <c r="U869" s="1" t="str">
        <f>TEXT(tblTransactions[[#This Row],[Date]],"YYYY-MM")</f>
        <v>2025-12</v>
      </c>
      <c r="Z869" s="1"/>
    </row>
    <row r="870" spans="15:26" ht="15" customHeight="1" x14ac:dyDescent="0.3">
      <c r="O870" s="14" t="s">
        <v>1586</v>
      </c>
      <c r="P870" s="14" t="s">
        <v>811</v>
      </c>
      <c r="Q870" s="15">
        <v>46042</v>
      </c>
      <c r="R870" s="14" t="s">
        <v>1220</v>
      </c>
      <c r="S870" s="14">
        <v>19422</v>
      </c>
      <c r="U870" s="1" t="str">
        <f>TEXT(tblTransactions[[#This Row],[Date]],"YYYY-MM")</f>
        <v>2026-01</v>
      </c>
      <c r="Z870" s="1"/>
    </row>
    <row r="871" spans="15:26" ht="15" customHeight="1" x14ac:dyDescent="0.3">
      <c r="O871" s="14" t="s">
        <v>1587</v>
      </c>
      <c r="P871" s="14" t="s">
        <v>811</v>
      </c>
      <c r="Q871" s="15">
        <v>46054</v>
      </c>
      <c r="R871" s="14" t="s">
        <v>117</v>
      </c>
      <c r="S871" s="14">
        <v>11007</v>
      </c>
      <c r="U871" s="1" t="str">
        <f>TEXT(tblTransactions[[#This Row],[Date]],"YYYY-MM")</f>
        <v>2026-02</v>
      </c>
      <c r="Z871" s="1"/>
    </row>
    <row r="872" spans="15:26" ht="15" customHeight="1" x14ac:dyDescent="0.3">
      <c r="O872" s="14" t="s">
        <v>1588</v>
      </c>
      <c r="P872" s="14" t="s">
        <v>811</v>
      </c>
      <c r="Q872" s="15">
        <v>45869</v>
      </c>
      <c r="R872" s="14" t="s">
        <v>1220</v>
      </c>
      <c r="S872" s="14">
        <v>5194</v>
      </c>
      <c r="U872" s="1" t="str">
        <f>TEXT(tblTransactions[[#This Row],[Date]],"YYYY-MM")</f>
        <v>2025-07</v>
      </c>
      <c r="Z872" s="1"/>
    </row>
    <row r="873" spans="15:26" ht="15" customHeight="1" x14ac:dyDescent="0.3">
      <c r="O873" s="14" t="s">
        <v>1589</v>
      </c>
      <c r="P873" s="14" t="s">
        <v>811</v>
      </c>
      <c r="Q873" s="15">
        <v>46086</v>
      </c>
      <c r="R873" s="14" t="s">
        <v>135</v>
      </c>
      <c r="S873" s="14">
        <v>7743</v>
      </c>
      <c r="U873" s="1" t="str">
        <f>TEXT(tblTransactions[[#This Row],[Date]],"YYYY-MM")</f>
        <v>2026-03</v>
      </c>
      <c r="Z873" s="1"/>
    </row>
    <row r="874" spans="15:26" ht="15" customHeight="1" x14ac:dyDescent="0.3">
      <c r="O874" s="14" t="s">
        <v>1590</v>
      </c>
      <c r="P874" s="14" t="s">
        <v>815</v>
      </c>
      <c r="Q874" s="15">
        <v>45901</v>
      </c>
      <c r="R874" s="14" t="s">
        <v>1220</v>
      </c>
      <c r="S874" s="14">
        <v>2497</v>
      </c>
      <c r="U874" s="1" t="str">
        <f>TEXT(tblTransactions[[#This Row],[Date]],"YYYY-MM")</f>
        <v>2025-09</v>
      </c>
      <c r="Z874" s="1"/>
    </row>
    <row r="875" spans="15:26" ht="15" customHeight="1" x14ac:dyDescent="0.3">
      <c r="O875" s="14" t="s">
        <v>1591</v>
      </c>
      <c r="P875" s="14" t="s">
        <v>815</v>
      </c>
      <c r="Q875" s="15">
        <v>46033</v>
      </c>
      <c r="R875" s="14" t="s">
        <v>135</v>
      </c>
      <c r="S875" s="14">
        <v>24591</v>
      </c>
      <c r="U875" s="1" t="str">
        <f>TEXT(tblTransactions[[#This Row],[Date]],"YYYY-MM")</f>
        <v>2026-01</v>
      </c>
      <c r="Z875" s="1"/>
    </row>
    <row r="876" spans="15:26" ht="15" customHeight="1" x14ac:dyDescent="0.3">
      <c r="O876" s="14" t="s">
        <v>1592</v>
      </c>
      <c r="P876" s="14" t="s">
        <v>815</v>
      </c>
      <c r="Q876" s="15">
        <v>45837</v>
      </c>
      <c r="R876" s="14" t="s">
        <v>117</v>
      </c>
      <c r="S876" s="14">
        <v>22741</v>
      </c>
      <c r="U876" s="1" t="str">
        <f>TEXT(tblTransactions[[#This Row],[Date]],"YYYY-MM")</f>
        <v>2025-06</v>
      </c>
      <c r="Z876" s="1"/>
    </row>
    <row r="877" spans="15:26" ht="15" customHeight="1" x14ac:dyDescent="0.3">
      <c r="O877" s="14" t="s">
        <v>1593</v>
      </c>
      <c r="P877" s="14" t="s">
        <v>815</v>
      </c>
      <c r="Q877" s="15">
        <v>45966</v>
      </c>
      <c r="R877" s="14" t="s">
        <v>135</v>
      </c>
      <c r="S877" s="14">
        <v>16740</v>
      </c>
      <c r="U877" s="1" t="str">
        <f>TEXT(tblTransactions[[#This Row],[Date]],"YYYY-MM")</f>
        <v>2025-11</v>
      </c>
      <c r="Z877" s="1"/>
    </row>
    <row r="878" spans="15:26" ht="15" customHeight="1" x14ac:dyDescent="0.3">
      <c r="O878" s="14" t="s">
        <v>1594</v>
      </c>
      <c r="P878" s="14" t="s">
        <v>815</v>
      </c>
      <c r="Q878" s="15">
        <v>45772</v>
      </c>
      <c r="R878" s="14" t="s">
        <v>1220</v>
      </c>
      <c r="S878" s="14">
        <v>21580</v>
      </c>
      <c r="U878" s="1" t="str">
        <f>TEXT(tblTransactions[[#This Row],[Date]],"YYYY-MM")</f>
        <v>2025-04</v>
      </c>
      <c r="Z878" s="1"/>
    </row>
    <row r="879" spans="15:26" ht="15" customHeight="1" x14ac:dyDescent="0.3">
      <c r="O879" s="14" t="s">
        <v>1595</v>
      </c>
      <c r="P879" s="14" t="s">
        <v>815</v>
      </c>
      <c r="Q879" s="15">
        <v>46091</v>
      </c>
      <c r="R879" s="14" t="s">
        <v>81</v>
      </c>
      <c r="S879" s="14">
        <v>17685</v>
      </c>
      <c r="U879" s="1" t="str">
        <f>TEXT(tblTransactions[[#This Row],[Date]],"YYYY-MM")</f>
        <v>2026-03</v>
      </c>
      <c r="Z879" s="1"/>
    </row>
    <row r="880" spans="15:26" ht="15" customHeight="1" x14ac:dyDescent="0.3">
      <c r="O880" s="14" t="s">
        <v>1596</v>
      </c>
      <c r="P880" s="14" t="s">
        <v>815</v>
      </c>
      <c r="Q880" s="15">
        <v>45911</v>
      </c>
      <c r="R880" s="14" t="s">
        <v>117</v>
      </c>
      <c r="S880" s="14">
        <v>14142</v>
      </c>
      <c r="U880" s="1" t="str">
        <f>TEXT(tblTransactions[[#This Row],[Date]],"YYYY-MM")</f>
        <v>2025-09</v>
      </c>
      <c r="Z880" s="1"/>
    </row>
    <row r="881" spans="15:26" ht="15" customHeight="1" x14ac:dyDescent="0.3">
      <c r="O881" s="14" t="s">
        <v>1597</v>
      </c>
      <c r="P881" s="14" t="s">
        <v>819</v>
      </c>
      <c r="Q881" s="15">
        <v>45824</v>
      </c>
      <c r="R881" s="14" t="s">
        <v>1220</v>
      </c>
      <c r="S881" s="14">
        <v>12835</v>
      </c>
      <c r="U881" s="1" t="str">
        <f>TEXT(tblTransactions[[#This Row],[Date]],"YYYY-MM")</f>
        <v>2025-06</v>
      </c>
      <c r="Z881" s="1"/>
    </row>
    <row r="882" spans="15:26" ht="15" customHeight="1" x14ac:dyDescent="0.3">
      <c r="O882" s="14" t="s">
        <v>1598</v>
      </c>
      <c r="P882" s="14" t="s">
        <v>819</v>
      </c>
      <c r="Q882" s="15">
        <v>45842</v>
      </c>
      <c r="R882" s="14" t="s">
        <v>135</v>
      </c>
      <c r="S882" s="14">
        <v>16016</v>
      </c>
      <c r="U882" s="1" t="str">
        <f>TEXT(tblTransactions[[#This Row],[Date]],"YYYY-MM")</f>
        <v>2025-07</v>
      </c>
      <c r="Z882" s="1"/>
    </row>
    <row r="883" spans="15:26" ht="15" customHeight="1" x14ac:dyDescent="0.3">
      <c r="O883" s="14" t="s">
        <v>1599</v>
      </c>
      <c r="P883" s="14" t="s">
        <v>819</v>
      </c>
      <c r="Q883" s="15">
        <v>45871</v>
      </c>
      <c r="R883" s="14" t="s">
        <v>89</v>
      </c>
      <c r="S883" s="14">
        <v>10354</v>
      </c>
      <c r="U883" s="1" t="str">
        <f>TEXT(tblTransactions[[#This Row],[Date]],"YYYY-MM")</f>
        <v>2025-08</v>
      </c>
      <c r="Z883" s="1"/>
    </row>
    <row r="884" spans="15:26" ht="15" customHeight="1" x14ac:dyDescent="0.3">
      <c r="O884" s="14" t="s">
        <v>1600</v>
      </c>
      <c r="P884" s="14" t="s">
        <v>819</v>
      </c>
      <c r="Q884" s="15">
        <v>46110</v>
      </c>
      <c r="R884" s="14" t="s">
        <v>89</v>
      </c>
      <c r="S884" s="14">
        <v>15672</v>
      </c>
      <c r="U884" s="1" t="str">
        <f>TEXT(tblTransactions[[#This Row],[Date]],"YYYY-MM")</f>
        <v>2026-03</v>
      </c>
      <c r="Z884" s="1"/>
    </row>
    <row r="885" spans="15:26" ht="15" customHeight="1" x14ac:dyDescent="0.3">
      <c r="O885" s="14" t="s">
        <v>1601</v>
      </c>
      <c r="P885" s="14" t="s">
        <v>819</v>
      </c>
      <c r="Q885" s="15">
        <v>45777</v>
      </c>
      <c r="R885" s="14" t="s">
        <v>135</v>
      </c>
      <c r="S885" s="14">
        <v>14022</v>
      </c>
      <c r="U885" s="1" t="str">
        <f>TEXT(tblTransactions[[#This Row],[Date]],"YYYY-MM")</f>
        <v>2025-04</v>
      </c>
      <c r="Z885" s="1"/>
    </row>
    <row r="886" spans="15:26" ht="15" customHeight="1" x14ac:dyDescent="0.3">
      <c r="O886" s="14" t="s">
        <v>1602</v>
      </c>
      <c r="P886" s="14" t="s">
        <v>819</v>
      </c>
      <c r="Q886" s="15">
        <v>45961</v>
      </c>
      <c r="R886" s="14" t="s">
        <v>135</v>
      </c>
      <c r="S886" s="14">
        <v>17866</v>
      </c>
      <c r="U886" s="1" t="str">
        <f>TEXT(tblTransactions[[#This Row],[Date]],"YYYY-MM")</f>
        <v>2025-10</v>
      </c>
      <c r="Z886" s="1"/>
    </row>
    <row r="887" spans="15:26" ht="15" customHeight="1" x14ac:dyDescent="0.3">
      <c r="O887" s="14" t="s">
        <v>1603</v>
      </c>
      <c r="P887" s="14" t="s">
        <v>819</v>
      </c>
      <c r="Q887" s="15">
        <v>45816</v>
      </c>
      <c r="R887" s="14" t="s">
        <v>81</v>
      </c>
      <c r="S887" s="14">
        <v>8457</v>
      </c>
      <c r="U887" s="1" t="str">
        <f>TEXT(tblTransactions[[#This Row],[Date]],"YYYY-MM")</f>
        <v>2025-06</v>
      </c>
      <c r="Z887" s="1"/>
    </row>
    <row r="888" spans="15:26" ht="15" customHeight="1" x14ac:dyDescent="0.3">
      <c r="O888" s="14" t="s">
        <v>1604</v>
      </c>
      <c r="P888" s="14" t="s">
        <v>823</v>
      </c>
      <c r="Q888" s="15">
        <v>45852</v>
      </c>
      <c r="R888" s="14" t="s">
        <v>1220</v>
      </c>
      <c r="S888" s="14">
        <v>21691</v>
      </c>
      <c r="U888" s="1" t="str">
        <f>TEXT(tblTransactions[[#This Row],[Date]],"YYYY-MM")</f>
        <v>2025-07</v>
      </c>
      <c r="Z888" s="1"/>
    </row>
    <row r="889" spans="15:26" ht="15" customHeight="1" x14ac:dyDescent="0.3">
      <c r="O889" s="14" t="s">
        <v>1605</v>
      </c>
      <c r="P889" s="14" t="s">
        <v>823</v>
      </c>
      <c r="Q889" s="15">
        <v>45788</v>
      </c>
      <c r="R889" s="14" t="s">
        <v>81</v>
      </c>
      <c r="S889" s="14">
        <v>12659</v>
      </c>
      <c r="U889" s="1" t="str">
        <f>TEXT(tblTransactions[[#This Row],[Date]],"YYYY-MM")</f>
        <v>2025-05</v>
      </c>
      <c r="Z889" s="1"/>
    </row>
    <row r="890" spans="15:26" ht="15" customHeight="1" x14ac:dyDescent="0.3">
      <c r="O890" s="14" t="s">
        <v>1606</v>
      </c>
      <c r="P890" s="14" t="s">
        <v>823</v>
      </c>
      <c r="Q890" s="15">
        <v>45795</v>
      </c>
      <c r="R890" s="14" t="s">
        <v>135</v>
      </c>
      <c r="S890" s="14">
        <v>24243</v>
      </c>
      <c r="U890" s="1" t="str">
        <f>TEXT(tblTransactions[[#This Row],[Date]],"YYYY-MM")</f>
        <v>2025-05</v>
      </c>
      <c r="Z890" s="1"/>
    </row>
    <row r="891" spans="15:26" ht="15" customHeight="1" x14ac:dyDescent="0.3">
      <c r="O891" s="14" t="s">
        <v>1607</v>
      </c>
      <c r="P891" s="14" t="s">
        <v>823</v>
      </c>
      <c r="Q891" s="15">
        <v>45845</v>
      </c>
      <c r="R891" s="14" t="s">
        <v>110</v>
      </c>
      <c r="S891" s="14">
        <v>9296</v>
      </c>
      <c r="U891" s="1" t="str">
        <f>TEXT(tblTransactions[[#This Row],[Date]],"YYYY-MM")</f>
        <v>2025-07</v>
      </c>
      <c r="Z891" s="1"/>
    </row>
    <row r="892" spans="15:26" ht="15" customHeight="1" x14ac:dyDescent="0.3">
      <c r="O892" s="14" t="s">
        <v>1608</v>
      </c>
      <c r="P892" s="14" t="s">
        <v>823</v>
      </c>
      <c r="Q892" s="15">
        <v>45941</v>
      </c>
      <c r="R892" s="14" t="s">
        <v>117</v>
      </c>
      <c r="S892" s="14">
        <v>20323</v>
      </c>
      <c r="U892" s="1" t="str">
        <f>TEXT(tblTransactions[[#This Row],[Date]],"YYYY-MM")</f>
        <v>2025-10</v>
      </c>
      <c r="Z892" s="1"/>
    </row>
    <row r="893" spans="15:26" ht="15" customHeight="1" x14ac:dyDescent="0.3">
      <c r="O893" s="14" t="s">
        <v>1609</v>
      </c>
      <c r="P893" s="14" t="s">
        <v>827</v>
      </c>
      <c r="Q893" s="15">
        <v>45768</v>
      </c>
      <c r="R893" s="14" t="s">
        <v>110</v>
      </c>
      <c r="S893" s="14">
        <v>6665</v>
      </c>
      <c r="U893" s="1" t="str">
        <f>TEXT(tblTransactions[[#This Row],[Date]],"YYYY-MM")</f>
        <v>2025-04</v>
      </c>
      <c r="Z893" s="1"/>
    </row>
    <row r="894" spans="15:26" ht="15" customHeight="1" x14ac:dyDescent="0.3">
      <c r="O894" s="14" t="s">
        <v>1610</v>
      </c>
      <c r="P894" s="14" t="s">
        <v>827</v>
      </c>
      <c r="Q894" s="15">
        <v>46048</v>
      </c>
      <c r="R894" s="14" t="s">
        <v>117</v>
      </c>
      <c r="S894" s="14">
        <v>22502</v>
      </c>
      <c r="U894" s="1" t="str">
        <f>TEXT(tblTransactions[[#This Row],[Date]],"YYYY-MM")</f>
        <v>2026-01</v>
      </c>
      <c r="Z894" s="1"/>
    </row>
    <row r="895" spans="15:26" ht="15" customHeight="1" x14ac:dyDescent="0.3">
      <c r="O895" s="14" t="s">
        <v>1611</v>
      </c>
      <c r="P895" s="14" t="s">
        <v>827</v>
      </c>
      <c r="Q895" s="15">
        <v>46034</v>
      </c>
      <c r="R895" s="14" t="s">
        <v>89</v>
      </c>
      <c r="S895" s="14">
        <v>16208</v>
      </c>
      <c r="U895" s="1" t="str">
        <f>TEXT(tblTransactions[[#This Row],[Date]],"YYYY-MM")</f>
        <v>2026-01</v>
      </c>
      <c r="Z895" s="1"/>
    </row>
    <row r="896" spans="15:26" ht="15" customHeight="1" x14ac:dyDescent="0.3">
      <c r="O896" s="14" t="s">
        <v>1612</v>
      </c>
      <c r="P896" s="14" t="s">
        <v>827</v>
      </c>
      <c r="Q896" s="15">
        <v>45854</v>
      </c>
      <c r="R896" s="14" t="s">
        <v>1220</v>
      </c>
      <c r="S896" s="14">
        <v>10434</v>
      </c>
      <c r="U896" s="1" t="str">
        <f>TEXT(tblTransactions[[#This Row],[Date]],"YYYY-MM")</f>
        <v>2025-07</v>
      </c>
      <c r="Z896" s="1"/>
    </row>
    <row r="897" spans="15:26" ht="15" customHeight="1" x14ac:dyDescent="0.3">
      <c r="O897" s="14" t="s">
        <v>1613</v>
      </c>
      <c r="P897" s="14" t="s">
        <v>827</v>
      </c>
      <c r="Q897" s="15">
        <v>45755</v>
      </c>
      <c r="R897" s="14" t="s">
        <v>89</v>
      </c>
      <c r="S897" s="14">
        <v>6726</v>
      </c>
      <c r="U897" s="1" t="str">
        <f>TEXT(tblTransactions[[#This Row],[Date]],"YYYY-MM")</f>
        <v>2025-04</v>
      </c>
      <c r="Z897" s="1"/>
    </row>
    <row r="898" spans="15:26" ht="15" customHeight="1" x14ac:dyDescent="0.3">
      <c r="O898" s="14" t="s">
        <v>1614</v>
      </c>
      <c r="P898" s="14" t="s">
        <v>827</v>
      </c>
      <c r="Q898" s="15">
        <v>45808</v>
      </c>
      <c r="R898" s="14" t="s">
        <v>117</v>
      </c>
      <c r="S898" s="14">
        <v>16193</v>
      </c>
      <c r="U898" s="1" t="str">
        <f>TEXT(tblTransactions[[#This Row],[Date]],"YYYY-MM")</f>
        <v>2025-05</v>
      </c>
      <c r="Z898" s="1"/>
    </row>
    <row r="899" spans="15:26" ht="15" customHeight="1" x14ac:dyDescent="0.3">
      <c r="O899" s="14" t="s">
        <v>1615</v>
      </c>
      <c r="P899" s="14" t="s">
        <v>827</v>
      </c>
      <c r="Q899" s="15">
        <v>45872</v>
      </c>
      <c r="R899" s="14" t="s">
        <v>117</v>
      </c>
      <c r="S899" s="14">
        <v>20305</v>
      </c>
      <c r="U899" s="1" t="str">
        <f>TEXT(tblTransactions[[#This Row],[Date]],"YYYY-MM")</f>
        <v>2025-08</v>
      </c>
      <c r="Z899" s="1"/>
    </row>
    <row r="900" spans="15:26" ht="15" customHeight="1" x14ac:dyDescent="0.3">
      <c r="O900" s="14" t="s">
        <v>1616</v>
      </c>
      <c r="P900" s="14" t="s">
        <v>827</v>
      </c>
      <c r="Q900" s="15">
        <v>46108</v>
      </c>
      <c r="R900" s="14" t="s">
        <v>89</v>
      </c>
      <c r="S900" s="14">
        <v>13496</v>
      </c>
      <c r="U900" s="1" t="str">
        <f>TEXT(tblTransactions[[#This Row],[Date]],"YYYY-MM")</f>
        <v>2026-03</v>
      </c>
      <c r="Z900" s="1"/>
    </row>
    <row r="901" spans="15:26" ht="15" customHeight="1" x14ac:dyDescent="0.3">
      <c r="O901" s="14" t="s">
        <v>1617</v>
      </c>
      <c r="P901" s="14" t="s">
        <v>827</v>
      </c>
      <c r="Q901" s="15">
        <v>45870</v>
      </c>
      <c r="R901" s="14" t="s">
        <v>135</v>
      </c>
      <c r="S901" s="14">
        <v>11038</v>
      </c>
      <c r="U901" s="1" t="str">
        <f>TEXT(tblTransactions[[#This Row],[Date]],"YYYY-MM")</f>
        <v>2025-08</v>
      </c>
      <c r="Z901" s="1"/>
    </row>
    <row r="902" spans="15:26" ht="15" customHeight="1" x14ac:dyDescent="0.3">
      <c r="O902" s="14" t="s">
        <v>1618</v>
      </c>
      <c r="P902" s="14" t="s">
        <v>827</v>
      </c>
      <c r="Q902" s="15">
        <v>45892</v>
      </c>
      <c r="R902" s="14" t="s">
        <v>81</v>
      </c>
      <c r="S902" s="14">
        <v>15778</v>
      </c>
      <c r="U902" s="1" t="str">
        <f>TEXT(tblTransactions[[#This Row],[Date]],"YYYY-MM")</f>
        <v>2025-08</v>
      </c>
      <c r="Z902" s="1"/>
    </row>
    <row r="903" spans="15:26" ht="15" customHeight="1" x14ac:dyDescent="0.3">
      <c r="O903" s="14" t="s">
        <v>1619</v>
      </c>
      <c r="P903" s="14" t="s">
        <v>831</v>
      </c>
      <c r="Q903" s="15">
        <v>46080</v>
      </c>
      <c r="R903" s="14" t="s">
        <v>1220</v>
      </c>
      <c r="S903" s="14">
        <v>10606</v>
      </c>
      <c r="U903" s="1" t="str">
        <f>TEXT(tblTransactions[[#This Row],[Date]],"YYYY-MM")</f>
        <v>2026-02</v>
      </c>
      <c r="Z903" s="1"/>
    </row>
    <row r="904" spans="15:26" ht="15" customHeight="1" x14ac:dyDescent="0.3">
      <c r="O904" s="14" t="s">
        <v>1620</v>
      </c>
      <c r="P904" s="14" t="s">
        <v>831</v>
      </c>
      <c r="Q904" s="15">
        <v>45881</v>
      </c>
      <c r="R904" s="14" t="s">
        <v>1220</v>
      </c>
      <c r="S904" s="14">
        <v>17303</v>
      </c>
      <c r="U904" s="1" t="str">
        <f>TEXT(tblTransactions[[#This Row],[Date]],"YYYY-MM")</f>
        <v>2025-08</v>
      </c>
      <c r="Z904" s="1"/>
    </row>
    <row r="905" spans="15:26" ht="15" customHeight="1" x14ac:dyDescent="0.3">
      <c r="O905" s="14" t="s">
        <v>1621</v>
      </c>
      <c r="P905" s="14" t="s">
        <v>831</v>
      </c>
      <c r="Q905" s="15">
        <v>46002</v>
      </c>
      <c r="R905" s="14" t="s">
        <v>81</v>
      </c>
      <c r="S905" s="14">
        <v>3731</v>
      </c>
      <c r="U905" s="1" t="str">
        <f>TEXT(tblTransactions[[#This Row],[Date]],"YYYY-MM")</f>
        <v>2025-12</v>
      </c>
      <c r="Z905" s="1"/>
    </row>
    <row r="906" spans="15:26" ht="15" customHeight="1" x14ac:dyDescent="0.3">
      <c r="O906" s="14" t="s">
        <v>1622</v>
      </c>
      <c r="P906" s="14" t="s">
        <v>831</v>
      </c>
      <c r="Q906" s="15">
        <v>45988</v>
      </c>
      <c r="R906" s="14" t="s">
        <v>1220</v>
      </c>
      <c r="S906" s="14">
        <v>7156</v>
      </c>
      <c r="U906" s="1" t="str">
        <f>TEXT(tblTransactions[[#This Row],[Date]],"YYYY-MM")</f>
        <v>2025-11</v>
      </c>
      <c r="Z906" s="1"/>
    </row>
    <row r="907" spans="15:26" ht="15" customHeight="1" x14ac:dyDescent="0.3">
      <c r="O907" s="14" t="s">
        <v>1623</v>
      </c>
      <c r="P907" s="14" t="s">
        <v>831</v>
      </c>
      <c r="Q907" s="15">
        <v>45937</v>
      </c>
      <c r="R907" s="14" t="s">
        <v>1220</v>
      </c>
      <c r="S907" s="14">
        <v>14063</v>
      </c>
      <c r="U907" s="1" t="str">
        <f>TEXT(tblTransactions[[#This Row],[Date]],"YYYY-MM")</f>
        <v>2025-10</v>
      </c>
      <c r="Z907" s="1"/>
    </row>
    <row r="908" spans="15:26" ht="15" customHeight="1" x14ac:dyDescent="0.3">
      <c r="O908" s="14" t="s">
        <v>1624</v>
      </c>
      <c r="P908" s="14" t="s">
        <v>831</v>
      </c>
      <c r="Q908" s="15">
        <v>45771</v>
      </c>
      <c r="R908" s="14" t="s">
        <v>135</v>
      </c>
      <c r="S908" s="14">
        <v>7750</v>
      </c>
      <c r="U908" s="1" t="str">
        <f>TEXT(tblTransactions[[#This Row],[Date]],"YYYY-MM")</f>
        <v>2025-04</v>
      </c>
      <c r="Z908" s="1"/>
    </row>
    <row r="909" spans="15:26" ht="15" customHeight="1" x14ac:dyDescent="0.3">
      <c r="O909" s="14" t="s">
        <v>1625</v>
      </c>
      <c r="P909" s="14" t="s">
        <v>831</v>
      </c>
      <c r="Q909" s="15">
        <v>45822</v>
      </c>
      <c r="R909" s="14" t="s">
        <v>110</v>
      </c>
      <c r="S909" s="14">
        <v>9045</v>
      </c>
      <c r="U909" s="1" t="str">
        <f>TEXT(tblTransactions[[#This Row],[Date]],"YYYY-MM")</f>
        <v>2025-06</v>
      </c>
      <c r="Z909" s="1"/>
    </row>
    <row r="910" spans="15:26" ht="15" customHeight="1" x14ac:dyDescent="0.3">
      <c r="O910" s="14" t="s">
        <v>1626</v>
      </c>
      <c r="P910" s="14" t="s">
        <v>831</v>
      </c>
      <c r="Q910" s="15">
        <v>46031</v>
      </c>
      <c r="R910" s="14" t="s">
        <v>135</v>
      </c>
      <c r="S910" s="14">
        <v>19477</v>
      </c>
      <c r="U910" s="1" t="str">
        <f>TEXT(tblTransactions[[#This Row],[Date]],"YYYY-MM")</f>
        <v>2026-01</v>
      </c>
      <c r="Z910" s="1"/>
    </row>
    <row r="911" spans="15:26" ht="15" customHeight="1" x14ac:dyDescent="0.3">
      <c r="O911" s="14" t="s">
        <v>1627</v>
      </c>
      <c r="P911" s="14" t="s">
        <v>831</v>
      </c>
      <c r="Q911" s="15">
        <v>45961</v>
      </c>
      <c r="R911" s="14" t="s">
        <v>1220</v>
      </c>
      <c r="S911" s="14">
        <v>5494</v>
      </c>
      <c r="U911" s="1" t="str">
        <f>TEXT(tblTransactions[[#This Row],[Date]],"YYYY-MM")</f>
        <v>2025-10</v>
      </c>
      <c r="Z911" s="1"/>
    </row>
    <row r="912" spans="15:26" ht="15" customHeight="1" x14ac:dyDescent="0.3">
      <c r="O912" s="14" t="s">
        <v>1628</v>
      </c>
      <c r="P912" s="14" t="s">
        <v>834</v>
      </c>
      <c r="Q912" s="15">
        <v>45916</v>
      </c>
      <c r="R912" s="14" t="s">
        <v>89</v>
      </c>
      <c r="S912" s="14">
        <v>12946</v>
      </c>
      <c r="U912" s="1" t="str">
        <f>TEXT(tblTransactions[[#This Row],[Date]],"YYYY-MM")</f>
        <v>2025-09</v>
      </c>
      <c r="Z912" s="1"/>
    </row>
    <row r="913" spans="15:26" ht="15" customHeight="1" x14ac:dyDescent="0.3">
      <c r="O913" s="14" t="s">
        <v>1629</v>
      </c>
      <c r="P913" s="14" t="s">
        <v>834</v>
      </c>
      <c r="Q913" s="15">
        <v>46039</v>
      </c>
      <c r="R913" s="14" t="s">
        <v>89</v>
      </c>
      <c r="S913" s="14">
        <v>16861</v>
      </c>
      <c r="U913" s="1" t="str">
        <f>TEXT(tblTransactions[[#This Row],[Date]],"YYYY-MM")</f>
        <v>2026-01</v>
      </c>
      <c r="Z913" s="1"/>
    </row>
    <row r="914" spans="15:26" ht="15" customHeight="1" x14ac:dyDescent="0.3">
      <c r="O914" s="14" t="s">
        <v>1630</v>
      </c>
      <c r="P914" s="14" t="s">
        <v>834</v>
      </c>
      <c r="Q914" s="15">
        <v>46029</v>
      </c>
      <c r="R914" s="14" t="s">
        <v>117</v>
      </c>
      <c r="S914" s="14">
        <v>22941</v>
      </c>
      <c r="U914" s="1" t="str">
        <f>TEXT(tblTransactions[[#This Row],[Date]],"YYYY-MM")</f>
        <v>2026-01</v>
      </c>
      <c r="Z914" s="1"/>
    </row>
    <row r="915" spans="15:26" ht="15" customHeight="1" x14ac:dyDescent="0.3">
      <c r="O915" s="14" t="s">
        <v>1631</v>
      </c>
      <c r="P915" s="14" t="s">
        <v>834</v>
      </c>
      <c r="Q915" s="15">
        <v>45920</v>
      </c>
      <c r="R915" s="14" t="s">
        <v>1220</v>
      </c>
      <c r="S915" s="14">
        <v>16511</v>
      </c>
      <c r="U915" s="1" t="str">
        <f>TEXT(tblTransactions[[#This Row],[Date]],"YYYY-MM")</f>
        <v>2025-09</v>
      </c>
      <c r="Z915" s="1"/>
    </row>
    <row r="916" spans="15:26" ht="15" customHeight="1" x14ac:dyDescent="0.3">
      <c r="O916" s="14" t="s">
        <v>1632</v>
      </c>
      <c r="P916" s="14" t="s">
        <v>838</v>
      </c>
      <c r="Q916" s="15">
        <v>45983</v>
      </c>
      <c r="R916" s="14" t="s">
        <v>89</v>
      </c>
      <c r="S916" s="14">
        <v>24511</v>
      </c>
      <c r="U916" s="1" t="str">
        <f>TEXT(tblTransactions[[#This Row],[Date]],"YYYY-MM")</f>
        <v>2025-11</v>
      </c>
      <c r="Z916" s="1"/>
    </row>
    <row r="917" spans="15:26" ht="15" customHeight="1" x14ac:dyDescent="0.3">
      <c r="O917" s="14" t="s">
        <v>1633</v>
      </c>
      <c r="P917" s="14" t="s">
        <v>838</v>
      </c>
      <c r="Q917" s="15">
        <v>45928</v>
      </c>
      <c r="R917" s="14" t="s">
        <v>89</v>
      </c>
      <c r="S917" s="14">
        <v>5086</v>
      </c>
      <c r="U917" s="1" t="str">
        <f>TEXT(tblTransactions[[#This Row],[Date]],"YYYY-MM")</f>
        <v>2025-09</v>
      </c>
      <c r="Z917" s="1"/>
    </row>
    <row r="918" spans="15:26" ht="15" customHeight="1" x14ac:dyDescent="0.3">
      <c r="O918" s="14" t="s">
        <v>1634</v>
      </c>
      <c r="P918" s="14" t="s">
        <v>838</v>
      </c>
      <c r="Q918" s="15">
        <v>46027</v>
      </c>
      <c r="R918" s="14" t="s">
        <v>81</v>
      </c>
      <c r="S918" s="14">
        <v>6530</v>
      </c>
      <c r="U918" s="1" t="str">
        <f>TEXT(tblTransactions[[#This Row],[Date]],"YYYY-MM")</f>
        <v>2026-01</v>
      </c>
      <c r="Z918" s="1"/>
    </row>
    <row r="919" spans="15:26" ht="15" customHeight="1" x14ac:dyDescent="0.3">
      <c r="O919" s="14" t="s">
        <v>1635</v>
      </c>
      <c r="P919" s="14" t="s">
        <v>838</v>
      </c>
      <c r="Q919" s="15">
        <v>46025</v>
      </c>
      <c r="R919" s="14" t="s">
        <v>117</v>
      </c>
      <c r="S919" s="14">
        <v>2424</v>
      </c>
      <c r="U919" s="1" t="str">
        <f>TEXT(tblTransactions[[#This Row],[Date]],"YYYY-MM")</f>
        <v>2026-01</v>
      </c>
      <c r="Z919" s="1"/>
    </row>
    <row r="920" spans="15:26" ht="15" customHeight="1" x14ac:dyDescent="0.3">
      <c r="O920" s="14" t="s">
        <v>1636</v>
      </c>
      <c r="P920" s="14" t="s">
        <v>838</v>
      </c>
      <c r="Q920" s="15">
        <v>46016</v>
      </c>
      <c r="R920" s="14" t="s">
        <v>110</v>
      </c>
      <c r="S920" s="14">
        <v>2935</v>
      </c>
      <c r="U920" s="1" t="str">
        <f>TEXT(tblTransactions[[#This Row],[Date]],"YYYY-MM")</f>
        <v>2025-12</v>
      </c>
      <c r="Z920" s="1"/>
    </row>
    <row r="921" spans="15:26" ht="15" customHeight="1" x14ac:dyDescent="0.3">
      <c r="O921" s="14" t="s">
        <v>1637</v>
      </c>
      <c r="P921" s="14" t="s">
        <v>838</v>
      </c>
      <c r="Q921" s="15">
        <v>46090</v>
      </c>
      <c r="R921" s="14" t="s">
        <v>110</v>
      </c>
      <c r="S921" s="14">
        <v>709</v>
      </c>
      <c r="U921" s="1" t="str">
        <f>TEXT(tblTransactions[[#This Row],[Date]],"YYYY-MM")</f>
        <v>2026-03</v>
      </c>
      <c r="Z921" s="1"/>
    </row>
    <row r="922" spans="15:26" ht="15" customHeight="1" x14ac:dyDescent="0.3">
      <c r="O922" s="14" t="s">
        <v>1638</v>
      </c>
      <c r="P922" s="14" t="s">
        <v>838</v>
      </c>
      <c r="Q922" s="15">
        <v>45959</v>
      </c>
      <c r="R922" s="14" t="s">
        <v>89</v>
      </c>
      <c r="S922" s="14">
        <v>21166</v>
      </c>
      <c r="U922" s="1" t="str">
        <f>TEXT(tblTransactions[[#This Row],[Date]],"YYYY-MM")</f>
        <v>2025-10</v>
      </c>
      <c r="Z922" s="1"/>
    </row>
    <row r="923" spans="15:26" ht="15" customHeight="1" x14ac:dyDescent="0.3">
      <c r="O923" s="14" t="s">
        <v>1639</v>
      </c>
      <c r="P923" s="14" t="s">
        <v>838</v>
      </c>
      <c r="Q923" s="15">
        <v>45866</v>
      </c>
      <c r="R923" s="14" t="s">
        <v>110</v>
      </c>
      <c r="S923" s="14">
        <v>23672</v>
      </c>
      <c r="U923" s="1" t="str">
        <f>TEXT(tblTransactions[[#This Row],[Date]],"YYYY-MM")</f>
        <v>2025-07</v>
      </c>
      <c r="Z923" s="1"/>
    </row>
    <row r="924" spans="15:26" ht="15" customHeight="1" x14ac:dyDescent="0.3">
      <c r="O924" s="14" t="s">
        <v>1640</v>
      </c>
      <c r="P924" s="14" t="s">
        <v>842</v>
      </c>
      <c r="Q924" s="15">
        <v>45752</v>
      </c>
      <c r="R924" s="14" t="s">
        <v>89</v>
      </c>
      <c r="S924" s="14">
        <v>17071</v>
      </c>
      <c r="U924" s="1" t="str">
        <f>TEXT(tblTransactions[[#This Row],[Date]],"YYYY-MM")</f>
        <v>2025-04</v>
      </c>
      <c r="Z924" s="1"/>
    </row>
    <row r="925" spans="15:26" ht="15" customHeight="1" x14ac:dyDescent="0.3">
      <c r="O925" s="14" t="s">
        <v>1641</v>
      </c>
      <c r="P925" s="14" t="s">
        <v>842</v>
      </c>
      <c r="Q925" s="15">
        <v>45981</v>
      </c>
      <c r="R925" s="14" t="s">
        <v>1220</v>
      </c>
      <c r="S925" s="14">
        <v>2480</v>
      </c>
      <c r="U925" s="1" t="str">
        <f>TEXT(tblTransactions[[#This Row],[Date]],"YYYY-MM")</f>
        <v>2025-11</v>
      </c>
      <c r="Z925" s="1"/>
    </row>
    <row r="926" spans="15:26" ht="15" customHeight="1" x14ac:dyDescent="0.3">
      <c r="O926" s="14" t="s">
        <v>1642</v>
      </c>
      <c r="P926" s="14" t="s">
        <v>842</v>
      </c>
      <c r="Q926" s="15">
        <v>46064</v>
      </c>
      <c r="R926" s="14" t="s">
        <v>117</v>
      </c>
      <c r="S926" s="14">
        <v>22348</v>
      </c>
      <c r="U926" s="1" t="str">
        <f>TEXT(tblTransactions[[#This Row],[Date]],"YYYY-MM")</f>
        <v>2026-02</v>
      </c>
      <c r="Z926" s="1"/>
    </row>
    <row r="927" spans="15:26" ht="15" customHeight="1" x14ac:dyDescent="0.3">
      <c r="O927" s="14" t="s">
        <v>1643</v>
      </c>
      <c r="P927" s="14" t="s">
        <v>846</v>
      </c>
      <c r="Q927" s="15">
        <v>45995</v>
      </c>
      <c r="R927" s="14" t="s">
        <v>117</v>
      </c>
      <c r="S927" s="14">
        <v>16486</v>
      </c>
      <c r="U927" s="1" t="str">
        <f>TEXT(tblTransactions[[#This Row],[Date]],"YYYY-MM")</f>
        <v>2025-12</v>
      </c>
      <c r="Z927" s="1"/>
    </row>
    <row r="928" spans="15:26" ht="15" customHeight="1" x14ac:dyDescent="0.3">
      <c r="O928" s="14" t="s">
        <v>1644</v>
      </c>
      <c r="P928" s="14" t="s">
        <v>846</v>
      </c>
      <c r="Q928" s="15">
        <v>45756</v>
      </c>
      <c r="R928" s="14" t="s">
        <v>110</v>
      </c>
      <c r="S928" s="14">
        <v>17939</v>
      </c>
      <c r="U928" s="1" t="str">
        <f>TEXT(tblTransactions[[#This Row],[Date]],"YYYY-MM")</f>
        <v>2025-04</v>
      </c>
      <c r="Z928" s="1"/>
    </row>
    <row r="929" spans="15:26" ht="15" customHeight="1" x14ac:dyDescent="0.3">
      <c r="O929" s="14" t="s">
        <v>1645</v>
      </c>
      <c r="P929" s="14" t="s">
        <v>846</v>
      </c>
      <c r="Q929" s="15">
        <v>46030</v>
      </c>
      <c r="R929" s="14" t="s">
        <v>81</v>
      </c>
      <c r="S929" s="14">
        <v>888</v>
      </c>
      <c r="U929" s="1" t="str">
        <f>TEXT(tblTransactions[[#This Row],[Date]],"YYYY-MM")</f>
        <v>2026-01</v>
      </c>
      <c r="Z929" s="1"/>
    </row>
    <row r="930" spans="15:26" ht="15" customHeight="1" x14ac:dyDescent="0.3">
      <c r="O930" s="14" t="s">
        <v>1646</v>
      </c>
      <c r="P930" s="14" t="s">
        <v>846</v>
      </c>
      <c r="Q930" s="15">
        <v>45756</v>
      </c>
      <c r="R930" s="14" t="s">
        <v>135</v>
      </c>
      <c r="S930" s="14">
        <v>24164</v>
      </c>
      <c r="U930" s="1" t="str">
        <f>TEXT(tblTransactions[[#This Row],[Date]],"YYYY-MM")</f>
        <v>2025-04</v>
      </c>
      <c r="Z930" s="1"/>
    </row>
    <row r="931" spans="15:26" ht="15" customHeight="1" x14ac:dyDescent="0.3">
      <c r="O931" s="14" t="s">
        <v>1647</v>
      </c>
      <c r="P931" s="14" t="s">
        <v>846</v>
      </c>
      <c r="Q931" s="15">
        <v>45888</v>
      </c>
      <c r="R931" s="14" t="s">
        <v>135</v>
      </c>
      <c r="S931" s="14">
        <v>9894</v>
      </c>
      <c r="U931" s="1" t="str">
        <f>TEXT(tblTransactions[[#This Row],[Date]],"YYYY-MM")</f>
        <v>2025-08</v>
      </c>
      <c r="Z931" s="1"/>
    </row>
    <row r="932" spans="15:26" ht="15" customHeight="1" x14ac:dyDescent="0.3">
      <c r="O932" s="14" t="s">
        <v>1648</v>
      </c>
      <c r="P932" s="14" t="s">
        <v>846</v>
      </c>
      <c r="Q932" s="15">
        <v>45756</v>
      </c>
      <c r="R932" s="14" t="s">
        <v>135</v>
      </c>
      <c r="S932" s="14">
        <v>23367</v>
      </c>
      <c r="U932" s="1" t="str">
        <f>TEXT(tblTransactions[[#This Row],[Date]],"YYYY-MM")</f>
        <v>2025-04</v>
      </c>
      <c r="Z932" s="1"/>
    </row>
    <row r="933" spans="15:26" ht="15" customHeight="1" x14ac:dyDescent="0.3">
      <c r="O933" s="14" t="s">
        <v>1649</v>
      </c>
      <c r="P933" s="14" t="s">
        <v>846</v>
      </c>
      <c r="Q933" s="15">
        <v>46093</v>
      </c>
      <c r="R933" s="14" t="s">
        <v>81</v>
      </c>
      <c r="S933" s="14">
        <v>6374</v>
      </c>
      <c r="U933" s="1" t="str">
        <f>TEXT(tblTransactions[[#This Row],[Date]],"YYYY-MM")</f>
        <v>2026-03</v>
      </c>
      <c r="Z933" s="1"/>
    </row>
    <row r="934" spans="15:26" ht="15" customHeight="1" x14ac:dyDescent="0.3">
      <c r="O934" s="14" t="s">
        <v>1650</v>
      </c>
      <c r="P934" s="14" t="s">
        <v>846</v>
      </c>
      <c r="Q934" s="15">
        <v>45802</v>
      </c>
      <c r="R934" s="14" t="s">
        <v>110</v>
      </c>
      <c r="S934" s="14">
        <v>17683</v>
      </c>
      <c r="U934" s="1" t="str">
        <f>TEXT(tblTransactions[[#This Row],[Date]],"YYYY-MM")</f>
        <v>2025-05</v>
      </c>
      <c r="Z934" s="1"/>
    </row>
    <row r="935" spans="15:26" ht="15" customHeight="1" x14ac:dyDescent="0.3">
      <c r="O935" s="14" t="s">
        <v>1651</v>
      </c>
      <c r="P935" s="14" t="s">
        <v>846</v>
      </c>
      <c r="Q935" s="15">
        <v>45824</v>
      </c>
      <c r="R935" s="14" t="s">
        <v>89</v>
      </c>
      <c r="S935" s="14">
        <v>6789</v>
      </c>
      <c r="U935" s="1" t="str">
        <f>TEXT(tblTransactions[[#This Row],[Date]],"YYYY-MM")</f>
        <v>2025-06</v>
      </c>
      <c r="Z935" s="1"/>
    </row>
    <row r="936" spans="15:26" ht="15" customHeight="1" x14ac:dyDescent="0.3">
      <c r="O936" s="14" t="s">
        <v>1652</v>
      </c>
      <c r="P936" s="14" t="s">
        <v>846</v>
      </c>
      <c r="Q936" s="15">
        <v>46065</v>
      </c>
      <c r="R936" s="14" t="s">
        <v>135</v>
      </c>
      <c r="S936" s="14">
        <v>8771</v>
      </c>
      <c r="U936" s="1" t="str">
        <f>TEXT(tblTransactions[[#This Row],[Date]],"YYYY-MM")</f>
        <v>2026-02</v>
      </c>
      <c r="Z936" s="1"/>
    </row>
    <row r="937" spans="15:26" ht="15" customHeight="1" x14ac:dyDescent="0.3">
      <c r="O937" s="14" t="s">
        <v>1653</v>
      </c>
      <c r="P937" s="14" t="s">
        <v>850</v>
      </c>
      <c r="Q937" s="15">
        <v>45884</v>
      </c>
      <c r="R937" s="14" t="s">
        <v>81</v>
      </c>
      <c r="S937" s="14">
        <v>3089</v>
      </c>
      <c r="U937" s="1" t="str">
        <f>TEXT(tblTransactions[[#This Row],[Date]],"YYYY-MM")</f>
        <v>2025-08</v>
      </c>
      <c r="Z937" s="1"/>
    </row>
    <row r="938" spans="15:26" ht="15" customHeight="1" x14ac:dyDescent="0.3">
      <c r="O938" s="14" t="s">
        <v>1654</v>
      </c>
      <c r="P938" s="14" t="s">
        <v>850</v>
      </c>
      <c r="Q938" s="15">
        <v>45939</v>
      </c>
      <c r="R938" s="14" t="s">
        <v>81</v>
      </c>
      <c r="S938" s="14">
        <v>15540</v>
      </c>
      <c r="U938" s="1" t="str">
        <f>TEXT(tblTransactions[[#This Row],[Date]],"YYYY-MM")</f>
        <v>2025-10</v>
      </c>
      <c r="Z938" s="1"/>
    </row>
    <row r="939" spans="15:26" ht="15" customHeight="1" x14ac:dyDescent="0.3">
      <c r="O939" s="14" t="s">
        <v>1655</v>
      </c>
      <c r="P939" s="14" t="s">
        <v>850</v>
      </c>
      <c r="Q939" s="15">
        <v>46037</v>
      </c>
      <c r="R939" s="14" t="s">
        <v>89</v>
      </c>
      <c r="S939" s="14">
        <v>23347</v>
      </c>
      <c r="U939" s="1" t="str">
        <f>TEXT(tblTransactions[[#This Row],[Date]],"YYYY-MM")</f>
        <v>2026-01</v>
      </c>
      <c r="Z939" s="1"/>
    </row>
    <row r="940" spans="15:26" ht="15" customHeight="1" x14ac:dyDescent="0.3">
      <c r="O940" s="14" t="s">
        <v>1656</v>
      </c>
      <c r="P940" s="14" t="s">
        <v>850</v>
      </c>
      <c r="Q940" s="15">
        <v>45863</v>
      </c>
      <c r="R940" s="14" t="s">
        <v>1220</v>
      </c>
      <c r="S940" s="14">
        <v>22914</v>
      </c>
      <c r="U940" s="1" t="str">
        <f>TEXT(tblTransactions[[#This Row],[Date]],"YYYY-MM")</f>
        <v>2025-07</v>
      </c>
      <c r="Z940" s="1"/>
    </row>
    <row r="941" spans="15:26" ht="15" customHeight="1" x14ac:dyDescent="0.3">
      <c r="O941" s="14" t="s">
        <v>1657</v>
      </c>
      <c r="P941" s="14" t="s">
        <v>850</v>
      </c>
      <c r="Q941" s="15">
        <v>45789</v>
      </c>
      <c r="R941" s="14" t="s">
        <v>117</v>
      </c>
      <c r="S941" s="14">
        <v>21795</v>
      </c>
      <c r="U941" s="1" t="str">
        <f>TEXT(tblTransactions[[#This Row],[Date]],"YYYY-MM")</f>
        <v>2025-05</v>
      </c>
      <c r="Z941" s="1"/>
    </row>
    <row r="942" spans="15:26" ht="15" customHeight="1" x14ac:dyDescent="0.3">
      <c r="O942" s="14" t="s">
        <v>1658</v>
      </c>
      <c r="P942" s="14" t="s">
        <v>850</v>
      </c>
      <c r="Q942" s="15">
        <v>45764</v>
      </c>
      <c r="R942" s="14" t="s">
        <v>110</v>
      </c>
      <c r="S942" s="14">
        <v>13780</v>
      </c>
      <c r="U942" s="1" t="str">
        <f>TEXT(tblTransactions[[#This Row],[Date]],"YYYY-MM")</f>
        <v>2025-04</v>
      </c>
      <c r="Z942" s="1"/>
    </row>
    <row r="943" spans="15:26" ht="15" customHeight="1" x14ac:dyDescent="0.3">
      <c r="O943" s="14" t="s">
        <v>1659</v>
      </c>
      <c r="P943" s="14" t="s">
        <v>854</v>
      </c>
      <c r="Q943" s="15">
        <v>45941</v>
      </c>
      <c r="R943" s="14" t="s">
        <v>135</v>
      </c>
      <c r="S943" s="14">
        <v>16097</v>
      </c>
      <c r="U943" s="1" t="str">
        <f>TEXT(tblTransactions[[#This Row],[Date]],"YYYY-MM")</f>
        <v>2025-10</v>
      </c>
      <c r="Z943" s="1"/>
    </row>
    <row r="944" spans="15:26" ht="15" customHeight="1" x14ac:dyDescent="0.3">
      <c r="O944" s="14" t="s">
        <v>1660</v>
      </c>
      <c r="P944" s="14" t="s">
        <v>854</v>
      </c>
      <c r="Q944" s="15">
        <v>45776</v>
      </c>
      <c r="R944" s="14" t="s">
        <v>117</v>
      </c>
      <c r="S944" s="14">
        <v>809</v>
      </c>
      <c r="U944" s="1" t="str">
        <f>TEXT(tblTransactions[[#This Row],[Date]],"YYYY-MM")</f>
        <v>2025-04</v>
      </c>
      <c r="Z944" s="1"/>
    </row>
    <row r="945" spans="15:26" ht="15" customHeight="1" x14ac:dyDescent="0.3">
      <c r="O945" s="14" t="s">
        <v>1661</v>
      </c>
      <c r="P945" s="14" t="s">
        <v>854</v>
      </c>
      <c r="Q945" s="15">
        <v>46107</v>
      </c>
      <c r="R945" s="14" t="s">
        <v>89</v>
      </c>
      <c r="S945" s="14">
        <v>3209</v>
      </c>
      <c r="U945" s="1" t="str">
        <f>TEXT(tblTransactions[[#This Row],[Date]],"YYYY-MM")</f>
        <v>2026-03</v>
      </c>
      <c r="Z945" s="1"/>
    </row>
    <row r="946" spans="15:26" ht="15" customHeight="1" x14ac:dyDescent="0.3">
      <c r="O946" s="14" t="s">
        <v>1662</v>
      </c>
      <c r="P946" s="14" t="s">
        <v>854</v>
      </c>
      <c r="Q946" s="15">
        <v>46003</v>
      </c>
      <c r="R946" s="14" t="s">
        <v>81</v>
      </c>
      <c r="S946" s="14">
        <v>21632</v>
      </c>
      <c r="U946" s="1" t="str">
        <f>TEXT(tblTransactions[[#This Row],[Date]],"YYYY-MM")</f>
        <v>2025-12</v>
      </c>
      <c r="Z946" s="1"/>
    </row>
    <row r="947" spans="15:26" ht="15" customHeight="1" x14ac:dyDescent="0.3">
      <c r="O947" s="14" t="s">
        <v>1663</v>
      </c>
      <c r="P947" s="14" t="s">
        <v>854</v>
      </c>
      <c r="Q947" s="15">
        <v>45917</v>
      </c>
      <c r="R947" s="14" t="s">
        <v>135</v>
      </c>
      <c r="S947" s="14">
        <v>3624</v>
      </c>
      <c r="U947" s="1" t="str">
        <f>TEXT(tblTransactions[[#This Row],[Date]],"YYYY-MM")</f>
        <v>2025-09</v>
      </c>
      <c r="Z947" s="1"/>
    </row>
    <row r="948" spans="15:26" ht="15" customHeight="1" x14ac:dyDescent="0.3">
      <c r="O948" s="14" t="s">
        <v>1664</v>
      </c>
      <c r="P948" s="14" t="s">
        <v>854</v>
      </c>
      <c r="Q948" s="15">
        <v>46018</v>
      </c>
      <c r="R948" s="14" t="s">
        <v>110</v>
      </c>
      <c r="S948" s="14">
        <v>8028</v>
      </c>
      <c r="U948" s="1" t="str">
        <f>TEXT(tblTransactions[[#This Row],[Date]],"YYYY-MM")</f>
        <v>2025-12</v>
      </c>
      <c r="Z948" s="1"/>
    </row>
    <row r="949" spans="15:26" ht="15" customHeight="1" x14ac:dyDescent="0.3">
      <c r="O949" s="14" t="s">
        <v>1665</v>
      </c>
      <c r="P949" s="14" t="s">
        <v>854</v>
      </c>
      <c r="Q949" s="15">
        <v>45856</v>
      </c>
      <c r="R949" s="14" t="s">
        <v>117</v>
      </c>
      <c r="S949" s="14">
        <v>19072</v>
      </c>
      <c r="U949" s="1" t="str">
        <f>TEXT(tblTransactions[[#This Row],[Date]],"YYYY-MM")</f>
        <v>2025-07</v>
      </c>
      <c r="Z949" s="1"/>
    </row>
    <row r="950" spans="15:26" ht="15" customHeight="1" x14ac:dyDescent="0.3">
      <c r="O950" s="14" t="s">
        <v>1666</v>
      </c>
      <c r="P950" s="14" t="s">
        <v>858</v>
      </c>
      <c r="Q950" s="15">
        <v>45886</v>
      </c>
      <c r="R950" s="14" t="s">
        <v>110</v>
      </c>
      <c r="S950" s="14">
        <v>2936</v>
      </c>
      <c r="U950" s="1" t="str">
        <f>TEXT(tblTransactions[[#This Row],[Date]],"YYYY-MM")</f>
        <v>2025-08</v>
      </c>
      <c r="Z950" s="1"/>
    </row>
    <row r="951" spans="15:26" ht="15" customHeight="1" x14ac:dyDescent="0.3">
      <c r="O951" s="14" t="s">
        <v>1667</v>
      </c>
      <c r="P951" s="14" t="s">
        <v>858</v>
      </c>
      <c r="Q951" s="15">
        <v>46098</v>
      </c>
      <c r="R951" s="14" t="s">
        <v>1220</v>
      </c>
      <c r="S951" s="14">
        <v>18294</v>
      </c>
      <c r="U951" s="1" t="str">
        <f>TEXT(tblTransactions[[#This Row],[Date]],"YYYY-MM")</f>
        <v>2026-03</v>
      </c>
      <c r="Z951" s="1"/>
    </row>
    <row r="952" spans="15:26" ht="15" customHeight="1" x14ac:dyDescent="0.3">
      <c r="O952" s="14" t="s">
        <v>1668</v>
      </c>
      <c r="P952" s="14" t="s">
        <v>858</v>
      </c>
      <c r="Q952" s="15">
        <v>46036</v>
      </c>
      <c r="R952" s="14" t="s">
        <v>117</v>
      </c>
      <c r="S952" s="14">
        <v>1578</v>
      </c>
      <c r="U952" s="1" t="str">
        <f>TEXT(tblTransactions[[#This Row],[Date]],"YYYY-MM")</f>
        <v>2026-01</v>
      </c>
      <c r="Z952" s="1"/>
    </row>
    <row r="953" spans="15:26" ht="15" customHeight="1" x14ac:dyDescent="0.3">
      <c r="O953" s="14" t="s">
        <v>1669</v>
      </c>
      <c r="P953" s="14" t="s">
        <v>858</v>
      </c>
      <c r="Q953" s="15">
        <v>45839</v>
      </c>
      <c r="R953" s="14" t="s">
        <v>1220</v>
      </c>
      <c r="S953" s="14">
        <v>1013</v>
      </c>
      <c r="U953" s="1" t="str">
        <f>TEXT(tblTransactions[[#This Row],[Date]],"YYYY-MM")</f>
        <v>2025-07</v>
      </c>
      <c r="Z953" s="1"/>
    </row>
    <row r="954" spans="15:26" ht="15" customHeight="1" x14ac:dyDescent="0.3">
      <c r="O954" s="14" t="s">
        <v>1670</v>
      </c>
      <c r="P954" s="14" t="s">
        <v>858</v>
      </c>
      <c r="Q954" s="15">
        <v>45854</v>
      </c>
      <c r="R954" s="14" t="s">
        <v>135</v>
      </c>
      <c r="S954" s="14">
        <v>5224</v>
      </c>
      <c r="U954" s="1" t="str">
        <f>TEXT(tblTransactions[[#This Row],[Date]],"YYYY-MM")</f>
        <v>2025-07</v>
      </c>
      <c r="Z954" s="1"/>
    </row>
    <row r="955" spans="15:26" ht="15" customHeight="1" x14ac:dyDescent="0.3">
      <c r="O955" s="14" t="s">
        <v>1671</v>
      </c>
      <c r="P955" s="14" t="s">
        <v>858</v>
      </c>
      <c r="Q955" s="15">
        <v>46112</v>
      </c>
      <c r="R955" s="14" t="s">
        <v>81</v>
      </c>
      <c r="S955" s="14">
        <v>3021</v>
      </c>
      <c r="U955" s="1" t="str">
        <f>TEXT(tblTransactions[[#This Row],[Date]],"YYYY-MM")</f>
        <v>2026-03</v>
      </c>
      <c r="Z955" s="1"/>
    </row>
    <row r="956" spans="15:26" ht="15" customHeight="1" x14ac:dyDescent="0.3">
      <c r="O956" s="14" t="s">
        <v>1672</v>
      </c>
      <c r="P956" s="14" t="s">
        <v>858</v>
      </c>
      <c r="Q956" s="15">
        <v>45901</v>
      </c>
      <c r="R956" s="14" t="s">
        <v>89</v>
      </c>
      <c r="S956" s="14">
        <v>18979</v>
      </c>
      <c r="U956" s="1" t="str">
        <f>TEXT(tblTransactions[[#This Row],[Date]],"YYYY-MM")</f>
        <v>2025-09</v>
      </c>
      <c r="Z956" s="1"/>
    </row>
    <row r="957" spans="15:26" ht="15" customHeight="1" x14ac:dyDescent="0.3">
      <c r="O957" s="14" t="s">
        <v>1673</v>
      </c>
      <c r="P957" s="14" t="s">
        <v>858</v>
      </c>
      <c r="Q957" s="15">
        <v>45871</v>
      </c>
      <c r="R957" s="14" t="s">
        <v>135</v>
      </c>
      <c r="S957" s="14">
        <v>13251</v>
      </c>
      <c r="U957" s="1" t="str">
        <f>TEXT(tblTransactions[[#This Row],[Date]],"YYYY-MM")</f>
        <v>2025-08</v>
      </c>
      <c r="Z957" s="1"/>
    </row>
    <row r="958" spans="15:26" ht="15" customHeight="1" x14ac:dyDescent="0.3">
      <c r="O958" s="14" t="s">
        <v>1674</v>
      </c>
      <c r="P958" s="14" t="s">
        <v>862</v>
      </c>
      <c r="Q958" s="15">
        <v>45917</v>
      </c>
      <c r="R958" s="14" t="s">
        <v>81</v>
      </c>
      <c r="S958" s="14">
        <v>24739</v>
      </c>
      <c r="U958" s="1" t="str">
        <f>TEXT(tblTransactions[[#This Row],[Date]],"YYYY-MM")</f>
        <v>2025-09</v>
      </c>
      <c r="Z958" s="1"/>
    </row>
    <row r="959" spans="15:26" ht="15" customHeight="1" x14ac:dyDescent="0.3">
      <c r="O959" s="14" t="s">
        <v>1675</v>
      </c>
      <c r="P959" s="14" t="s">
        <v>862</v>
      </c>
      <c r="Q959" s="15">
        <v>45819</v>
      </c>
      <c r="R959" s="14" t="s">
        <v>117</v>
      </c>
      <c r="S959" s="14">
        <v>24229</v>
      </c>
      <c r="U959" s="1" t="str">
        <f>TEXT(tblTransactions[[#This Row],[Date]],"YYYY-MM")</f>
        <v>2025-06</v>
      </c>
      <c r="Z959" s="1"/>
    </row>
    <row r="960" spans="15:26" ht="15" customHeight="1" x14ac:dyDescent="0.3">
      <c r="O960" s="14" t="s">
        <v>1676</v>
      </c>
      <c r="P960" s="14" t="s">
        <v>862</v>
      </c>
      <c r="Q960" s="15">
        <v>45788</v>
      </c>
      <c r="R960" s="14" t="s">
        <v>135</v>
      </c>
      <c r="S960" s="14">
        <v>24927</v>
      </c>
      <c r="U960" s="1" t="str">
        <f>TEXT(tblTransactions[[#This Row],[Date]],"YYYY-MM")</f>
        <v>2025-05</v>
      </c>
      <c r="Z960" s="1"/>
    </row>
    <row r="961" spans="15:26" ht="15" customHeight="1" x14ac:dyDescent="0.3">
      <c r="O961" s="14" t="s">
        <v>1677</v>
      </c>
      <c r="P961" s="14" t="s">
        <v>862</v>
      </c>
      <c r="Q961" s="15">
        <v>45925</v>
      </c>
      <c r="R961" s="14" t="s">
        <v>110</v>
      </c>
      <c r="S961" s="14">
        <v>3700</v>
      </c>
      <c r="U961" s="1" t="str">
        <f>TEXT(tblTransactions[[#This Row],[Date]],"YYYY-MM")</f>
        <v>2025-09</v>
      </c>
      <c r="Z961" s="1"/>
    </row>
    <row r="962" spans="15:26" ht="15" customHeight="1" x14ac:dyDescent="0.3">
      <c r="O962" s="14" t="s">
        <v>1678</v>
      </c>
      <c r="P962" s="14" t="s">
        <v>862</v>
      </c>
      <c r="Q962" s="15">
        <v>45971</v>
      </c>
      <c r="R962" s="14" t="s">
        <v>89</v>
      </c>
      <c r="S962" s="14">
        <v>2990</v>
      </c>
      <c r="U962" s="1" t="str">
        <f>TEXT(tblTransactions[[#This Row],[Date]],"YYYY-MM")</f>
        <v>2025-11</v>
      </c>
      <c r="Z962" s="1"/>
    </row>
    <row r="963" spans="15:26" ht="15" customHeight="1" x14ac:dyDescent="0.3">
      <c r="O963" s="14" t="s">
        <v>1679</v>
      </c>
      <c r="P963" s="14" t="s">
        <v>862</v>
      </c>
      <c r="Q963" s="15">
        <v>45922</v>
      </c>
      <c r="R963" s="14" t="s">
        <v>135</v>
      </c>
      <c r="S963" s="14">
        <v>20615</v>
      </c>
      <c r="U963" s="1" t="str">
        <f>TEXT(tblTransactions[[#This Row],[Date]],"YYYY-MM")</f>
        <v>2025-09</v>
      </c>
      <c r="Z963" s="1"/>
    </row>
    <row r="964" spans="15:26" ht="15" customHeight="1" x14ac:dyDescent="0.3">
      <c r="O964" s="14" t="s">
        <v>1680</v>
      </c>
      <c r="P964" s="14" t="s">
        <v>862</v>
      </c>
      <c r="Q964" s="15">
        <v>46052</v>
      </c>
      <c r="R964" s="14" t="s">
        <v>81</v>
      </c>
      <c r="S964" s="14">
        <v>11194</v>
      </c>
      <c r="U964" s="1" t="str">
        <f>TEXT(tblTransactions[[#This Row],[Date]],"YYYY-MM")</f>
        <v>2026-01</v>
      </c>
      <c r="Z964" s="1"/>
    </row>
    <row r="965" spans="15:26" ht="15" customHeight="1" x14ac:dyDescent="0.3">
      <c r="O965" s="14" t="s">
        <v>1681</v>
      </c>
      <c r="P965" s="14" t="s">
        <v>862</v>
      </c>
      <c r="Q965" s="15">
        <v>45763</v>
      </c>
      <c r="R965" s="14" t="s">
        <v>117</v>
      </c>
      <c r="S965" s="14">
        <v>9456</v>
      </c>
      <c r="U965" s="1" t="str">
        <f>TEXT(tblTransactions[[#This Row],[Date]],"YYYY-MM")</f>
        <v>2025-04</v>
      </c>
      <c r="Z965" s="1"/>
    </row>
    <row r="966" spans="15:26" ht="15" customHeight="1" x14ac:dyDescent="0.3">
      <c r="O966" s="14" t="s">
        <v>1682</v>
      </c>
      <c r="P966" s="14" t="s">
        <v>862</v>
      </c>
      <c r="Q966" s="15">
        <v>45978</v>
      </c>
      <c r="R966" s="14" t="s">
        <v>81</v>
      </c>
      <c r="S966" s="14">
        <v>7975</v>
      </c>
      <c r="U966" s="1" t="str">
        <f>TEXT(tblTransactions[[#This Row],[Date]],"YYYY-MM")</f>
        <v>2025-11</v>
      </c>
      <c r="Z966" s="1"/>
    </row>
    <row r="967" spans="15:26" ht="15" customHeight="1" x14ac:dyDescent="0.3">
      <c r="O967" s="14" t="s">
        <v>1683</v>
      </c>
      <c r="P967" s="14" t="s">
        <v>865</v>
      </c>
      <c r="Q967" s="15">
        <v>46031</v>
      </c>
      <c r="R967" s="14" t="s">
        <v>81</v>
      </c>
      <c r="S967" s="14">
        <v>14650</v>
      </c>
      <c r="U967" s="1" t="str">
        <f>TEXT(tblTransactions[[#This Row],[Date]],"YYYY-MM")</f>
        <v>2026-01</v>
      </c>
      <c r="Z967" s="1"/>
    </row>
    <row r="968" spans="15:26" ht="15" customHeight="1" x14ac:dyDescent="0.3">
      <c r="O968" s="14" t="s">
        <v>1684</v>
      </c>
      <c r="P968" s="14" t="s">
        <v>865</v>
      </c>
      <c r="Q968" s="15">
        <v>45843</v>
      </c>
      <c r="R968" s="14" t="s">
        <v>117</v>
      </c>
      <c r="S968" s="14">
        <v>19697</v>
      </c>
      <c r="U968" s="1" t="str">
        <f>TEXT(tblTransactions[[#This Row],[Date]],"YYYY-MM")</f>
        <v>2025-07</v>
      </c>
      <c r="Z968" s="1"/>
    </row>
    <row r="969" spans="15:26" ht="15" customHeight="1" x14ac:dyDescent="0.3">
      <c r="O969" s="14" t="s">
        <v>1685</v>
      </c>
      <c r="P969" s="14" t="s">
        <v>865</v>
      </c>
      <c r="Q969" s="15">
        <v>46086</v>
      </c>
      <c r="R969" s="14" t="s">
        <v>81</v>
      </c>
      <c r="S969" s="14">
        <v>3308</v>
      </c>
      <c r="U969" s="1" t="str">
        <f>TEXT(tblTransactions[[#This Row],[Date]],"YYYY-MM")</f>
        <v>2026-03</v>
      </c>
      <c r="Z969" s="1"/>
    </row>
    <row r="970" spans="15:26" ht="15" customHeight="1" x14ac:dyDescent="0.3">
      <c r="O970" s="14" t="s">
        <v>1686</v>
      </c>
      <c r="P970" s="14" t="s">
        <v>865</v>
      </c>
      <c r="Q970" s="15">
        <v>46064</v>
      </c>
      <c r="R970" s="14" t="s">
        <v>1220</v>
      </c>
      <c r="S970" s="14">
        <v>8575</v>
      </c>
      <c r="U970" s="1" t="str">
        <f>TEXT(tblTransactions[[#This Row],[Date]],"YYYY-MM")</f>
        <v>2026-02</v>
      </c>
      <c r="Z970" s="1"/>
    </row>
    <row r="971" spans="15:26" ht="15" customHeight="1" x14ac:dyDescent="0.3">
      <c r="O971" s="14" t="s">
        <v>1687</v>
      </c>
      <c r="P971" s="14" t="s">
        <v>865</v>
      </c>
      <c r="Q971" s="15">
        <v>45785</v>
      </c>
      <c r="R971" s="14" t="s">
        <v>110</v>
      </c>
      <c r="S971" s="14">
        <v>9280</v>
      </c>
      <c r="U971" s="1" t="str">
        <f>TEXT(tblTransactions[[#This Row],[Date]],"YYYY-MM")</f>
        <v>2025-05</v>
      </c>
      <c r="Z971" s="1"/>
    </row>
    <row r="972" spans="15:26" ht="15" customHeight="1" x14ac:dyDescent="0.3">
      <c r="O972" s="14" t="s">
        <v>1688</v>
      </c>
      <c r="P972" s="14" t="s">
        <v>865</v>
      </c>
      <c r="Q972" s="15">
        <v>45826</v>
      </c>
      <c r="R972" s="14" t="s">
        <v>81</v>
      </c>
      <c r="S972" s="14">
        <v>23820</v>
      </c>
      <c r="U972" s="1" t="str">
        <f>TEXT(tblTransactions[[#This Row],[Date]],"YYYY-MM")</f>
        <v>2025-06</v>
      </c>
      <c r="Z972" s="1"/>
    </row>
    <row r="973" spans="15:26" ht="15" customHeight="1" x14ac:dyDescent="0.3">
      <c r="O973" s="14" t="s">
        <v>1689</v>
      </c>
      <c r="P973" s="14" t="s">
        <v>869</v>
      </c>
      <c r="Q973" s="15">
        <v>45947</v>
      </c>
      <c r="R973" s="14" t="s">
        <v>1220</v>
      </c>
      <c r="S973" s="14">
        <v>12319</v>
      </c>
      <c r="U973" s="1" t="str">
        <f>TEXT(tblTransactions[[#This Row],[Date]],"YYYY-MM")</f>
        <v>2025-10</v>
      </c>
      <c r="Z973" s="1"/>
    </row>
    <row r="974" spans="15:26" ht="15" customHeight="1" x14ac:dyDescent="0.3">
      <c r="O974" s="14" t="s">
        <v>1690</v>
      </c>
      <c r="P974" s="14" t="s">
        <v>869</v>
      </c>
      <c r="Q974" s="15">
        <v>45802</v>
      </c>
      <c r="R974" s="14" t="s">
        <v>110</v>
      </c>
      <c r="S974" s="14">
        <v>670</v>
      </c>
      <c r="U974" s="1" t="str">
        <f>TEXT(tblTransactions[[#This Row],[Date]],"YYYY-MM")</f>
        <v>2025-05</v>
      </c>
      <c r="Z974" s="1"/>
    </row>
    <row r="975" spans="15:26" ht="15" customHeight="1" x14ac:dyDescent="0.3">
      <c r="O975" s="14" t="s">
        <v>1691</v>
      </c>
      <c r="P975" s="14" t="s">
        <v>869</v>
      </c>
      <c r="Q975" s="15">
        <v>45905</v>
      </c>
      <c r="R975" s="14" t="s">
        <v>81</v>
      </c>
      <c r="S975" s="14">
        <v>12293</v>
      </c>
      <c r="U975" s="1" t="str">
        <f>TEXT(tblTransactions[[#This Row],[Date]],"YYYY-MM")</f>
        <v>2025-09</v>
      </c>
      <c r="Z975" s="1"/>
    </row>
    <row r="976" spans="15:26" ht="15" customHeight="1" x14ac:dyDescent="0.3">
      <c r="O976" s="14" t="s">
        <v>1692</v>
      </c>
      <c r="P976" s="14" t="s">
        <v>872</v>
      </c>
      <c r="Q976" s="15">
        <v>45800</v>
      </c>
      <c r="R976" s="14" t="s">
        <v>89</v>
      </c>
      <c r="S976" s="14">
        <v>3360</v>
      </c>
      <c r="U976" s="1" t="str">
        <f>TEXT(tblTransactions[[#This Row],[Date]],"YYYY-MM")</f>
        <v>2025-05</v>
      </c>
      <c r="Z976" s="1"/>
    </row>
    <row r="977" spans="15:26" ht="15" customHeight="1" x14ac:dyDescent="0.3">
      <c r="O977" s="14" t="s">
        <v>1693</v>
      </c>
      <c r="P977" s="14" t="s">
        <v>872</v>
      </c>
      <c r="Q977" s="15">
        <v>45843</v>
      </c>
      <c r="R977" s="14" t="s">
        <v>81</v>
      </c>
      <c r="S977" s="14">
        <v>15207</v>
      </c>
      <c r="U977" s="1" t="str">
        <f>TEXT(tblTransactions[[#This Row],[Date]],"YYYY-MM")</f>
        <v>2025-07</v>
      </c>
      <c r="Z977" s="1"/>
    </row>
    <row r="978" spans="15:26" ht="15" customHeight="1" x14ac:dyDescent="0.3">
      <c r="O978" s="14" t="s">
        <v>1694</v>
      </c>
      <c r="P978" s="14" t="s">
        <v>872</v>
      </c>
      <c r="Q978" s="15">
        <v>46033</v>
      </c>
      <c r="R978" s="14" t="s">
        <v>135</v>
      </c>
      <c r="S978" s="14">
        <v>17291</v>
      </c>
      <c r="U978" s="1" t="str">
        <f>TEXT(tblTransactions[[#This Row],[Date]],"YYYY-MM")</f>
        <v>2026-01</v>
      </c>
      <c r="Z978" s="1"/>
    </row>
    <row r="979" spans="15:26" ht="15" customHeight="1" x14ac:dyDescent="0.3">
      <c r="O979" s="14" t="s">
        <v>1695</v>
      </c>
      <c r="P979" s="14" t="s">
        <v>872</v>
      </c>
      <c r="Q979" s="15">
        <v>45956</v>
      </c>
      <c r="R979" s="14" t="s">
        <v>110</v>
      </c>
      <c r="S979" s="14">
        <v>1360</v>
      </c>
      <c r="U979" s="1" t="str">
        <f>TEXT(tblTransactions[[#This Row],[Date]],"YYYY-MM")</f>
        <v>2025-10</v>
      </c>
      <c r="Z979" s="1"/>
    </row>
    <row r="980" spans="15:26" ht="15" customHeight="1" x14ac:dyDescent="0.3">
      <c r="O980" s="14" t="s">
        <v>1696</v>
      </c>
      <c r="P980" s="14" t="s">
        <v>872</v>
      </c>
      <c r="Q980" s="15">
        <v>45793</v>
      </c>
      <c r="R980" s="14" t="s">
        <v>1220</v>
      </c>
      <c r="S980" s="14">
        <v>18660</v>
      </c>
      <c r="U980" s="1" t="str">
        <f>TEXT(tblTransactions[[#This Row],[Date]],"YYYY-MM")</f>
        <v>2025-05</v>
      </c>
      <c r="Z980" s="1"/>
    </row>
    <row r="981" spans="15:26" ht="15" customHeight="1" x14ac:dyDescent="0.3">
      <c r="O981" s="14" t="s">
        <v>1697</v>
      </c>
      <c r="P981" s="14" t="s">
        <v>876</v>
      </c>
      <c r="Q981" s="15">
        <v>46053</v>
      </c>
      <c r="R981" s="14" t="s">
        <v>135</v>
      </c>
      <c r="S981" s="14">
        <v>11130</v>
      </c>
      <c r="U981" s="1" t="str">
        <f>TEXT(tblTransactions[[#This Row],[Date]],"YYYY-MM")</f>
        <v>2026-01</v>
      </c>
      <c r="Z981" s="1"/>
    </row>
    <row r="982" spans="15:26" ht="15" customHeight="1" x14ac:dyDescent="0.3">
      <c r="O982" s="14" t="s">
        <v>1698</v>
      </c>
      <c r="P982" s="14" t="s">
        <v>876</v>
      </c>
      <c r="Q982" s="15">
        <v>45945</v>
      </c>
      <c r="R982" s="14" t="s">
        <v>110</v>
      </c>
      <c r="S982" s="14">
        <v>10063</v>
      </c>
      <c r="U982" s="1" t="str">
        <f>TEXT(tblTransactions[[#This Row],[Date]],"YYYY-MM")</f>
        <v>2025-10</v>
      </c>
      <c r="Z982" s="1"/>
    </row>
    <row r="983" spans="15:26" ht="15" customHeight="1" x14ac:dyDescent="0.3">
      <c r="O983" s="14" t="s">
        <v>1699</v>
      </c>
      <c r="P983" s="14" t="s">
        <v>880</v>
      </c>
      <c r="Q983" s="15">
        <v>45946</v>
      </c>
      <c r="R983" s="14" t="s">
        <v>110</v>
      </c>
      <c r="S983" s="14">
        <v>24251</v>
      </c>
      <c r="U983" s="1" t="str">
        <f>TEXT(tblTransactions[[#This Row],[Date]],"YYYY-MM")</f>
        <v>2025-10</v>
      </c>
      <c r="Z983" s="1"/>
    </row>
    <row r="984" spans="15:26" ht="15" customHeight="1" x14ac:dyDescent="0.3">
      <c r="O984" s="14" t="s">
        <v>1700</v>
      </c>
      <c r="P984" s="14" t="s">
        <v>880</v>
      </c>
      <c r="Q984" s="15">
        <v>46034</v>
      </c>
      <c r="R984" s="14" t="s">
        <v>89</v>
      </c>
      <c r="S984" s="14">
        <v>19241</v>
      </c>
      <c r="U984" s="1" t="str">
        <f>TEXT(tblTransactions[[#This Row],[Date]],"YYYY-MM")</f>
        <v>2026-01</v>
      </c>
      <c r="Z984" s="1"/>
    </row>
    <row r="985" spans="15:26" ht="15" customHeight="1" x14ac:dyDescent="0.3">
      <c r="O985" s="14" t="s">
        <v>1701</v>
      </c>
      <c r="P985" s="14" t="s">
        <v>880</v>
      </c>
      <c r="Q985" s="15">
        <v>46014</v>
      </c>
      <c r="R985" s="14" t="s">
        <v>89</v>
      </c>
      <c r="S985" s="14">
        <v>22956</v>
      </c>
      <c r="U985" s="1" t="str">
        <f>TEXT(tblTransactions[[#This Row],[Date]],"YYYY-MM")</f>
        <v>2025-12</v>
      </c>
      <c r="Z985" s="1"/>
    </row>
    <row r="986" spans="15:26" ht="15" customHeight="1" x14ac:dyDescent="0.3">
      <c r="O986" s="14" t="s">
        <v>1702</v>
      </c>
      <c r="P986" s="14" t="s">
        <v>880</v>
      </c>
      <c r="Q986" s="15">
        <v>45942</v>
      </c>
      <c r="R986" s="14" t="s">
        <v>89</v>
      </c>
      <c r="S986" s="14">
        <v>5049</v>
      </c>
      <c r="U986" s="1" t="str">
        <f>TEXT(tblTransactions[[#This Row],[Date]],"YYYY-MM")</f>
        <v>2025-10</v>
      </c>
      <c r="Z986" s="1"/>
    </row>
    <row r="987" spans="15:26" ht="15" customHeight="1" x14ac:dyDescent="0.3">
      <c r="O987" s="14" t="s">
        <v>1703</v>
      </c>
      <c r="P987" s="14" t="s">
        <v>880</v>
      </c>
      <c r="Q987" s="15">
        <v>45885</v>
      </c>
      <c r="R987" s="14" t="s">
        <v>1220</v>
      </c>
      <c r="S987" s="14">
        <v>9295</v>
      </c>
      <c r="U987" s="1" t="str">
        <f>TEXT(tblTransactions[[#This Row],[Date]],"YYYY-MM")</f>
        <v>2025-08</v>
      </c>
      <c r="Z987" s="1"/>
    </row>
    <row r="988" spans="15:26" ht="15" customHeight="1" x14ac:dyDescent="0.3">
      <c r="O988" s="14" t="s">
        <v>1704</v>
      </c>
      <c r="P988" s="14" t="s">
        <v>880</v>
      </c>
      <c r="Q988" s="15">
        <v>46000</v>
      </c>
      <c r="R988" s="14" t="s">
        <v>89</v>
      </c>
      <c r="S988" s="14">
        <v>2573</v>
      </c>
      <c r="U988" s="1" t="str">
        <f>TEXT(tblTransactions[[#This Row],[Date]],"YYYY-MM")</f>
        <v>2025-12</v>
      </c>
      <c r="Z988" s="1"/>
    </row>
    <row r="989" spans="15:26" ht="15" customHeight="1" x14ac:dyDescent="0.3">
      <c r="O989" s="14" t="s">
        <v>1705</v>
      </c>
      <c r="P989" s="14" t="s">
        <v>880</v>
      </c>
      <c r="Q989" s="15">
        <v>45833</v>
      </c>
      <c r="R989" s="14" t="s">
        <v>81</v>
      </c>
      <c r="S989" s="14">
        <v>9542</v>
      </c>
      <c r="U989" s="1" t="str">
        <f>TEXT(tblTransactions[[#This Row],[Date]],"YYYY-MM")</f>
        <v>2025-06</v>
      </c>
      <c r="Z989" s="1"/>
    </row>
    <row r="990" spans="15:26" ht="15" customHeight="1" x14ac:dyDescent="0.3">
      <c r="O990" s="14" t="s">
        <v>1706</v>
      </c>
      <c r="P990" s="14" t="s">
        <v>883</v>
      </c>
      <c r="Q990" s="15">
        <v>45901</v>
      </c>
      <c r="R990" s="14" t="s">
        <v>81</v>
      </c>
      <c r="S990" s="14">
        <v>3020</v>
      </c>
      <c r="U990" s="1" t="str">
        <f>TEXT(tblTransactions[[#This Row],[Date]],"YYYY-MM")</f>
        <v>2025-09</v>
      </c>
      <c r="Z990" s="1"/>
    </row>
    <row r="991" spans="15:26" ht="15" customHeight="1" x14ac:dyDescent="0.3">
      <c r="O991" s="14" t="s">
        <v>1707</v>
      </c>
      <c r="P991" s="14" t="s">
        <v>883</v>
      </c>
      <c r="Q991" s="15">
        <v>45932</v>
      </c>
      <c r="R991" s="14" t="s">
        <v>1220</v>
      </c>
      <c r="S991" s="14">
        <v>8580</v>
      </c>
      <c r="U991" s="1" t="str">
        <f>TEXT(tblTransactions[[#This Row],[Date]],"YYYY-MM")</f>
        <v>2025-10</v>
      </c>
      <c r="Z991" s="1"/>
    </row>
    <row r="992" spans="15:26" ht="15" customHeight="1" x14ac:dyDescent="0.3">
      <c r="O992" s="14" t="s">
        <v>1708</v>
      </c>
      <c r="P992" s="14" t="s">
        <v>883</v>
      </c>
      <c r="Q992" s="15">
        <v>46068</v>
      </c>
      <c r="R992" s="14" t="s">
        <v>81</v>
      </c>
      <c r="S992" s="14">
        <v>19957</v>
      </c>
      <c r="U992" s="1" t="str">
        <f>TEXT(tblTransactions[[#This Row],[Date]],"YYYY-MM")</f>
        <v>2026-02</v>
      </c>
      <c r="Z992" s="1"/>
    </row>
    <row r="993" spans="15:26" ht="15" customHeight="1" x14ac:dyDescent="0.3">
      <c r="O993" s="14" t="s">
        <v>1709</v>
      </c>
      <c r="P993" s="14" t="s">
        <v>883</v>
      </c>
      <c r="Q993" s="15">
        <v>46063</v>
      </c>
      <c r="R993" s="14" t="s">
        <v>89</v>
      </c>
      <c r="S993" s="14">
        <v>15503</v>
      </c>
      <c r="U993" s="1" t="str">
        <f>TEXT(tblTransactions[[#This Row],[Date]],"YYYY-MM")</f>
        <v>2026-02</v>
      </c>
      <c r="Z993" s="1"/>
    </row>
    <row r="994" spans="15:26" ht="15" customHeight="1" x14ac:dyDescent="0.3">
      <c r="O994" s="14" t="s">
        <v>1710</v>
      </c>
      <c r="P994" s="14" t="s">
        <v>883</v>
      </c>
      <c r="Q994" s="15">
        <v>45802</v>
      </c>
      <c r="R994" s="14" t="s">
        <v>89</v>
      </c>
      <c r="S994" s="14">
        <v>10483</v>
      </c>
      <c r="U994" s="1" t="str">
        <f>TEXT(tblTransactions[[#This Row],[Date]],"YYYY-MM")</f>
        <v>2025-05</v>
      </c>
      <c r="Z994" s="1"/>
    </row>
    <row r="995" spans="15:26" ht="15" customHeight="1" x14ac:dyDescent="0.3">
      <c r="O995" s="14" t="s">
        <v>1711</v>
      </c>
      <c r="P995" s="14" t="s">
        <v>883</v>
      </c>
      <c r="Q995" s="15">
        <v>45751</v>
      </c>
      <c r="R995" s="14" t="s">
        <v>81</v>
      </c>
      <c r="S995" s="14">
        <v>11386</v>
      </c>
      <c r="U995" s="1" t="str">
        <f>TEXT(tblTransactions[[#This Row],[Date]],"YYYY-MM")</f>
        <v>2025-04</v>
      </c>
      <c r="Z995" s="1"/>
    </row>
    <row r="996" spans="15:26" ht="15" customHeight="1" x14ac:dyDescent="0.3">
      <c r="O996" s="14" t="s">
        <v>1712</v>
      </c>
      <c r="P996" s="14" t="s">
        <v>883</v>
      </c>
      <c r="Q996" s="15">
        <v>46065</v>
      </c>
      <c r="R996" s="14" t="s">
        <v>81</v>
      </c>
      <c r="S996" s="14">
        <v>11298</v>
      </c>
      <c r="U996" s="1" t="str">
        <f>TEXT(tblTransactions[[#This Row],[Date]],"YYYY-MM")</f>
        <v>2026-02</v>
      </c>
      <c r="Z996" s="1"/>
    </row>
    <row r="997" spans="15:26" ht="15" customHeight="1" x14ac:dyDescent="0.3">
      <c r="O997" s="14" t="s">
        <v>1713</v>
      </c>
      <c r="P997" s="14" t="s">
        <v>887</v>
      </c>
      <c r="Q997" s="15">
        <v>45919</v>
      </c>
      <c r="R997" s="14" t="s">
        <v>81</v>
      </c>
      <c r="S997" s="14">
        <v>21833</v>
      </c>
      <c r="U997" s="1" t="str">
        <f>TEXT(tblTransactions[[#This Row],[Date]],"YYYY-MM")</f>
        <v>2025-09</v>
      </c>
      <c r="Z997" s="1"/>
    </row>
    <row r="998" spans="15:26" ht="15" customHeight="1" x14ac:dyDescent="0.3">
      <c r="O998" s="14" t="s">
        <v>1714</v>
      </c>
      <c r="P998" s="14" t="s">
        <v>887</v>
      </c>
      <c r="Q998" s="15">
        <v>46052</v>
      </c>
      <c r="R998" s="14" t="s">
        <v>89</v>
      </c>
      <c r="S998" s="14">
        <v>10344</v>
      </c>
      <c r="U998" s="1" t="str">
        <f>TEXT(tblTransactions[[#This Row],[Date]],"YYYY-MM")</f>
        <v>2026-01</v>
      </c>
      <c r="Z998" s="1"/>
    </row>
    <row r="999" spans="15:26" ht="15" customHeight="1" x14ac:dyDescent="0.3">
      <c r="O999" s="14" t="s">
        <v>1715</v>
      </c>
      <c r="P999" s="14" t="s">
        <v>887</v>
      </c>
      <c r="Q999" s="15">
        <v>45912</v>
      </c>
      <c r="R999" s="14" t="s">
        <v>135</v>
      </c>
      <c r="S999" s="14">
        <v>23283</v>
      </c>
      <c r="U999" s="1" t="str">
        <f>TEXT(tblTransactions[[#This Row],[Date]],"YYYY-MM")</f>
        <v>2025-09</v>
      </c>
      <c r="Z999" s="1"/>
    </row>
    <row r="1000" spans="15:26" ht="15" customHeight="1" x14ac:dyDescent="0.3">
      <c r="O1000" s="14" t="s">
        <v>1716</v>
      </c>
      <c r="P1000" s="14" t="s">
        <v>887</v>
      </c>
      <c r="Q1000" s="15">
        <v>45850</v>
      </c>
      <c r="R1000" s="14" t="s">
        <v>81</v>
      </c>
      <c r="S1000" s="14">
        <v>10795</v>
      </c>
      <c r="U1000" s="1" t="str">
        <f>TEXT(tblTransactions[[#This Row],[Date]],"YYYY-MM")</f>
        <v>2025-07</v>
      </c>
      <c r="Z1000" s="1"/>
    </row>
    <row r="1001" spans="15:26" ht="15" customHeight="1" x14ac:dyDescent="0.3">
      <c r="O1001" s="14" t="s">
        <v>1717</v>
      </c>
      <c r="P1001" s="14" t="s">
        <v>887</v>
      </c>
      <c r="Q1001" s="15">
        <v>45838</v>
      </c>
      <c r="R1001" s="14" t="s">
        <v>81</v>
      </c>
      <c r="S1001" s="14">
        <v>10957</v>
      </c>
      <c r="U1001" s="1" t="str">
        <f>TEXT(tblTransactions[[#This Row],[Date]],"YYYY-MM")</f>
        <v>2025-06</v>
      </c>
      <c r="Z1001" s="1"/>
    </row>
    <row r="1002" spans="15:26" ht="15" customHeight="1" x14ac:dyDescent="0.3">
      <c r="O1002" s="14" t="s">
        <v>1718</v>
      </c>
      <c r="P1002" s="14" t="s">
        <v>887</v>
      </c>
      <c r="Q1002" s="15">
        <v>45897</v>
      </c>
      <c r="R1002" s="14" t="s">
        <v>117</v>
      </c>
      <c r="S1002" s="14">
        <v>23272</v>
      </c>
      <c r="U1002" s="1" t="str">
        <f>TEXT(tblTransactions[[#This Row],[Date]],"YYYY-MM")</f>
        <v>2025-08</v>
      </c>
      <c r="Z1002" s="1"/>
    </row>
    <row r="1003" spans="15:26" ht="15" customHeight="1" x14ac:dyDescent="0.3">
      <c r="O1003" s="14" t="s">
        <v>1719</v>
      </c>
      <c r="P1003" s="14" t="s">
        <v>887</v>
      </c>
      <c r="Q1003" s="15">
        <v>46072</v>
      </c>
      <c r="R1003" s="14" t="s">
        <v>81</v>
      </c>
      <c r="S1003" s="14">
        <v>19370</v>
      </c>
      <c r="U1003" s="1" t="str">
        <f>TEXT(tblTransactions[[#This Row],[Date]],"YYYY-MM")</f>
        <v>2026-02</v>
      </c>
      <c r="Z1003" s="1"/>
    </row>
    <row r="1004" spans="15:26" ht="15" customHeight="1" x14ac:dyDescent="0.3">
      <c r="O1004" s="14" t="s">
        <v>1720</v>
      </c>
      <c r="P1004" s="14" t="s">
        <v>887</v>
      </c>
      <c r="Q1004" s="15">
        <v>45872</v>
      </c>
      <c r="R1004" s="14" t="s">
        <v>1220</v>
      </c>
      <c r="S1004" s="14">
        <v>12822</v>
      </c>
      <c r="U1004" s="1" t="str">
        <f>TEXT(tblTransactions[[#This Row],[Date]],"YYYY-MM")</f>
        <v>2025-08</v>
      </c>
      <c r="Z1004" s="1"/>
    </row>
    <row r="1005" spans="15:26" ht="15" customHeight="1" x14ac:dyDescent="0.3">
      <c r="O1005" s="14" t="s">
        <v>1721</v>
      </c>
      <c r="P1005" s="14" t="s">
        <v>891</v>
      </c>
      <c r="Q1005" s="15">
        <v>45949</v>
      </c>
      <c r="R1005" s="14" t="s">
        <v>1220</v>
      </c>
      <c r="S1005" s="14">
        <v>4231</v>
      </c>
      <c r="U1005" s="1" t="str">
        <f>TEXT(tblTransactions[[#This Row],[Date]],"YYYY-MM")</f>
        <v>2025-10</v>
      </c>
      <c r="Z1005" s="1"/>
    </row>
    <row r="1006" spans="15:26" ht="15" customHeight="1" x14ac:dyDescent="0.3">
      <c r="O1006" s="14" t="s">
        <v>1722</v>
      </c>
      <c r="P1006" s="14" t="s">
        <v>891</v>
      </c>
      <c r="Q1006" s="15">
        <v>46036</v>
      </c>
      <c r="R1006" s="14" t="s">
        <v>89</v>
      </c>
      <c r="S1006" s="14">
        <v>19906</v>
      </c>
      <c r="U1006" s="1" t="str">
        <f>TEXT(tblTransactions[[#This Row],[Date]],"YYYY-MM")</f>
        <v>2026-01</v>
      </c>
      <c r="Z1006" s="1"/>
    </row>
    <row r="1007" spans="15:26" ht="15" customHeight="1" x14ac:dyDescent="0.3">
      <c r="O1007" s="14" t="s">
        <v>1723</v>
      </c>
      <c r="P1007" s="14" t="s">
        <v>891</v>
      </c>
      <c r="Q1007" s="15">
        <v>46027</v>
      </c>
      <c r="R1007" s="14" t="s">
        <v>89</v>
      </c>
      <c r="S1007" s="14">
        <v>22838</v>
      </c>
      <c r="U1007" s="1" t="str">
        <f>TEXT(tblTransactions[[#This Row],[Date]],"YYYY-MM")</f>
        <v>2026-01</v>
      </c>
      <c r="Z1007" s="1"/>
    </row>
    <row r="1008" spans="15:26" ht="15" customHeight="1" x14ac:dyDescent="0.3">
      <c r="O1008" s="14" t="s">
        <v>1724</v>
      </c>
      <c r="P1008" s="14" t="s">
        <v>891</v>
      </c>
      <c r="Q1008" s="15">
        <v>46029</v>
      </c>
      <c r="R1008" s="14" t="s">
        <v>110</v>
      </c>
      <c r="S1008" s="14">
        <v>24329</v>
      </c>
      <c r="U1008" s="1" t="str">
        <f>TEXT(tblTransactions[[#This Row],[Date]],"YYYY-MM")</f>
        <v>2026-01</v>
      </c>
      <c r="Z1008" s="1"/>
    </row>
    <row r="1009" spans="15:26" ht="15" customHeight="1" x14ac:dyDescent="0.3">
      <c r="O1009" s="14" t="s">
        <v>1725</v>
      </c>
      <c r="P1009" s="14" t="s">
        <v>891</v>
      </c>
      <c r="Q1009" s="15">
        <v>45984</v>
      </c>
      <c r="R1009" s="14" t="s">
        <v>117</v>
      </c>
      <c r="S1009" s="14">
        <v>7369</v>
      </c>
      <c r="U1009" s="1" t="str">
        <f>TEXT(tblTransactions[[#This Row],[Date]],"YYYY-MM")</f>
        <v>2025-11</v>
      </c>
      <c r="Z1009" s="1"/>
    </row>
    <row r="1010" spans="15:26" ht="15" customHeight="1" x14ac:dyDescent="0.3">
      <c r="O1010" s="14" t="s">
        <v>1726</v>
      </c>
      <c r="P1010" s="14" t="s">
        <v>894</v>
      </c>
      <c r="Q1010" s="15">
        <v>45897</v>
      </c>
      <c r="R1010" s="14" t="s">
        <v>117</v>
      </c>
      <c r="S1010" s="14">
        <v>2766</v>
      </c>
      <c r="U1010" s="1" t="str">
        <f>TEXT(tblTransactions[[#This Row],[Date]],"YYYY-MM")</f>
        <v>2025-08</v>
      </c>
      <c r="Z1010" s="1"/>
    </row>
    <row r="1011" spans="15:26" ht="15" customHeight="1" x14ac:dyDescent="0.3">
      <c r="O1011" s="14" t="s">
        <v>1727</v>
      </c>
      <c r="P1011" s="14" t="s">
        <v>894</v>
      </c>
      <c r="Q1011" s="15">
        <v>45957</v>
      </c>
      <c r="R1011" s="14" t="s">
        <v>117</v>
      </c>
      <c r="S1011" s="14">
        <v>16861</v>
      </c>
      <c r="U1011" s="1" t="str">
        <f>TEXT(tblTransactions[[#This Row],[Date]],"YYYY-MM")</f>
        <v>2025-10</v>
      </c>
      <c r="Z1011" s="1"/>
    </row>
    <row r="1012" spans="15:26" ht="15" customHeight="1" x14ac:dyDescent="0.3">
      <c r="O1012" s="14" t="s">
        <v>1728</v>
      </c>
      <c r="P1012" s="14" t="s">
        <v>894</v>
      </c>
      <c r="Q1012" s="15">
        <v>45819</v>
      </c>
      <c r="R1012" s="14" t="s">
        <v>117</v>
      </c>
      <c r="S1012" s="14">
        <v>10423</v>
      </c>
      <c r="U1012" s="1" t="str">
        <f>TEXT(tblTransactions[[#This Row],[Date]],"YYYY-MM")</f>
        <v>2025-06</v>
      </c>
      <c r="Z1012" s="1"/>
    </row>
    <row r="1013" spans="15:26" ht="15" customHeight="1" x14ac:dyDescent="0.3">
      <c r="O1013" s="14" t="s">
        <v>1729</v>
      </c>
      <c r="P1013" s="14" t="s">
        <v>894</v>
      </c>
      <c r="Q1013" s="15">
        <v>45871</v>
      </c>
      <c r="R1013" s="14" t="s">
        <v>1220</v>
      </c>
      <c r="S1013" s="14">
        <v>22083</v>
      </c>
      <c r="U1013" s="1" t="str">
        <f>TEXT(tblTransactions[[#This Row],[Date]],"YYYY-MM")</f>
        <v>2025-08</v>
      </c>
      <c r="Z1013" s="1"/>
    </row>
    <row r="1014" spans="15:26" ht="15" customHeight="1" x14ac:dyDescent="0.3">
      <c r="O1014" s="14" t="s">
        <v>1730</v>
      </c>
      <c r="P1014" s="14" t="s">
        <v>894</v>
      </c>
      <c r="Q1014" s="15">
        <v>45826</v>
      </c>
      <c r="R1014" s="14" t="s">
        <v>117</v>
      </c>
      <c r="S1014" s="14">
        <v>14365</v>
      </c>
      <c r="U1014" s="1" t="str">
        <f>TEXT(tblTransactions[[#This Row],[Date]],"YYYY-MM")</f>
        <v>2025-06</v>
      </c>
      <c r="Z1014" s="1"/>
    </row>
    <row r="1015" spans="15:26" ht="15" customHeight="1" x14ac:dyDescent="0.3">
      <c r="O1015" s="14" t="s">
        <v>1731</v>
      </c>
      <c r="P1015" s="14" t="s">
        <v>894</v>
      </c>
      <c r="Q1015" s="15">
        <v>45941</v>
      </c>
      <c r="R1015" s="14" t="s">
        <v>110</v>
      </c>
      <c r="S1015" s="14">
        <v>15215</v>
      </c>
      <c r="U1015" s="1" t="str">
        <f>TEXT(tblTransactions[[#This Row],[Date]],"YYYY-MM")</f>
        <v>2025-10</v>
      </c>
      <c r="Z1015" s="1"/>
    </row>
    <row r="1016" spans="15:26" ht="15" customHeight="1" x14ac:dyDescent="0.3">
      <c r="O1016" s="14" t="s">
        <v>1732</v>
      </c>
      <c r="P1016" s="14" t="s">
        <v>894</v>
      </c>
      <c r="Q1016" s="15">
        <v>46054</v>
      </c>
      <c r="R1016" s="14" t="s">
        <v>81</v>
      </c>
      <c r="S1016" s="14">
        <v>19578</v>
      </c>
      <c r="U1016" s="1" t="str">
        <f>TEXT(tblTransactions[[#This Row],[Date]],"YYYY-MM")</f>
        <v>2026-02</v>
      </c>
      <c r="Z1016" s="1"/>
    </row>
    <row r="1017" spans="15:26" ht="15" customHeight="1" x14ac:dyDescent="0.3">
      <c r="O1017" s="14" t="s">
        <v>1733</v>
      </c>
      <c r="P1017" s="14" t="s">
        <v>894</v>
      </c>
      <c r="Q1017" s="15">
        <v>45953</v>
      </c>
      <c r="R1017" s="14" t="s">
        <v>135</v>
      </c>
      <c r="S1017" s="14">
        <v>17100</v>
      </c>
      <c r="U1017" s="1" t="str">
        <f>TEXT(tblTransactions[[#This Row],[Date]],"YYYY-MM")</f>
        <v>2025-10</v>
      </c>
      <c r="Z1017" s="1"/>
    </row>
    <row r="1018" spans="15:26" ht="15" customHeight="1" x14ac:dyDescent="0.3">
      <c r="O1018" s="14" t="s">
        <v>1734</v>
      </c>
      <c r="P1018" s="14" t="s">
        <v>898</v>
      </c>
      <c r="Q1018" s="15">
        <v>46026</v>
      </c>
      <c r="R1018" s="14" t="s">
        <v>110</v>
      </c>
      <c r="S1018" s="14">
        <v>12281</v>
      </c>
      <c r="U1018" s="1" t="str">
        <f>TEXT(tblTransactions[[#This Row],[Date]],"YYYY-MM")</f>
        <v>2026-01</v>
      </c>
      <c r="Z1018" s="1"/>
    </row>
    <row r="1019" spans="15:26" ht="15" customHeight="1" x14ac:dyDescent="0.3">
      <c r="O1019" s="14" t="s">
        <v>1735</v>
      </c>
      <c r="P1019" s="14" t="s">
        <v>898</v>
      </c>
      <c r="Q1019" s="15">
        <v>46107</v>
      </c>
      <c r="R1019" s="14" t="s">
        <v>135</v>
      </c>
      <c r="S1019" s="14">
        <v>19958</v>
      </c>
      <c r="U1019" s="1" t="str">
        <f>TEXT(tblTransactions[[#This Row],[Date]],"YYYY-MM")</f>
        <v>2026-03</v>
      </c>
      <c r="Z1019" s="1"/>
    </row>
    <row r="1020" spans="15:26" ht="15" customHeight="1" x14ac:dyDescent="0.3">
      <c r="O1020" s="14" t="s">
        <v>1736</v>
      </c>
      <c r="P1020" s="14" t="s">
        <v>898</v>
      </c>
      <c r="Q1020" s="15">
        <v>46074</v>
      </c>
      <c r="R1020" s="14" t="s">
        <v>110</v>
      </c>
      <c r="S1020" s="14">
        <v>4083</v>
      </c>
      <c r="U1020" s="1" t="str">
        <f>TEXT(tblTransactions[[#This Row],[Date]],"YYYY-MM")</f>
        <v>2026-02</v>
      </c>
      <c r="Z1020" s="1"/>
    </row>
    <row r="1021" spans="15:26" ht="15" customHeight="1" x14ac:dyDescent="0.3">
      <c r="O1021" s="14" t="s">
        <v>1737</v>
      </c>
      <c r="P1021" s="14" t="s">
        <v>898</v>
      </c>
      <c r="Q1021" s="15">
        <v>45875</v>
      </c>
      <c r="R1021" s="14" t="s">
        <v>117</v>
      </c>
      <c r="S1021" s="14">
        <v>22280</v>
      </c>
      <c r="U1021" s="1" t="str">
        <f>TEXT(tblTransactions[[#This Row],[Date]],"YYYY-MM")</f>
        <v>2025-08</v>
      </c>
      <c r="Z1021" s="1"/>
    </row>
    <row r="1022" spans="15:26" ht="15" customHeight="1" x14ac:dyDescent="0.3">
      <c r="O1022" s="14" t="s">
        <v>1738</v>
      </c>
      <c r="P1022" s="14" t="s">
        <v>898</v>
      </c>
      <c r="Q1022" s="15">
        <v>45929</v>
      </c>
      <c r="R1022" s="14" t="s">
        <v>89</v>
      </c>
      <c r="S1022" s="14">
        <v>21700</v>
      </c>
      <c r="U1022" s="1" t="str">
        <f>TEXT(tblTransactions[[#This Row],[Date]],"YYYY-MM")</f>
        <v>2025-09</v>
      </c>
      <c r="Z1022" s="1"/>
    </row>
    <row r="1023" spans="15:26" ht="15" customHeight="1" x14ac:dyDescent="0.3">
      <c r="O1023" s="14" t="s">
        <v>1739</v>
      </c>
      <c r="P1023" s="14" t="s">
        <v>898</v>
      </c>
      <c r="Q1023" s="15">
        <v>46061</v>
      </c>
      <c r="R1023" s="14" t="s">
        <v>110</v>
      </c>
      <c r="S1023" s="14">
        <v>18955</v>
      </c>
      <c r="U1023" s="1" t="str">
        <f>TEXT(tblTransactions[[#This Row],[Date]],"YYYY-MM")</f>
        <v>2026-02</v>
      </c>
      <c r="Z1023" s="1"/>
    </row>
    <row r="1024" spans="15:26" ht="15" customHeight="1" x14ac:dyDescent="0.3">
      <c r="O1024" s="14" t="s">
        <v>1740</v>
      </c>
      <c r="P1024" s="14" t="s">
        <v>898</v>
      </c>
      <c r="Q1024" s="15">
        <v>46078</v>
      </c>
      <c r="R1024" s="14" t="s">
        <v>117</v>
      </c>
      <c r="S1024" s="14">
        <v>21692</v>
      </c>
      <c r="U1024" s="1" t="str">
        <f>TEXT(tblTransactions[[#This Row],[Date]],"YYYY-MM")</f>
        <v>2026-02</v>
      </c>
      <c r="Z1024" s="1"/>
    </row>
    <row r="1025" spans="15:26" ht="15" customHeight="1" x14ac:dyDescent="0.3">
      <c r="O1025" s="14" t="s">
        <v>1741</v>
      </c>
      <c r="P1025" s="14" t="s">
        <v>902</v>
      </c>
      <c r="Q1025" s="15">
        <v>45917</v>
      </c>
      <c r="R1025" s="14" t="s">
        <v>81</v>
      </c>
      <c r="S1025" s="14">
        <v>3971</v>
      </c>
      <c r="U1025" s="1" t="str">
        <f>TEXT(tblTransactions[[#This Row],[Date]],"YYYY-MM")</f>
        <v>2025-09</v>
      </c>
      <c r="Z1025" s="1"/>
    </row>
    <row r="1026" spans="15:26" ht="15" customHeight="1" x14ac:dyDescent="0.3">
      <c r="O1026" s="14" t="s">
        <v>1742</v>
      </c>
      <c r="P1026" s="14" t="s">
        <v>902</v>
      </c>
      <c r="Q1026" s="15">
        <v>45753</v>
      </c>
      <c r="R1026" s="14" t="s">
        <v>110</v>
      </c>
      <c r="S1026" s="14">
        <v>8978</v>
      </c>
      <c r="U1026" s="1" t="str">
        <f>TEXT(tblTransactions[[#This Row],[Date]],"YYYY-MM")</f>
        <v>2025-04</v>
      </c>
      <c r="Z1026" s="1"/>
    </row>
    <row r="1027" spans="15:26" ht="15" customHeight="1" x14ac:dyDescent="0.3">
      <c r="O1027" s="14" t="s">
        <v>1743</v>
      </c>
      <c r="P1027" s="14" t="s">
        <v>902</v>
      </c>
      <c r="Q1027" s="15">
        <v>45861</v>
      </c>
      <c r="R1027" s="14" t="s">
        <v>135</v>
      </c>
      <c r="S1027" s="14">
        <v>24972</v>
      </c>
      <c r="U1027" s="1" t="str">
        <f>TEXT(tblTransactions[[#This Row],[Date]],"YYYY-MM")</f>
        <v>2025-07</v>
      </c>
      <c r="Z1027" s="1"/>
    </row>
    <row r="1028" spans="15:26" ht="15" customHeight="1" x14ac:dyDescent="0.3">
      <c r="O1028" s="14" t="s">
        <v>1744</v>
      </c>
      <c r="P1028" s="14" t="s">
        <v>902</v>
      </c>
      <c r="Q1028" s="15">
        <v>46013</v>
      </c>
      <c r="R1028" s="14" t="s">
        <v>135</v>
      </c>
      <c r="S1028" s="14">
        <v>19522</v>
      </c>
      <c r="U1028" s="1" t="str">
        <f>TEXT(tblTransactions[[#This Row],[Date]],"YYYY-MM")</f>
        <v>2025-12</v>
      </c>
      <c r="Z1028" s="1"/>
    </row>
    <row r="1029" spans="15:26" ht="15" customHeight="1" x14ac:dyDescent="0.3">
      <c r="O1029" s="14" t="s">
        <v>1745</v>
      </c>
      <c r="P1029" s="14" t="s">
        <v>902</v>
      </c>
      <c r="Q1029" s="15">
        <v>46100</v>
      </c>
      <c r="R1029" s="14" t="s">
        <v>135</v>
      </c>
      <c r="S1029" s="14">
        <v>7742</v>
      </c>
      <c r="U1029" s="1" t="str">
        <f>TEXT(tblTransactions[[#This Row],[Date]],"YYYY-MM")</f>
        <v>2026-03</v>
      </c>
      <c r="Z1029" s="1"/>
    </row>
    <row r="1030" spans="15:26" ht="15" customHeight="1" x14ac:dyDescent="0.3">
      <c r="O1030" s="14" t="s">
        <v>1746</v>
      </c>
      <c r="P1030" s="14" t="s">
        <v>902</v>
      </c>
      <c r="Q1030" s="15">
        <v>45976</v>
      </c>
      <c r="R1030" s="14" t="s">
        <v>1220</v>
      </c>
      <c r="S1030" s="14">
        <v>13316</v>
      </c>
      <c r="U1030" s="1" t="str">
        <f>TEXT(tblTransactions[[#This Row],[Date]],"YYYY-MM")</f>
        <v>2025-11</v>
      </c>
      <c r="Z1030" s="1"/>
    </row>
    <row r="1031" spans="15:26" ht="15" customHeight="1" x14ac:dyDescent="0.3">
      <c r="O1031" s="14" t="s">
        <v>1747</v>
      </c>
      <c r="P1031" s="14" t="s">
        <v>902</v>
      </c>
      <c r="Q1031" s="15">
        <v>45985</v>
      </c>
      <c r="R1031" s="14" t="s">
        <v>117</v>
      </c>
      <c r="S1031" s="14">
        <v>19786</v>
      </c>
      <c r="U1031" s="1" t="str">
        <f>TEXT(tblTransactions[[#This Row],[Date]],"YYYY-MM")</f>
        <v>2025-11</v>
      </c>
      <c r="Z1031" s="1"/>
    </row>
    <row r="1032" spans="15:26" ht="15" customHeight="1" x14ac:dyDescent="0.3">
      <c r="O1032" s="14" t="s">
        <v>1748</v>
      </c>
      <c r="P1032" s="14" t="s">
        <v>906</v>
      </c>
      <c r="Q1032" s="15">
        <v>45825</v>
      </c>
      <c r="R1032" s="14" t="s">
        <v>1220</v>
      </c>
      <c r="S1032" s="14">
        <v>1304</v>
      </c>
      <c r="U1032" s="1" t="str">
        <f>TEXT(tblTransactions[[#This Row],[Date]],"YYYY-MM")</f>
        <v>2025-06</v>
      </c>
      <c r="Z1032" s="1"/>
    </row>
    <row r="1033" spans="15:26" ht="15" customHeight="1" x14ac:dyDescent="0.3">
      <c r="O1033" s="14" t="s">
        <v>1749</v>
      </c>
      <c r="P1033" s="14" t="s">
        <v>906</v>
      </c>
      <c r="Q1033" s="15">
        <v>45995</v>
      </c>
      <c r="R1033" s="14" t="s">
        <v>110</v>
      </c>
      <c r="S1033" s="14">
        <v>10180</v>
      </c>
      <c r="U1033" s="1" t="str">
        <f>TEXT(tblTransactions[[#This Row],[Date]],"YYYY-MM")</f>
        <v>2025-12</v>
      </c>
      <c r="Z1033" s="1"/>
    </row>
    <row r="1034" spans="15:26" ht="15" customHeight="1" x14ac:dyDescent="0.3">
      <c r="O1034" s="14" t="s">
        <v>1750</v>
      </c>
      <c r="P1034" s="14" t="s">
        <v>906</v>
      </c>
      <c r="Q1034" s="15">
        <v>45960</v>
      </c>
      <c r="R1034" s="14" t="s">
        <v>110</v>
      </c>
      <c r="S1034" s="14">
        <v>4303</v>
      </c>
      <c r="U1034" s="1" t="str">
        <f>TEXT(tblTransactions[[#This Row],[Date]],"YYYY-MM")</f>
        <v>2025-10</v>
      </c>
      <c r="Z1034" s="1"/>
    </row>
    <row r="1035" spans="15:26" ht="15" customHeight="1" x14ac:dyDescent="0.3">
      <c r="O1035" s="14" t="s">
        <v>1751</v>
      </c>
      <c r="P1035" s="14" t="s">
        <v>906</v>
      </c>
      <c r="Q1035" s="15">
        <v>45820</v>
      </c>
      <c r="R1035" s="14" t="s">
        <v>1220</v>
      </c>
      <c r="S1035" s="14">
        <v>10720</v>
      </c>
      <c r="U1035" s="1" t="str">
        <f>TEXT(tblTransactions[[#This Row],[Date]],"YYYY-MM")</f>
        <v>2025-06</v>
      </c>
      <c r="Z1035" s="1"/>
    </row>
    <row r="1036" spans="15:26" ht="15" customHeight="1" x14ac:dyDescent="0.3">
      <c r="O1036" s="14" t="s">
        <v>1752</v>
      </c>
      <c r="P1036" s="14" t="s">
        <v>906</v>
      </c>
      <c r="Q1036" s="15">
        <v>45923</v>
      </c>
      <c r="R1036" s="14" t="s">
        <v>81</v>
      </c>
      <c r="S1036" s="14">
        <v>7278</v>
      </c>
      <c r="U1036" s="1" t="str">
        <f>TEXT(tblTransactions[[#This Row],[Date]],"YYYY-MM")</f>
        <v>2025-09</v>
      </c>
      <c r="Z1036" s="1"/>
    </row>
    <row r="1037" spans="15:26" ht="15" customHeight="1" x14ac:dyDescent="0.3">
      <c r="O1037" s="14" t="s">
        <v>1753</v>
      </c>
      <c r="P1037" s="14" t="s">
        <v>906</v>
      </c>
      <c r="Q1037" s="15">
        <v>46014</v>
      </c>
      <c r="R1037" s="14" t="s">
        <v>81</v>
      </c>
      <c r="S1037" s="14">
        <v>11913</v>
      </c>
      <c r="U1037" s="1" t="str">
        <f>TEXT(tblTransactions[[#This Row],[Date]],"YYYY-MM")</f>
        <v>2025-12</v>
      </c>
      <c r="Z1037" s="1"/>
    </row>
    <row r="1038" spans="15:26" ht="15" customHeight="1" x14ac:dyDescent="0.3">
      <c r="O1038" s="14" t="s">
        <v>1754</v>
      </c>
      <c r="P1038" s="14" t="s">
        <v>906</v>
      </c>
      <c r="Q1038" s="15">
        <v>45991</v>
      </c>
      <c r="R1038" s="14" t="s">
        <v>110</v>
      </c>
      <c r="S1038" s="14">
        <v>14857</v>
      </c>
      <c r="U1038" s="1" t="str">
        <f>TEXT(tblTransactions[[#This Row],[Date]],"YYYY-MM")</f>
        <v>2025-11</v>
      </c>
      <c r="Z1038" s="1"/>
    </row>
    <row r="1039" spans="15:26" ht="15" customHeight="1" x14ac:dyDescent="0.3">
      <c r="O1039" s="14" t="s">
        <v>1755</v>
      </c>
      <c r="P1039" s="14" t="s">
        <v>906</v>
      </c>
      <c r="Q1039" s="15">
        <v>46104</v>
      </c>
      <c r="R1039" s="14" t="s">
        <v>81</v>
      </c>
      <c r="S1039" s="14">
        <v>10950</v>
      </c>
      <c r="U1039" s="1" t="str">
        <f>TEXT(tblTransactions[[#This Row],[Date]],"YYYY-MM")</f>
        <v>2026-03</v>
      </c>
      <c r="Z1039" s="1"/>
    </row>
    <row r="1040" spans="15:26" ht="15" customHeight="1" x14ac:dyDescent="0.3">
      <c r="O1040" s="14" t="s">
        <v>1756</v>
      </c>
      <c r="P1040" s="14" t="s">
        <v>906</v>
      </c>
      <c r="Q1040" s="15">
        <v>45782</v>
      </c>
      <c r="R1040" s="14" t="s">
        <v>1220</v>
      </c>
      <c r="S1040" s="14">
        <v>1964</v>
      </c>
      <c r="U1040" s="1" t="str">
        <f>TEXT(tblTransactions[[#This Row],[Date]],"YYYY-MM")</f>
        <v>2025-05</v>
      </c>
      <c r="Z1040" s="1"/>
    </row>
    <row r="1041" spans="15:26" ht="15" customHeight="1" x14ac:dyDescent="0.3">
      <c r="O1041" s="14" t="s">
        <v>1757</v>
      </c>
      <c r="P1041" s="14" t="s">
        <v>910</v>
      </c>
      <c r="Q1041" s="15">
        <v>45759</v>
      </c>
      <c r="R1041" s="14" t="s">
        <v>1220</v>
      </c>
      <c r="S1041" s="14">
        <v>21732</v>
      </c>
      <c r="U1041" s="1" t="str">
        <f>TEXT(tblTransactions[[#This Row],[Date]],"YYYY-MM")</f>
        <v>2025-04</v>
      </c>
      <c r="Z1041" s="1"/>
    </row>
    <row r="1042" spans="15:26" ht="15" customHeight="1" x14ac:dyDescent="0.3">
      <c r="O1042" s="14" t="s">
        <v>1758</v>
      </c>
      <c r="P1042" s="14" t="s">
        <v>910</v>
      </c>
      <c r="Q1042" s="15">
        <v>45803</v>
      </c>
      <c r="R1042" s="14" t="s">
        <v>117</v>
      </c>
      <c r="S1042" s="14">
        <v>5885</v>
      </c>
      <c r="U1042" s="1" t="str">
        <f>TEXT(tblTransactions[[#This Row],[Date]],"YYYY-MM")</f>
        <v>2025-05</v>
      </c>
      <c r="Z1042" s="1"/>
    </row>
    <row r="1043" spans="15:26" ht="15" customHeight="1" x14ac:dyDescent="0.3">
      <c r="O1043" s="14" t="s">
        <v>1759</v>
      </c>
      <c r="P1043" s="14" t="s">
        <v>914</v>
      </c>
      <c r="Q1043" s="15">
        <v>46012</v>
      </c>
      <c r="R1043" s="14" t="s">
        <v>89</v>
      </c>
      <c r="S1043" s="14">
        <v>18584</v>
      </c>
      <c r="U1043" s="1" t="str">
        <f>TEXT(tblTransactions[[#This Row],[Date]],"YYYY-MM")</f>
        <v>2025-12</v>
      </c>
      <c r="Z1043" s="1"/>
    </row>
    <row r="1044" spans="15:26" ht="15" customHeight="1" x14ac:dyDescent="0.3">
      <c r="O1044" s="14" t="s">
        <v>1760</v>
      </c>
      <c r="P1044" s="14" t="s">
        <v>914</v>
      </c>
      <c r="Q1044" s="15">
        <v>45829</v>
      </c>
      <c r="R1044" s="14" t="s">
        <v>1220</v>
      </c>
      <c r="S1044" s="14">
        <v>18845</v>
      </c>
      <c r="U1044" s="1" t="str">
        <f>TEXT(tblTransactions[[#This Row],[Date]],"YYYY-MM")</f>
        <v>2025-06</v>
      </c>
      <c r="Z1044" s="1"/>
    </row>
    <row r="1045" spans="15:26" ht="15" customHeight="1" x14ac:dyDescent="0.3">
      <c r="O1045" s="14" t="s">
        <v>1761</v>
      </c>
      <c r="P1045" s="14" t="s">
        <v>914</v>
      </c>
      <c r="Q1045" s="15">
        <v>45966</v>
      </c>
      <c r="R1045" s="14" t="s">
        <v>81</v>
      </c>
      <c r="S1045" s="14">
        <v>8097</v>
      </c>
      <c r="U1045" s="1" t="str">
        <f>TEXT(tblTransactions[[#This Row],[Date]],"YYYY-MM")</f>
        <v>2025-11</v>
      </c>
      <c r="Z1045" s="1"/>
    </row>
    <row r="1046" spans="15:26" ht="15" customHeight="1" x14ac:dyDescent="0.3">
      <c r="O1046" s="14" t="s">
        <v>1762</v>
      </c>
      <c r="P1046" s="14" t="s">
        <v>914</v>
      </c>
      <c r="Q1046" s="15">
        <v>45955</v>
      </c>
      <c r="R1046" s="14" t="s">
        <v>117</v>
      </c>
      <c r="S1046" s="14">
        <v>6544</v>
      </c>
      <c r="U1046" s="1" t="str">
        <f>TEXT(tblTransactions[[#This Row],[Date]],"YYYY-MM")</f>
        <v>2025-10</v>
      </c>
      <c r="Z1046" s="1"/>
    </row>
  </sheetData>
  <mergeCells count="3">
    <mergeCell ref="A1:M1"/>
    <mergeCell ref="O1:S1"/>
    <mergeCell ref="U1:Y1"/>
  </mergeCell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S202"/>
  <sheetViews>
    <sheetView topLeftCell="F1" zoomScale="63" zoomScaleNormal="10" workbookViewId="0">
      <pane ySplit="2" topLeftCell="A3" activePane="bottomLeft" state="frozen"/>
      <selection pane="bottomLeft" activeCell="N26" sqref="N26"/>
    </sheetView>
  </sheetViews>
  <sheetFormatPr defaultColWidth="8.6640625" defaultRowHeight="14.4" x14ac:dyDescent="0.3"/>
  <cols>
    <col min="1" max="1" width="12" style="1" customWidth="1"/>
    <col min="2" max="2" width="20" style="1" customWidth="1"/>
    <col min="3" max="3" width="10" style="1" customWidth="1"/>
    <col min="4" max="4" width="6" style="1" customWidth="1"/>
    <col min="5" max="5" width="18" style="1" customWidth="1"/>
    <col min="6" max="6" width="12" style="1" customWidth="1"/>
    <col min="7" max="7" width="20" style="1" customWidth="1"/>
    <col min="8" max="9" width="14" style="1" customWidth="1"/>
    <col min="10" max="10" width="12" style="1" customWidth="1"/>
    <col min="11" max="11" width="14" style="1" customWidth="1"/>
    <col min="12" max="12" width="18" style="1" customWidth="1"/>
    <col min="13" max="13" width="14" style="1" customWidth="1"/>
    <col min="14" max="14" width="10" style="1" customWidth="1"/>
    <col min="15" max="16" width="12" style="1" customWidth="1"/>
    <col min="17" max="17" width="14" style="1" customWidth="1"/>
    <col min="18" max="18" width="16" style="1" customWidth="1"/>
    <col min="19" max="19" width="10" style="1" customWidth="1"/>
  </cols>
  <sheetData>
    <row r="1" spans="1:19" ht="24" customHeight="1" x14ac:dyDescent="0.3">
      <c r="A1" s="85" t="s">
        <v>1763</v>
      </c>
      <c r="B1" s="85"/>
      <c r="C1" s="85"/>
      <c r="D1" s="85"/>
      <c r="E1" s="85"/>
      <c r="F1" s="85"/>
      <c r="G1" s="85"/>
      <c r="H1" s="85"/>
      <c r="I1" s="85"/>
      <c r="J1" s="85"/>
      <c r="K1" s="85"/>
      <c r="L1" s="85"/>
      <c r="M1" s="85"/>
      <c r="N1" s="85"/>
      <c r="O1" s="85"/>
      <c r="P1" s="85"/>
      <c r="Q1" s="85"/>
      <c r="R1" s="85"/>
      <c r="S1" s="85"/>
    </row>
    <row r="2" spans="1:19" ht="19.5" customHeight="1" x14ac:dyDescent="0.3">
      <c r="A2" s="13" t="s">
        <v>50</v>
      </c>
      <c r="B2" s="13" t="s">
        <v>1764</v>
      </c>
      <c r="C2" s="13" t="s">
        <v>52</v>
      </c>
      <c r="D2" s="13" t="s">
        <v>53</v>
      </c>
      <c r="E2" s="13" t="s">
        <v>1765</v>
      </c>
      <c r="F2" s="13" t="s">
        <v>55</v>
      </c>
      <c r="G2" s="13" t="s">
        <v>1766</v>
      </c>
      <c r="H2" s="13" t="s">
        <v>57</v>
      </c>
      <c r="I2" s="13" t="s">
        <v>58</v>
      </c>
      <c r="J2" s="13" t="s">
        <v>59</v>
      </c>
      <c r="K2" s="13" t="s">
        <v>60</v>
      </c>
      <c r="L2" s="13" t="s">
        <v>61</v>
      </c>
      <c r="M2" s="13" t="s">
        <v>62</v>
      </c>
      <c r="N2" s="13" t="s">
        <v>1767</v>
      </c>
      <c r="O2" s="13" t="s">
        <v>1768</v>
      </c>
      <c r="P2" s="13" t="s">
        <v>1769</v>
      </c>
      <c r="Q2" s="13" t="s">
        <v>1770</v>
      </c>
      <c r="R2" s="13" t="s">
        <v>1771</v>
      </c>
      <c r="S2" s="13" t="s">
        <v>1772</v>
      </c>
    </row>
    <row r="3" spans="1:19" ht="15" customHeight="1" x14ac:dyDescent="0.3">
      <c r="A3" s="16" t="str">
        <f>IFERROR(TRIM(tblCustomers[[#This Row],[CustomerID]]),"")</f>
        <v>C0001</v>
      </c>
      <c r="B3" s="16" t="str">
        <f>IFERROR(PROPER(TRIM(tblCustomers[[#This Row],[Name]])),"")</f>
        <v>Arjun Sharma</v>
      </c>
      <c r="C3" s="16" t="str">
        <f>IFERROR(PROPER(TRIM(tblCustomers[[#This Row],[Gender]])),"")</f>
        <v>Male</v>
      </c>
      <c r="D3" s="16">
        <f>IFERROR(tblCustomers[[#This Row],[Age]],"")</f>
        <v>59</v>
      </c>
      <c r="E3" s="16" t="str">
        <f>IFERROR(PROPER(TRIM(tblCustomers[[#This Row],[City/Region]])),"")</f>
        <v>Noida</v>
      </c>
      <c r="F3" s="16">
        <f>IFERROR(tblCustomers[[#This Row],[IncomeRange]],"")</f>
        <v>23278</v>
      </c>
      <c r="G3" s="16" t="str">
        <f>IFERROR(PROPER(TRIM(tblCustomers[[#This Row],[Occupation]])),"")</f>
        <v>Finance Analyst</v>
      </c>
      <c r="H3" s="17">
        <f>IFERROR(tblCustomers[[#This Row],[JoinDate]],"")</f>
        <v>45125</v>
      </c>
      <c r="I3" s="16" t="str">
        <f>IFERROR(PROPER(TRIM(tblCustomers[[#This Row],[PurchaseChannel]])),"")</f>
        <v>Online</v>
      </c>
      <c r="J3" s="16" t="str">
        <f>IFERROR(PROPER(TRIM(tblCustomers[[#This Row],[CustomerType]])),"")</f>
        <v>New</v>
      </c>
      <c r="K3" s="16" t="str">
        <f>IFERROR(PROPER(TRIM(tblCustomers[[#This Row],[EngagementLevel]])),"")</f>
        <v>Low</v>
      </c>
      <c r="L3" s="16" t="str">
        <f>IFERROR(PROPER(TRIM(tblCustomers[[#This Row],[DiscountSensitivity]])),"")</f>
        <v>High</v>
      </c>
      <c r="M3" s="17">
        <f>IFERROR(tblCustomers[[#This Row],[LastPurchaseDate]],"")</f>
        <v>46085</v>
      </c>
      <c r="N3" s="16" t="str">
        <f>IFERROR(IF(tblCustomers[[#This Row],[Age]]&lt;25,"&lt;25",IF(tblCustomers[[#This Row],[Age]]&lt;40,"25-39",IF(tblCustomers[[#This Row],[Age]]&lt;55,"40-54","55+"))),"N/A")</f>
        <v>55+</v>
      </c>
      <c r="O3" s="16" t="str">
        <f>IFERROR(IF(tblCustomers[[#This Row],[IncomeRange]]&lt;25000,"Low",IF(tblCustomers[[#This Row],[IncomeRange]]&lt;75000,"Mid","High")),"N/A")</f>
        <v>Low</v>
      </c>
      <c r="P3" s="16" t="str">
        <f>IFERROR(TEXT(tblCustomers[[#This Row],[JoinDate]],"DDDD"),"")</f>
        <v>Tuesday</v>
      </c>
      <c r="Q3" s="18" t="b">
        <f>IFERROR(IF(WEEKDAY(tblCustomers[[#This Row],[JoinDate]],2)&gt;=6,TRUE(),FALSE()),FALSE())</f>
        <v>0</v>
      </c>
      <c r="R3" s="16">
        <f ca="1">IFERROR(DATEDIF(tblCustomers[[#This Row],[JoinDate]],TODAY(),"M"),0)</f>
        <v>32</v>
      </c>
      <c r="S3" s="16" t="str">
        <f>IFERROR(IF(AND(tblCustomers[[#This Row],[Age]]&gt;=18,tblCustomers[[#This Row],[IncomeRange]]&gt;0,tblCustomers[[#This Row],[CustomerID]]&lt;&gt;""),"OK","CHECK"),"CHECK")</f>
        <v>OK</v>
      </c>
    </row>
    <row r="4" spans="1:19" ht="15" customHeight="1" x14ac:dyDescent="0.3">
      <c r="A4" s="19" t="str">
        <f>IFERROR(TRIM(tblCustomers[[#This Row],[CustomerID]]),"")</f>
        <v>C0002</v>
      </c>
      <c r="B4" s="19" t="str">
        <f>IFERROR(PROPER(TRIM(tblCustomers[[#This Row],[Name]])),"")</f>
        <v>Vikram Singh</v>
      </c>
      <c r="C4" s="19" t="str">
        <f>IFERROR(PROPER(TRIM(tblCustomers[[#This Row],[Gender]])),"")</f>
        <v>Male</v>
      </c>
      <c r="D4" s="19">
        <f>IFERROR(tblCustomers[[#This Row],[Age]],"")</f>
        <v>53</v>
      </c>
      <c r="E4" s="19" t="str">
        <f>IFERROR(PROPER(TRIM(tblCustomers[[#This Row],[City/Region]])),"")</f>
        <v>Bangalore</v>
      </c>
      <c r="F4" s="19">
        <f>IFERROR(tblCustomers[[#This Row],[IncomeRange]],"")</f>
        <v>97397</v>
      </c>
      <c r="G4" s="19" t="str">
        <f>IFERROR(PROPER(TRIM(tblCustomers[[#This Row],[Occupation]])),"")</f>
        <v>Hr Manager</v>
      </c>
      <c r="H4" s="20">
        <f>IFERROR(tblCustomers[[#This Row],[JoinDate]],"")</f>
        <v>44627</v>
      </c>
      <c r="I4" s="19" t="str">
        <f>IFERROR(PROPER(TRIM(tblCustomers[[#This Row],[PurchaseChannel]])),"")</f>
        <v>Online</v>
      </c>
      <c r="J4" s="19" t="str">
        <f>IFERROR(PROPER(TRIM(tblCustomers[[#This Row],[CustomerType]])),"")</f>
        <v>New</v>
      </c>
      <c r="K4" s="19" t="str">
        <f>IFERROR(PROPER(TRIM(tblCustomers[[#This Row],[EngagementLevel]])),"")</f>
        <v>Medium</v>
      </c>
      <c r="L4" s="19" t="str">
        <f>IFERROR(PROPER(TRIM(tblCustomers[[#This Row],[DiscountSensitivity]])),"")</f>
        <v>Low</v>
      </c>
      <c r="M4" s="20">
        <f>IFERROR(tblCustomers[[#This Row],[LastPurchaseDate]],"")</f>
        <v>46043</v>
      </c>
      <c r="N4" s="19" t="str">
        <f>IFERROR(IF(tblCustomers[[#This Row],[Age]]&lt;25,"&lt;25",IF(tblCustomers[[#This Row],[Age]]&lt;40,"25-39",IF(tblCustomers[[#This Row],[Age]]&lt;55,"40-54","55+"))),"N/A")</f>
        <v>40-54</v>
      </c>
      <c r="O4" s="19" t="str">
        <f>IFERROR(IF(tblCustomers[[#This Row],[IncomeRange]]&lt;25000,"Low",IF(tblCustomers[[#This Row],[IncomeRange]]&lt;75000,"Mid","High")),"N/A")</f>
        <v>High</v>
      </c>
      <c r="P4" s="19" t="str">
        <f>IFERROR(TEXT(tblCustomers[[#This Row],[JoinDate]],"DDDD"),"")</f>
        <v>Monday</v>
      </c>
      <c r="Q4" s="21" t="b">
        <f>IFERROR(IF(WEEKDAY(tblCustomers[[#This Row],[JoinDate]],2)&gt;=6,TRUE(),FALSE()),FALSE())</f>
        <v>0</v>
      </c>
      <c r="R4" s="19">
        <f ca="1">IFERROR(DATEDIF(tblCustomers[[#This Row],[JoinDate]],TODAY(),"M"),0)</f>
        <v>49</v>
      </c>
      <c r="S4" s="19" t="str">
        <f>IFERROR(IF(AND(tblCustomers[[#This Row],[Age]]&gt;=18,tblCustomers[[#This Row],[IncomeRange]]&gt;0,tblCustomers[[#This Row],[CustomerID]]&lt;&gt;""),"OK","CHECK"),"CHECK")</f>
        <v>OK</v>
      </c>
    </row>
    <row r="5" spans="1:19" ht="15" customHeight="1" x14ac:dyDescent="0.3">
      <c r="A5" s="16" t="str">
        <f>IFERROR(TRIM(tblCustomers[[#This Row],[CustomerID]]),"")</f>
        <v>C0003</v>
      </c>
      <c r="B5" s="16" t="str">
        <f>IFERROR(PROPER(TRIM(tblCustomers[[#This Row],[Name]])),"")</f>
        <v>Rohan Mehta</v>
      </c>
      <c r="C5" s="16" t="str">
        <f>IFERROR(PROPER(TRIM(tblCustomers[[#This Row],[Gender]])),"")</f>
        <v>Male</v>
      </c>
      <c r="D5" s="16">
        <f>IFERROR(tblCustomers[[#This Row],[Age]],"")</f>
        <v>31</v>
      </c>
      <c r="E5" s="16" t="str">
        <f>IFERROR(PROPER(TRIM(tblCustomers[[#This Row],[City/Region]])),"")</f>
        <v>Indore</v>
      </c>
      <c r="F5" s="16">
        <f>IFERROR(tblCustomers[[#This Row],[IncomeRange]],"")</f>
        <v>74987</v>
      </c>
      <c r="G5" s="16" t="str">
        <f>IFERROR(PROPER(TRIM(tblCustomers[[#This Row],[Occupation]])),"")</f>
        <v>Doctor</v>
      </c>
      <c r="H5" s="17">
        <f>IFERROR(tblCustomers[[#This Row],[JoinDate]],"")</f>
        <v>45481</v>
      </c>
      <c r="I5" s="16" t="str">
        <f>IFERROR(PROPER(TRIM(tblCustomers[[#This Row],[PurchaseChannel]])),"")</f>
        <v>Online</v>
      </c>
      <c r="J5" s="16" t="str">
        <f>IFERROR(PROPER(TRIM(tblCustomers[[#This Row],[CustomerType]])),"")</f>
        <v>Returning</v>
      </c>
      <c r="K5" s="16" t="str">
        <f>IFERROR(PROPER(TRIM(tblCustomers[[#This Row],[EngagementLevel]])),"")</f>
        <v>Low</v>
      </c>
      <c r="L5" s="16" t="str">
        <f>IFERROR(PROPER(TRIM(tblCustomers[[#This Row],[DiscountSensitivity]])),"")</f>
        <v>High</v>
      </c>
      <c r="M5" s="17">
        <f>IFERROR(tblCustomers[[#This Row],[LastPurchaseDate]],"")</f>
        <v>45953</v>
      </c>
      <c r="N5" s="16" t="str">
        <f>IFERROR(IF(tblCustomers[[#This Row],[Age]]&lt;25,"&lt;25",IF(tblCustomers[[#This Row],[Age]]&lt;40,"25-39",IF(tblCustomers[[#This Row],[Age]]&lt;55,"40-54","55+"))),"N/A")</f>
        <v>25-39</v>
      </c>
      <c r="O5" s="16" t="str">
        <f>IFERROR(IF(tblCustomers[[#This Row],[IncomeRange]]&lt;25000,"Low",IF(tblCustomers[[#This Row],[IncomeRange]]&lt;75000,"Mid","High")),"N/A")</f>
        <v>Mid</v>
      </c>
      <c r="P5" s="16" t="str">
        <f>IFERROR(TEXT(tblCustomers[[#This Row],[JoinDate]],"DDDD"),"")</f>
        <v>Monday</v>
      </c>
      <c r="Q5" s="18" t="b">
        <f>IFERROR(IF(WEEKDAY(tblCustomers[[#This Row],[JoinDate]],2)&gt;=6,TRUE(),FALSE()),FALSE())</f>
        <v>0</v>
      </c>
      <c r="R5" s="16">
        <f ca="1">IFERROR(DATEDIF(tblCustomers[[#This Row],[JoinDate]],TODAY(),"M"),0)</f>
        <v>21</v>
      </c>
      <c r="S5" s="16" t="str">
        <f>IFERROR(IF(AND(tblCustomers[[#This Row],[Age]]&gt;=18,tblCustomers[[#This Row],[IncomeRange]]&gt;0,tblCustomers[[#This Row],[CustomerID]]&lt;&gt;""),"OK","CHECK"),"CHECK")</f>
        <v>OK</v>
      </c>
    </row>
    <row r="6" spans="1:19" ht="15" customHeight="1" x14ac:dyDescent="0.3">
      <c r="A6" s="19" t="str">
        <f>IFERROR(TRIM(tblCustomers[[#This Row],[CustomerID]]),"")</f>
        <v>C0004</v>
      </c>
      <c r="B6" s="19" t="str">
        <f>IFERROR(PROPER(TRIM(tblCustomers[[#This Row],[Name]])),"")</f>
        <v>Nikhil Gupta</v>
      </c>
      <c r="C6" s="19" t="str">
        <f>IFERROR(PROPER(TRIM(tblCustomers[[#This Row],[Gender]])),"")</f>
        <v>Male</v>
      </c>
      <c r="D6" s="19">
        <f>IFERROR(tblCustomers[[#This Row],[Age]],"")</f>
        <v>46</v>
      </c>
      <c r="E6" s="19" t="str">
        <f>IFERROR(PROPER(TRIM(tblCustomers[[#This Row],[City/Region]])),"")</f>
        <v>Jaipur</v>
      </c>
      <c r="F6" s="19">
        <f>IFERROR(tblCustomers[[#This Row],[IncomeRange]],"")</f>
        <v>56421</v>
      </c>
      <c r="G6" s="19" t="str">
        <f>IFERROR(PROPER(TRIM(tblCustomers[[#This Row],[Occupation]])),"")</f>
        <v>Teacher</v>
      </c>
      <c r="H6" s="20">
        <f>IFERROR(tblCustomers[[#This Row],[JoinDate]],"")</f>
        <v>45002</v>
      </c>
      <c r="I6" s="19" t="str">
        <f>IFERROR(PROPER(TRIM(tblCustomers[[#This Row],[PurchaseChannel]])),"")</f>
        <v>Offline</v>
      </c>
      <c r="J6" s="19" t="str">
        <f>IFERROR(PROPER(TRIM(tblCustomers[[#This Row],[CustomerType]])),"")</f>
        <v>New</v>
      </c>
      <c r="K6" s="19" t="str">
        <f>IFERROR(PROPER(TRIM(tblCustomers[[#This Row],[EngagementLevel]])),"")</f>
        <v>Low</v>
      </c>
      <c r="L6" s="19" t="str">
        <f>IFERROR(PROPER(TRIM(tblCustomers[[#This Row],[DiscountSensitivity]])),"")</f>
        <v>Low</v>
      </c>
      <c r="M6" s="20">
        <f>IFERROR(tblCustomers[[#This Row],[LastPurchaseDate]],"")</f>
        <v>46074</v>
      </c>
      <c r="N6" s="19" t="str">
        <f>IFERROR(IF(tblCustomers[[#This Row],[Age]]&lt;25,"&lt;25",IF(tblCustomers[[#This Row],[Age]]&lt;40,"25-39",IF(tblCustomers[[#This Row],[Age]]&lt;55,"40-54","55+"))),"N/A")</f>
        <v>40-54</v>
      </c>
      <c r="O6" s="19" t="str">
        <f>IFERROR(IF(tblCustomers[[#This Row],[IncomeRange]]&lt;25000,"Low",IF(tblCustomers[[#This Row],[IncomeRange]]&lt;75000,"Mid","High")),"N/A")</f>
        <v>Mid</v>
      </c>
      <c r="P6" s="19" t="str">
        <f>IFERROR(TEXT(tblCustomers[[#This Row],[JoinDate]],"DDDD"),"")</f>
        <v>Friday</v>
      </c>
      <c r="Q6" s="21" t="b">
        <f>IFERROR(IF(WEEKDAY(tblCustomers[[#This Row],[JoinDate]],2)&gt;=6,TRUE(),FALSE()),FALSE())</f>
        <v>0</v>
      </c>
      <c r="R6" s="19">
        <f ca="1">IFERROR(DATEDIF(tblCustomers[[#This Row],[JoinDate]],TODAY(),"M"),0)</f>
        <v>36</v>
      </c>
      <c r="S6" s="19" t="str">
        <f>IFERROR(IF(AND(tblCustomers[[#This Row],[Age]]&gt;=18,tblCustomers[[#This Row],[IncomeRange]]&gt;0,tblCustomers[[#This Row],[CustomerID]]&lt;&gt;""),"OK","CHECK"),"CHECK")</f>
        <v>OK</v>
      </c>
    </row>
    <row r="7" spans="1:19" ht="15" customHeight="1" x14ac:dyDescent="0.3">
      <c r="A7" s="16" t="str">
        <f>IFERROR(TRIM(tblCustomers[[#This Row],[CustomerID]]),"")</f>
        <v>C0005</v>
      </c>
      <c r="B7" s="16" t="str">
        <f>IFERROR(PROPER(TRIM(tblCustomers[[#This Row],[Name]])),"")</f>
        <v>Amit Verma</v>
      </c>
      <c r="C7" s="16" t="str">
        <f>IFERROR(PROPER(TRIM(tblCustomers[[#This Row],[Gender]])),"")</f>
        <v>Male</v>
      </c>
      <c r="D7" s="16">
        <f>IFERROR(tblCustomers[[#This Row],[Age]],"")</f>
        <v>41</v>
      </c>
      <c r="E7" s="16" t="str">
        <f>IFERROR(PROPER(TRIM(tblCustomers[[#This Row],[City/Region]])),"")</f>
        <v>Bhubaneswar</v>
      </c>
      <c r="F7" s="16">
        <f>IFERROR(tblCustomers[[#This Row],[IncomeRange]],"")</f>
        <v>54671</v>
      </c>
      <c r="G7" s="16" t="str">
        <f>IFERROR(PROPER(TRIM(tblCustomers[[#This Row],[Occupation]])),"")</f>
        <v>Operations Manager</v>
      </c>
      <c r="H7" s="17">
        <f>IFERROR(tblCustomers[[#This Row],[JoinDate]],"")</f>
        <v>44650</v>
      </c>
      <c r="I7" s="16" t="str">
        <f>IFERROR(PROPER(TRIM(tblCustomers[[#This Row],[PurchaseChannel]])),"")</f>
        <v>Offline</v>
      </c>
      <c r="J7" s="16" t="str">
        <f>IFERROR(PROPER(TRIM(tblCustomers[[#This Row],[CustomerType]])),"")</f>
        <v>Returning</v>
      </c>
      <c r="K7" s="16" t="str">
        <f>IFERROR(PROPER(TRIM(tblCustomers[[#This Row],[EngagementLevel]])),"")</f>
        <v>High</v>
      </c>
      <c r="L7" s="16" t="str">
        <f>IFERROR(PROPER(TRIM(tblCustomers[[#This Row],[DiscountSensitivity]])),"")</f>
        <v>Medium</v>
      </c>
      <c r="M7" s="17">
        <f>IFERROR(tblCustomers[[#This Row],[LastPurchaseDate]],"")</f>
        <v>46013</v>
      </c>
      <c r="N7" s="16" t="str">
        <f>IFERROR(IF(tblCustomers[[#This Row],[Age]]&lt;25,"&lt;25",IF(tblCustomers[[#This Row],[Age]]&lt;40,"25-39",IF(tblCustomers[[#This Row],[Age]]&lt;55,"40-54","55+"))),"N/A")</f>
        <v>40-54</v>
      </c>
      <c r="O7" s="16" t="str">
        <f>IFERROR(IF(tblCustomers[[#This Row],[IncomeRange]]&lt;25000,"Low",IF(tblCustomers[[#This Row],[IncomeRange]]&lt;75000,"Mid","High")),"N/A")</f>
        <v>Mid</v>
      </c>
      <c r="P7" s="16" t="str">
        <f>IFERROR(TEXT(tblCustomers[[#This Row],[JoinDate]],"DDDD"),"")</f>
        <v>Wednesday</v>
      </c>
      <c r="Q7" s="18" t="b">
        <f>IFERROR(IF(WEEKDAY(tblCustomers[[#This Row],[JoinDate]],2)&gt;=6,TRUE(),FALSE()),FALSE())</f>
        <v>0</v>
      </c>
      <c r="R7" s="16">
        <f ca="1">IFERROR(DATEDIF(tblCustomers[[#This Row],[JoinDate]],TODAY(),"M"),0)</f>
        <v>48</v>
      </c>
      <c r="S7" s="16" t="str">
        <f>IFERROR(IF(AND(tblCustomers[[#This Row],[Age]]&gt;=18,tblCustomers[[#This Row],[IncomeRange]]&gt;0,tblCustomers[[#This Row],[CustomerID]]&lt;&gt;""),"OK","CHECK"),"CHECK")</f>
        <v>OK</v>
      </c>
    </row>
    <row r="8" spans="1:19" ht="15" customHeight="1" x14ac:dyDescent="0.3">
      <c r="A8" s="19" t="str">
        <f>IFERROR(TRIM(tblCustomers[[#This Row],[CustomerID]]),"")</f>
        <v>C0006</v>
      </c>
      <c r="B8" s="19" t="str">
        <f>IFERROR(PROPER(TRIM(tblCustomers[[#This Row],[Name]])),"")</f>
        <v>Suresh Kumar</v>
      </c>
      <c r="C8" s="19" t="str">
        <f>IFERROR(PROPER(TRIM(tblCustomers[[#This Row],[Gender]])),"")</f>
        <v>Male</v>
      </c>
      <c r="D8" s="19">
        <f>IFERROR(tblCustomers[[#This Row],[Age]],"")</f>
        <v>54</v>
      </c>
      <c r="E8" s="19" t="str">
        <f>IFERROR(PROPER(TRIM(tblCustomers[[#This Row],[City/Region]])),"")</f>
        <v>Kolkata</v>
      </c>
      <c r="F8" s="19">
        <f>IFERROR(tblCustomers[[#This Row],[IncomeRange]],"")</f>
        <v>128711</v>
      </c>
      <c r="G8" s="19" t="str">
        <f>IFERROR(PROPER(TRIM(tblCustomers[[#This Row],[Occupation]])),"")</f>
        <v>Consultant</v>
      </c>
      <c r="H8" s="20">
        <f>IFERROR(tblCustomers[[#This Row],[JoinDate]],"")</f>
        <v>45302</v>
      </c>
      <c r="I8" s="19" t="str">
        <f>IFERROR(PROPER(TRIM(tblCustomers[[#This Row],[PurchaseChannel]])),"")</f>
        <v>Online</v>
      </c>
      <c r="J8" s="19" t="str">
        <f>IFERROR(PROPER(TRIM(tblCustomers[[#This Row],[CustomerType]])),"")</f>
        <v>Returning</v>
      </c>
      <c r="K8" s="19" t="str">
        <f>IFERROR(PROPER(TRIM(tblCustomers[[#This Row],[EngagementLevel]])),"")</f>
        <v>Low</v>
      </c>
      <c r="L8" s="19" t="str">
        <f>IFERROR(PROPER(TRIM(tblCustomers[[#This Row],[DiscountSensitivity]])),"")</f>
        <v>Low</v>
      </c>
      <c r="M8" s="20">
        <f>IFERROR(tblCustomers[[#This Row],[LastPurchaseDate]],"")</f>
        <v>45960</v>
      </c>
      <c r="N8" s="19" t="str">
        <f>IFERROR(IF(tblCustomers[[#This Row],[Age]]&lt;25,"&lt;25",IF(tblCustomers[[#This Row],[Age]]&lt;40,"25-39",IF(tblCustomers[[#This Row],[Age]]&lt;55,"40-54","55+"))),"N/A")</f>
        <v>40-54</v>
      </c>
      <c r="O8" s="19" t="str">
        <f>IFERROR(IF(tblCustomers[[#This Row],[IncomeRange]]&lt;25000,"Low",IF(tblCustomers[[#This Row],[IncomeRange]]&lt;75000,"Mid","High")),"N/A")</f>
        <v>High</v>
      </c>
      <c r="P8" s="19" t="str">
        <f>IFERROR(TEXT(tblCustomers[[#This Row],[JoinDate]],"DDDD"),"")</f>
        <v>Thursday</v>
      </c>
      <c r="Q8" s="21" t="b">
        <f>IFERROR(IF(WEEKDAY(tblCustomers[[#This Row],[JoinDate]],2)&gt;=6,TRUE(),FALSE()),FALSE())</f>
        <v>0</v>
      </c>
      <c r="R8" s="19">
        <f ca="1">IFERROR(DATEDIF(tblCustomers[[#This Row],[JoinDate]],TODAY(),"M"),0)</f>
        <v>27</v>
      </c>
      <c r="S8" s="19" t="str">
        <f>IFERROR(IF(AND(tblCustomers[[#This Row],[Age]]&gt;=18,tblCustomers[[#This Row],[IncomeRange]]&gt;0,tblCustomers[[#This Row],[CustomerID]]&lt;&gt;""),"OK","CHECK"),"CHECK")</f>
        <v>OK</v>
      </c>
    </row>
    <row r="9" spans="1:19" ht="15" customHeight="1" x14ac:dyDescent="0.3">
      <c r="A9" s="16" t="str">
        <f>IFERROR(TRIM(tblCustomers[[#This Row],[CustomerID]]),"")</f>
        <v>C0007</v>
      </c>
      <c r="B9" s="16" t="str">
        <f>IFERROR(PROPER(TRIM(tblCustomers[[#This Row],[Name]])),"")</f>
        <v>Rajesh Patel</v>
      </c>
      <c r="C9" s="16" t="str">
        <f>IFERROR(PROPER(TRIM(tblCustomers[[#This Row],[Gender]])),"")</f>
        <v>Male</v>
      </c>
      <c r="D9" s="16">
        <f>IFERROR(tblCustomers[[#This Row],[Age]],"")</f>
        <v>37</v>
      </c>
      <c r="E9" s="16" t="str">
        <f>IFERROR(PROPER(TRIM(tblCustomers[[#This Row],[City/Region]])),"")</f>
        <v>Bangalore</v>
      </c>
      <c r="F9" s="16">
        <f>IFERROR(tblCustomers[[#This Row],[IncomeRange]],"")</f>
        <v>132108</v>
      </c>
      <c r="G9" s="16" t="str">
        <f>IFERROR(PROPER(TRIM(tblCustomers[[#This Row],[Occupation]])),"")</f>
        <v>Doctor</v>
      </c>
      <c r="H9" s="17">
        <f>IFERROR(tblCustomers[[#This Row],[JoinDate]],"")</f>
        <v>44768</v>
      </c>
      <c r="I9" s="16" t="str">
        <f>IFERROR(PROPER(TRIM(tblCustomers[[#This Row],[PurchaseChannel]])),"")</f>
        <v>Online</v>
      </c>
      <c r="J9" s="16" t="str">
        <f>IFERROR(PROPER(TRIM(tblCustomers[[#This Row],[CustomerType]])),"")</f>
        <v>Returning</v>
      </c>
      <c r="K9" s="16" t="str">
        <f>IFERROR(PROPER(TRIM(tblCustomers[[#This Row],[EngagementLevel]])),"")</f>
        <v>High</v>
      </c>
      <c r="L9" s="16" t="str">
        <f>IFERROR(PROPER(TRIM(tblCustomers[[#This Row],[DiscountSensitivity]])),"")</f>
        <v>Low</v>
      </c>
      <c r="M9" s="17">
        <f>IFERROR(tblCustomers[[#This Row],[LastPurchaseDate]],"")</f>
        <v>45900</v>
      </c>
      <c r="N9" s="16" t="str">
        <f>IFERROR(IF(tblCustomers[[#This Row],[Age]]&lt;25,"&lt;25",IF(tblCustomers[[#This Row],[Age]]&lt;40,"25-39",IF(tblCustomers[[#This Row],[Age]]&lt;55,"40-54","55+"))),"N/A")</f>
        <v>25-39</v>
      </c>
      <c r="O9" s="16" t="str">
        <f>IFERROR(IF(tblCustomers[[#This Row],[IncomeRange]]&lt;25000,"Low",IF(tblCustomers[[#This Row],[IncomeRange]]&lt;75000,"Mid","High")),"N/A")</f>
        <v>High</v>
      </c>
      <c r="P9" s="16" t="str">
        <f>IFERROR(TEXT(tblCustomers[[#This Row],[JoinDate]],"DDDD"),"")</f>
        <v>Tuesday</v>
      </c>
      <c r="Q9" s="18" t="b">
        <f>IFERROR(IF(WEEKDAY(tblCustomers[[#This Row],[JoinDate]],2)&gt;=6,TRUE(),FALSE()),FALSE())</f>
        <v>0</v>
      </c>
      <c r="R9" s="16">
        <f ca="1">IFERROR(DATEDIF(tblCustomers[[#This Row],[JoinDate]],TODAY(),"M"),0)</f>
        <v>44</v>
      </c>
      <c r="S9" s="16" t="str">
        <f>IFERROR(IF(AND(tblCustomers[[#This Row],[Age]]&gt;=18,tblCustomers[[#This Row],[IncomeRange]]&gt;0,tblCustomers[[#This Row],[CustomerID]]&lt;&gt;""),"OK","CHECK"),"CHECK")</f>
        <v>OK</v>
      </c>
    </row>
    <row r="10" spans="1:19" ht="15" customHeight="1" x14ac:dyDescent="0.3">
      <c r="A10" s="19" t="str">
        <f>IFERROR(TRIM(tblCustomers[[#This Row],[CustomerID]]),"")</f>
        <v>C0008</v>
      </c>
      <c r="B10" s="19" t="str">
        <f>IFERROR(PROPER(TRIM(tblCustomers[[#This Row],[Name]])),"")</f>
        <v>Aditya Joshi</v>
      </c>
      <c r="C10" s="19" t="str">
        <f>IFERROR(PROPER(TRIM(tblCustomers[[#This Row],[Gender]])),"")</f>
        <v>Male</v>
      </c>
      <c r="D10" s="19">
        <f>IFERROR(tblCustomers[[#This Row],[Age]],"")</f>
        <v>41</v>
      </c>
      <c r="E10" s="19" t="str">
        <f>IFERROR(PROPER(TRIM(tblCustomers[[#This Row],[City/Region]])),"")</f>
        <v>Hyderabad</v>
      </c>
      <c r="F10" s="19">
        <f>IFERROR(tblCustomers[[#This Row],[IncomeRange]],"")</f>
        <v>107841</v>
      </c>
      <c r="G10" s="19" t="str">
        <f>IFERROR(PROPER(TRIM(tblCustomers[[#This Row],[Occupation]])),"")</f>
        <v>Business Owner</v>
      </c>
      <c r="H10" s="20">
        <f>IFERROR(tblCustomers[[#This Row],[JoinDate]],"")</f>
        <v>44708</v>
      </c>
      <c r="I10" s="19" t="str">
        <f>IFERROR(PROPER(TRIM(tblCustomers[[#This Row],[PurchaseChannel]])),"")</f>
        <v>Offline</v>
      </c>
      <c r="J10" s="19" t="str">
        <f>IFERROR(PROPER(TRIM(tblCustomers[[#This Row],[CustomerType]])),"")</f>
        <v>New</v>
      </c>
      <c r="K10" s="19" t="str">
        <f>IFERROR(PROPER(TRIM(tblCustomers[[#This Row],[EngagementLevel]])),"")</f>
        <v>Medium</v>
      </c>
      <c r="L10" s="19" t="str">
        <f>IFERROR(PROPER(TRIM(tblCustomers[[#This Row],[DiscountSensitivity]])),"")</f>
        <v>Low</v>
      </c>
      <c r="M10" s="20">
        <f>IFERROR(tblCustomers[[#This Row],[LastPurchaseDate]],"")</f>
        <v>46032</v>
      </c>
      <c r="N10" s="19" t="str">
        <f>IFERROR(IF(tblCustomers[[#This Row],[Age]]&lt;25,"&lt;25",IF(tblCustomers[[#This Row],[Age]]&lt;40,"25-39",IF(tblCustomers[[#This Row],[Age]]&lt;55,"40-54","55+"))),"N/A")</f>
        <v>40-54</v>
      </c>
      <c r="O10" s="19" t="str">
        <f>IFERROR(IF(tblCustomers[[#This Row],[IncomeRange]]&lt;25000,"Low",IF(tblCustomers[[#This Row],[IncomeRange]]&lt;75000,"Mid","High")),"N/A")</f>
        <v>High</v>
      </c>
      <c r="P10" s="19" t="str">
        <f>IFERROR(TEXT(tblCustomers[[#This Row],[JoinDate]],"DDDD"),"")</f>
        <v>Friday</v>
      </c>
      <c r="Q10" s="21" t="b">
        <f>IFERROR(IF(WEEKDAY(tblCustomers[[#This Row],[JoinDate]],2)&gt;=6,TRUE(),FALSE()),FALSE())</f>
        <v>0</v>
      </c>
      <c r="R10" s="19">
        <f ca="1">IFERROR(DATEDIF(tblCustomers[[#This Row],[JoinDate]],TODAY(),"M"),0)</f>
        <v>46</v>
      </c>
      <c r="S10" s="19" t="str">
        <f>IFERROR(IF(AND(tblCustomers[[#This Row],[Age]]&gt;=18,tblCustomers[[#This Row],[IncomeRange]]&gt;0,tblCustomers[[#This Row],[CustomerID]]&lt;&gt;""),"OK","CHECK"),"CHECK")</f>
        <v>OK</v>
      </c>
    </row>
    <row r="11" spans="1:19" ht="15" customHeight="1" x14ac:dyDescent="0.3">
      <c r="A11" s="16" t="str">
        <f>IFERROR(TRIM(tblCustomers[[#This Row],[CustomerID]]),"")</f>
        <v>C0009</v>
      </c>
      <c r="B11" s="16" t="str">
        <f>IFERROR(PROPER(TRIM(tblCustomers[[#This Row],[Name]])),"")</f>
        <v>Karan Kapoor</v>
      </c>
      <c r="C11" s="16" t="str">
        <f>IFERROR(PROPER(TRIM(tblCustomers[[#This Row],[Gender]])),"")</f>
        <v>Male</v>
      </c>
      <c r="D11" s="16">
        <f>IFERROR(tblCustomers[[#This Row],[Age]],"")</f>
        <v>43</v>
      </c>
      <c r="E11" s="16" t="str">
        <f>IFERROR(PROPER(TRIM(tblCustomers[[#This Row],[City/Region]])),"")</f>
        <v>Ahmedabad</v>
      </c>
      <c r="F11" s="16">
        <f>IFERROR(tblCustomers[[#This Row],[IncomeRange]],"")</f>
        <v>149698</v>
      </c>
      <c r="G11" s="16" t="str">
        <f>IFERROR(PROPER(TRIM(tblCustomers[[#This Row],[Occupation]])),"")</f>
        <v>Entrepreneur</v>
      </c>
      <c r="H11" s="17">
        <f>IFERROR(tblCustomers[[#This Row],[JoinDate]],"")</f>
        <v>45702</v>
      </c>
      <c r="I11" s="16" t="str">
        <f>IFERROR(PROPER(TRIM(tblCustomers[[#This Row],[PurchaseChannel]])),"")</f>
        <v>Online</v>
      </c>
      <c r="J11" s="16" t="str">
        <f>IFERROR(PROPER(TRIM(tblCustomers[[#This Row],[CustomerType]])),"")</f>
        <v>New</v>
      </c>
      <c r="K11" s="16" t="str">
        <f>IFERROR(PROPER(TRIM(tblCustomers[[#This Row],[EngagementLevel]])),"")</f>
        <v>High</v>
      </c>
      <c r="L11" s="16" t="str">
        <f>IFERROR(PROPER(TRIM(tblCustomers[[#This Row],[DiscountSensitivity]])),"")</f>
        <v>Low</v>
      </c>
      <c r="M11" s="17">
        <f>IFERROR(tblCustomers[[#This Row],[LastPurchaseDate]],"")</f>
        <v>46033</v>
      </c>
      <c r="N11" s="16" t="str">
        <f>IFERROR(IF(tblCustomers[[#This Row],[Age]]&lt;25,"&lt;25",IF(tblCustomers[[#This Row],[Age]]&lt;40,"25-39",IF(tblCustomers[[#This Row],[Age]]&lt;55,"40-54","55+"))),"N/A")</f>
        <v>40-54</v>
      </c>
      <c r="O11" s="16" t="str">
        <f>IFERROR(IF(tblCustomers[[#This Row],[IncomeRange]]&lt;25000,"Low",IF(tblCustomers[[#This Row],[IncomeRange]]&lt;75000,"Mid","High")),"N/A")</f>
        <v>High</v>
      </c>
      <c r="P11" s="16" t="str">
        <f>IFERROR(TEXT(tblCustomers[[#This Row],[JoinDate]],"DDDD"),"")</f>
        <v>Friday</v>
      </c>
      <c r="Q11" s="18" t="b">
        <f>IFERROR(IF(WEEKDAY(tblCustomers[[#This Row],[JoinDate]],2)&gt;=6,TRUE(),FALSE()),FALSE())</f>
        <v>0</v>
      </c>
      <c r="R11" s="16">
        <f ca="1">IFERROR(DATEDIF(tblCustomers[[#This Row],[JoinDate]],TODAY(),"M"),0)</f>
        <v>13</v>
      </c>
      <c r="S11" s="16" t="str">
        <f>IFERROR(IF(AND(tblCustomers[[#This Row],[Age]]&gt;=18,tblCustomers[[#This Row],[IncomeRange]]&gt;0,tblCustomers[[#This Row],[CustomerID]]&lt;&gt;""),"OK","CHECK"),"CHECK")</f>
        <v>OK</v>
      </c>
    </row>
    <row r="12" spans="1:19" ht="15" customHeight="1" x14ac:dyDescent="0.3">
      <c r="A12" s="19" t="str">
        <f>IFERROR(TRIM(tblCustomers[[#This Row],[CustomerID]]),"")</f>
        <v>C0010</v>
      </c>
      <c r="B12" s="19" t="str">
        <f>IFERROR(PROPER(TRIM(tblCustomers[[#This Row],[Name]])),"")</f>
        <v>Deepak Nair</v>
      </c>
      <c r="C12" s="19" t="str">
        <f>IFERROR(PROPER(TRIM(tblCustomers[[#This Row],[Gender]])),"")</f>
        <v>Male</v>
      </c>
      <c r="D12" s="19">
        <f>IFERROR(tblCustomers[[#This Row],[Age]],"")</f>
        <v>21</v>
      </c>
      <c r="E12" s="19" t="str">
        <f>IFERROR(PROPER(TRIM(tblCustomers[[#This Row],[City/Region]])),"")</f>
        <v>Jaipur</v>
      </c>
      <c r="F12" s="19">
        <f>IFERROR(tblCustomers[[#This Row],[IncomeRange]],"")</f>
        <v>72581</v>
      </c>
      <c r="G12" s="19" t="str">
        <f>IFERROR(PROPER(TRIM(tblCustomers[[#This Row],[Occupation]])),"")</f>
        <v>Business Owner</v>
      </c>
      <c r="H12" s="20">
        <f>IFERROR(tblCustomers[[#This Row],[JoinDate]],"")</f>
        <v>44697</v>
      </c>
      <c r="I12" s="19" t="str">
        <f>IFERROR(PROPER(TRIM(tblCustomers[[#This Row],[PurchaseChannel]])),"")</f>
        <v>Online</v>
      </c>
      <c r="J12" s="19" t="str">
        <f>IFERROR(PROPER(TRIM(tblCustomers[[#This Row],[CustomerType]])),"")</f>
        <v>Returning</v>
      </c>
      <c r="K12" s="19" t="str">
        <f>IFERROR(PROPER(TRIM(tblCustomers[[#This Row],[EngagementLevel]])),"")</f>
        <v>High</v>
      </c>
      <c r="L12" s="19" t="str">
        <f>IFERROR(PROPER(TRIM(tblCustomers[[#This Row],[DiscountSensitivity]])),"")</f>
        <v>Medium</v>
      </c>
      <c r="M12" s="20">
        <f>IFERROR(tblCustomers[[#This Row],[LastPurchaseDate]],"")</f>
        <v>46085</v>
      </c>
      <c r="N12" s="19" t="str">
        <f>IFERROR(IF(tblCustomers[[#This Row],[Age]]&lt;25,"&lt;25",IF(tblCustomers[[#This Row],[Age]]&lt;40,"25-39",IF(tblCustomers[[#This Row],[Age]]&lt;55,"40-54","55+"))),"N/A")</f>
        <v>&lt;25</v>
      </c>
      <c r="O12" s="19" t="str">
        <f>IFERROR(IF(tblCustomers[[#This Row],[IncomeRange]]&lt;25000,"Low",IF(tblCustomers[[#This Row],[IncomeRange]]&lt;75000,"Mid","High")),"N/A")</f>
        <v>Mid</v>
      </c>
      <c r="P12" s="19" t="str">
        <f>IFERROR(TEXT(tblCustomers[[#This Row],[JoinDate]],"DDDD"),"")</f>
        <v>Monday</v>
      </c>
      <c r="Q12" s="21" t="b">
        <f>IFERROR(IF(WEEKDAY(tblCustomers[[#This Row],[JoinDate]],2)&gt;=6,TRUE(),FALSE()),FALSE())</f>
        <v>0</v>
      </c>
      <c r="R12" s="19">
        <f ca="1">IFERROR(DATEDIF(tblCustomers[[#This Row],[JoinDate]],TODAY(),"M"),0)</f>
        <v>46</v>
      </c>
      <c r="S12" s="19" t="str">
        <f>IFERROR(IF(AND(tblCustomers[[#This Row],[Age]]&gt;=18,tblCustomers[[#This Row],[IncomeRange]]&gt;0,tblCustomers[[#This Row],[CustomerID]]&lt;&gt;""),"OK","CHECK"),"CHECK")</f>
        <v>OK</v>
      </c>
    </row>
    <row r="13" spans="1:19" ht="15" customHeight="1" x14ac:dyDescent="0.3">
      <c r="A13" s="16" t="str">
        <f>IFERROR(TRIM(tblCustomers[[#This Row],[CustomerID]]),"")</f>
        <v>C0011</v>
      </c>
      <c r="B13" s="16" t="str">
        <f>IFERROR(PROPER(TRIM(tblCustomers[[#This Row],[Name]])),"")</f>
        <v>Manish Tiwari</v>
      </c>
      <c r="C13" s="16" t="str">
        <f>IFERROR(PROPER(TRIM(tblCustomers[[#This Row],[Gender]])),"")</f>
        <v>Male</v>
      </c>
      <c r="D13" s="16">
        <f>IFERROR(tblCustomers[[#This Row],[Age]],"")</f>
        <v>60</v>
      </c>
      <c r="E13" s="16" t="str">
        <f>IFERROR(PROPER(TRIM(tblCustomers[[#This Row],[City/Region]])),"")</f>
        <v>Bhopal</v>
      </c>
      <c r="F13" s="16">
        <f>IFERROR(tblCustomers[[#This Row],[IncomeRange]],"")</f>
        <v>71856</v>
      </c>
      <c r="G13" s="16" t="str">
        <f>IFERROR(PROPER(TRIM(tblCustomers[[#This Row],[Occupation]])),"")</f>
        <v>Entrepreneur</v>
      </c>
      <c r="H13" s="17">
        <f>IFERROR(tblCustomers[[#This Row],[JoinDate]],"")</f>
        <v>45501</v>
      </c>
      <c r="I13" s="16" t="str">
        <f>IFERROR(PROPER(TRIM(tblCustomers[[#This Row],[PurchaseChannel]])),"")</f>
        <v>Online</v>
      </c>
      <c r="J13" s="16" t="str">
        <f>IFERROR(PROPER(TRIM(tblCustomers[[#This Row],[CustomerType]])),"")</f>
        <v>New</v>
      </c>
      <c r="K13" s="16" t="str">
        <f>IFERROR(PROPER(TRIM(tblCustomers[[#This Row],[EngagementLevel]])),"")</f>
        <v>Medium</v>
      </c>
      <c r="L13" s="16" t="str">
        <f>IFERROR(PROPER(TRIM(tblCustomers[[#This Row],[DiscountSensitivity]])),"")</f>
        <v>Medium</v>
      </c>
      <c r="M13" s="17">
        <f>IFERROR(tblCustomers[[#This Row],[LastPurchaseDate]],"")</f>
        <v>46059</v>
      </c>
      <c r="N13" s="16" t="str">
        <f>IFERROR(IF(tblCustomers[[#This Row],[Age]]&lt;25,"&lt;25",IF(tblCustomers[[#This Row],[Age]]&lt;40,"25-39",IF(tblCustomers[[#This Row],[Age]]&lt;55,"40-54","55+"))),"N/A")</f>
        <v>55+</v>
      </c>
      <c r="O13" s="16" t="str">
        <f>IFERROR(IF(tblCustomers[[#This Row],[IncomeRange]]&lt;25000,"Low",IF(tblCustomers[[#This Row],[IncomeRange]]&lt;75000,"Mid","High")),"N/A")</f>
        <v>Mid</v>
      </c>
      <c r="P13" s="16" t="str">
        <f>IFERROR(TEXT(tblCustomers[[#This Row],[JoinDate]],"DDDD"),"")</f>
        <v>Sunday</v>
      </c>
      <c r="Q13" s="18" t="b">
        <f>IFERROR(IF(WEEKDAY(tblCustomers[[#This Row],[JoinDate]],2)&gt;=6,TRUE(),FALSE()),FALSE())</f>
        <v>1</v>
      </c>
      <c r="R13" s="16">
        <f ca="1">IFERROR(DATEDIF(tblCustomers[[#This Row],[JoinDate]],TODAY(),"M"),0)</f>
        <v>20</v>
      </c>
      <c r="S13" s="16" t="str">
        <f>IFERROR(IF(AND(tblCustomers[[#This Row],[Age]]&gt;=18,tblCustomers[[#This Row],[IncomeRange]]&gt;0,tblCustomers[[#This Row],[CustomerID]]&lt;&gt;""),"OK","CHECK"),"CHECK")</f>
        <v>OK</v>
      </c>
    </row>
    <row r="14" spans="1:19" ht="15" customHeight="1" x14ac:dyDescent="0.3">
      <c r="A14" s="19" t="str">
        <f>IFERROR(TRIM(tblCustomers[[#This Row],[CustomerID]]),"")</f>
        <v>C0012</v>
      </c>
      <c r="B14" s="19" t="str">
        <f>IFERROR(PROPER(TRIM(tblCustomers[[#This Row],[Name]])),"")</f>
        <v>Gaurav Saxena</v>
      </c>
      <c r="C14" s="19" t="str">
        <f>IFERROR(PROPER(TRIM(tblCustomers[[#This Row],[Gender]])),"")</f>
        <v>Male</v>
      </c>
      <c r="D14" s="19">
        <f>IFERROR(tblCustomers[[#This Row],[Age]],"")</f>
        <v>56</v>
      </c>
      <c r="E14" s="19" t="str">
        <f>IFERROR(PROPER(TRIM(tblCustomers[[#This Row],[City/Region]])),"")</f>
        <v>Lucknow</v>
      </c>
      <c r="F14" s="19">
        <f>IFERROR(tblCustomers[[#This Row],[IncomeRange]],"")</f>
        <v>137679</v>
      </c>
      <c r="G14" s="19" t="str">
        <f>IFERROR(PROPER(TRIM(tblCustomers[[#This Row],[Occupation]])),"")</f>
        <v>Retail Manager</v>
      </c>
      <c r="H14" s="20">
        <f>IFERROR(tblCustomers[[#This Row],[JoinDate]],"")</f>
        <v>45379</v>
      </c>
      <c r="I14" s="19" t="str">
        <f>IFERROR(PROPER(TRIM(tblCustomers[[#This Row],[PurchaseChannel]])),"")</f>
        <v>Online</v>
      </c>
      <c r="J14" s="19" t="str">
        <f>IFERROR(PROPER(TRIM(tblCustomers[[#This Row],[CustomerType]])),"")</f>
        <v>Returning</v>
      </c>
      <c r="K14" s="19" t="str">
        <f>IFERROR(PROPER(TRIM(tblCustomers[[#This Row],[EngagementLevel]])),"")</f>
        <v>Low</v>
      </c>
      <c r="L14" s="19" t="str">
        <f>IFERROR(PROPER(TRIM(tblCustomers[[#This Row],[DiscountSensitivity]])),"")</f>
        <v>Medium</v>
      </c>
      <c r="M14" s="20">
        <f>IFERROR(tblCustomers[[#This Row],[LastPurchaseDate]],"")</f>
        <v>45965</v>
      </c>
      <c r="N14" s="19" t="str">
        <f>IFERROR(IF(tblCustomers[[#This Row],[Age]]&lt;25,"&lt;25",IF(tblCustomers[[#This Row],[Age]]&lt;40,"25-39",IF(tblCustomers[[#This Row],[Age]]&lt;55,"40-54","55+"))),"N/A")</f>
        <v>55+</v>
      </c>
      <c r="O14" s="19" t="str">
        <f>IFERROR(IF(tblCustomers[[#This Row],[IncomeRange]]&lt;25000,"Low",IF(tblCustomers[[#This Row],[IncomeRange]]&lt;75000,"Mid","High")),"N/A")</f>
        <v>High</v>
      </c>
      <c r="P14" s="19" t="str">
        <f>IFERROR(TEXT(tblCustomers[[#This Row],[JoinDate]],"DDDD"),"")</f>
        <v>Thursday</v>
      </c>
      <c r="Q14" s="21" t="b">
        <f>IFERROR(IF(WEEKDAY(tblCustomers[[#This Row],[JoinDate]],2)&gt;=6,TRUE(),FALSE()),FALSE())</f>
        <v>0</v>
      </c>
      <c r="R14" s="19">
        <f ca="1">IFERROR(DATEDIF(tblCustomers[[#This Row],[JoinDate]],TODAY(),"M"),0)</f>
        <v>24</v>
      </c>
      <c r="S14" s="19" t="str">
        <f>IFERROR(IF(AND(tblCustomers[[#This Row],[Age]]&gt;=18,tblCustomers[[#This Row],[IncomeRange]]&gt;0,tblCustomers[[#This Row],[CustomerID]]&lt;&gt;""),"OK","CHECK"),"CHECK")</f>
        <v>OK</v>
      </c>
    </row>
    <row r="15" spans="1:19" ht="15" customHeight="1" x14ac:dyDescent="0.3">
      <c r="A15" s="16" t="str">
        <f>IFERROR(TRIM(tblCustomers[[#This Row],[CustomerID]]),"")</f>
        <v>C0013</v>
      </c>
      <c r="B15" s="16" t="str">
        <f>IFERROR(PROPER(TRIM(tblCustomers[[#This Row],[Name]])),"")</f>
        <v>Sanjay Yadav</v>
      </c>
      <c r="C15" s="16" t="str">
        <f>IFERROR(PROPER(TRIM(tblCustomers[[#This Row],[Gender]])),"")</f>
        <v>Male</v>
      </c>
      <c r="D15" s="16">
        <f>IFERROR(tblCustomers[[#This Row],[Age]],"")</f>
        <v>22</v>
      </c>
      <c r="E15" s="16" t="str">
        <f>IFERROR(PROPER(TRIM(tblCustomers[[#This Row],[City/Region]])),"")</f>
        <v>Noida</v>
      </c>
      <c r="F15" s="16">
        <f>IFERROR(tblCustomers[[#This Row],[IncomeRange]],"")</f>
        <v>40033</v>
      </c>
      <c r="G15" s="16" t="str">
        <f>IFERROR(PROPER(TRIM(tblCustomers[[#This Row],[Occupation]])),"")</f>
        <v>Consultant</v>
      </c>
      <c r="H15" s="17">
        <f>IFERROR(tblCustomers[[#This Row],[JoinDate]],"")</f>
        <v>44889</v>
      </c>
      <c r="I15" s="16" t="str">
        <f>IFERROR(PROPER(TRIM(tblCustomers[[#This Row],[PurchaseChannel]])),"")</f>
        <v>Offline</v>
      </c>
      <c r="J15" s="16" t="str">
        <f>IFERROR(PROPER(TRIM(tblCustomers[[#This Row],[CustomerType]])),"")</f>
        <v>Returning</v>
      </c>
      <c r="K15" s="16" t="str">
        <f>IFERROR(PROPER(TRIM(tblCustomers[[#This Row],[EngagementLevel]])),"")</f>
        <v>Low</v>
      </c>
      <c r="L15" s="16" t="str">
        <f>IFERROR(PROPER(TRIM(tblCustomers[[#This Row],[DiscountSensitivity]])),"")</f>
        <v>Medium</v>
      </c>
      <c r="M15" s="17">
        <f>IFERROR(tblCustomers[[#This Row],[LastPurchaseDate]],"")</f>
        <v>46096</v>
      </c>
      <c r="N15" s="16" t="str">
        <f>IFERROR(IF(tblCustomers[[#This Row],[Age]]&lt;25,"&lt;25",IF(tblCustomers[[#This Row],[Age]]&lt;40,"25-39",IF(tblCustomers[[#This Row],[Age]]&lt;55,"40-54","55+"))),"N/A")</f>
        <v>&lt;25</v>
      </c>
      <c r="O15" s="16" t="str">
        <f>IFERROR(IF(tblCustomers[[#This Row],[IncomeRange]]&lt;25000,"Low",IF(tblCustomers[[#This Row],[IncomeRange]]&lt;75000,"Mid","High")),"N/A")</f>
        <v>Mid</v>
      </c>
      <c r="P15" s="16" t="str">
        <f>IFERROR(TEXT(tblCustomers[[#This Row],[JoinDate]],"DDDD"),"")</f>
        <v>Thursday</v>
      </c>
      <c r="Q15" s="18" t="b">
        <f>IFERROR(IF(WEEKDAY(tblCustomers[[#This Row],[JoinDate]],2)&gt;=6,TRUE(),FALSE()),FALSE())</f>
        <v>0</v>
      </c>
      <c r="R15" s="16">
        <f ca="1">IFERROR(DATEDIF(tblCustomers[[#This Row],[JoinDate]],TODAY(),"M"),0)</f>
        <v>40</v>
      </c>
      <c r="S15" s="16" t="str">
        <f>IFERROR(IF(AND(tblCustomers[[#This Row],[Age]]&gt;=18,tblCustomers[[#This Row],[IncomeRange]]&gt;0,tblCustomers[[#This Row],[CustomerID]]&lt;&gt;""),"OK","CHECK"),"CHECK")</f>
        <v>OK</v>
      </c>
    </row>
    <row r="16" spans="1:19" ht="15" customHeight="1" x14ac:dyDescent="0.3">
      <c r="A16" s="19" t="str">
        <f>IFERROR(TRIM(tblCustomers[[#This Row],[CustomerID]]),"")</f>
        <v>C0014</v>
      </c>
      <c r="B16" s="19" t="str">
        <f>IFERROR(PROPER(TRIM(tblCustomers[[#This Row],[Name]])),"")</f>
        <v>Rahul Mishra</v>
      </c>
      <c r="C16" s="19" t="str">
        <f>IFERROR(PROPER(TRIM(tblCustomers[[#This Row],[Gender]])),"")</f>
        <v>Male</v>
      </c>
      <c r="D16" s="19">
        <f>IFERROR(tblCustomers[[#This Row],[Age]],"")</f>
        <v>48</v>
      </c>
      <c r="E16" s="19" t="str">
        <f>IFERROR(PROPER(TRIM(tblCustomers[[#This Row],[City/Region]])),"")</f>
        <v>Surat</v>
      </c>
      <c r="F16" s="19">
        <f>IFERROR(tblCustomers[[#This Row],[IncomeRange]],"")</f>
        <v>52953</v>
      </c>
      <c r="G16" s="19" t="str">
        <f>IFERROR(PROPER(TRIM(tblCustomers[[#This Row],[Occupation]])),"")</f>
        <v>Student</v>
      </c>
      <c r="H16" s="20">
        <f>IFERROR(tblCustomers[[#This Row],[JoinDate]],"")</f>
        <v>44585</v>
      </c>
      <c r="I16" s="19" t="str">
        <f>IFERROR(PROPER(TRIM(tblCustomers[[#This Row],[PurchaseChannel]])),"")</f>
        <v>Offline</v>
      </c>
      <c r="J16" s="19" t="str">
        <f>IFERROR(PROPER(TRIM(tblCustomers[[#This Row],[CustomerType]])),"")</f>
        <v>New</v>
      </c>
      <c r="K16" s="19" t="str">
        <f>IFERROR(PROPER(TRIM(tblCustomers[[#This Row],[EngagementLevel]])),"")</f>
        <v>High</v>
      </c>
      <c r="L16" s="19" t="str">
        <f>IFERROR(PROPER(TRIM(tblCustomers[[#This Row],[DiscountSensitivity]])),"")</f>
        <v>High</v>
      </c>
      <c r="M16" s="20">
        <f>IFERROR(tblCustomers[[#This Row],[LastPurchaseDate]],"")</f>
        <v>46044</v>
      </c>
      <c r="N16" s="19" t="str">
        <f>IFERROR(IF(tblCustomers[[#This Row],[Age]]&lt;25,"&lt;25",IF(tblCustomers[[#This Row],[Age]]&lt;40,"25-39",IF(tblCustomers[[#This Row],[Age]]&lt;55,"40-54","55+"))),"N/A")</f>
        <v>40-54</v>
      </c>
      <c r="O16" s="19" t="str">
        <f>IFERROR(IF(tblCustomers[[#This Row],[IncomeRange]]&lt;25000,"Low",IF(tblCustomers[[#This Row],[IncomeRange]]&lt;75000,"Mid","High")),"N/A")</f>
        <v>Mid</v>
      </c>
      <c r="P16" s="19" t="str">
        <f>IFERROR(TEXT(tblCustomers[[#This Row],[JoinDate]],"DDDD"),"")</f>
        <v>Monday</v>
      </c>
      <c r="Q16" s="21" t="b">
        <f>IFERROR(IF(WEEKDAY(tblCustomers[[#This Row],[JoinDate]],2)&gt;=6,TRUE(),FALSE()),FALSE())</f>
        <v>0</v>
      </c>
      <c r="R16" s="19">
        <f ca="1">IFERROR(DATEDIF(tblCustomers[[#This Row],[JoinDate]],TODAY(),"M"),0)</f>
        <v>50</v>
      </c>
      <c r="S16" s="19" t="str">
        <f>IFERROR(IF(AND(tblCustomers[[#This Row],[Age]]&gt;=18,tblCustomers[[#This Row],[IncomeRange]]&gt;0,tblCustomers[[#This Row],[CustomerID]]&lt;&gt;""),"OK","CHECK"),"CHECK")</f>
        <v>OK</v>
      </c>
    </row>
    <row r="17" spans="1:19" ht="15" customHeight="1" x14ac:dyDescent="0.3">
      <c r="A17" s="16" t="str">
        <f>IFERROR(TRIM(tblCustomers[[#This Row],[CustomerID]]),"")</f>
        <v>C0015</v>
      </c>
      <c r="B17" s="16" t="str">
        <f>IFERROR(PROPER(TRIM(tblCustomers[[#This Row],[Name]])),"")</f>
        <v>Varun Chopra</v>
      </c>
      <c r="C17" s="16" t="str">
        <f>IFERROR(PROPER(TRIM(tblCustomers[[#This Row],[Gender]])),"")</f>
        <v>Male</v>
      </c>
      <c r="D17" s="16">
        <f>IFERROR(tblCustomers[[#This Row],[Age]],"")</f>
        <v>60</v>
      </c>
      <c r="E17" s="16" t="str">
        <f>IFERROR(PROPER(TRIM(tblCustomers[[#This Row],[City/Region]])),"")</f>
        <v>Jaipur</v>
      </c>
      <c r="F17" s="16">
        <f>IFERROR(tblCustomers[[#This Row],[IncomeRange]],"")</f>
        <v>34621</v>
      </c>
      <c r="G17" s="16" t="str">
        <f>IFERROR(PROPER(TRIM(tblCustomers[[#This Row],[Occupation]])),"")</f>
        <v>Business Owner</v>
      </c>
      <c r="H17" s="17">
        <f>IFERROR(tblCustomers[[#This Row],[JoinDate]],"")</f>
        <v>45452</v>
      </c>
      <c r="I17" s="16" t="str">
        <f>IFERROR(PROPER(TRIM(tblCustomers[[#This Row],[PurchaseChannel]])),"")</f>
        <v>Online</v>
      </c>
      <c r="J17" s="16" t="str">
        <f>IFERROR(PROPER(TRIM(tblCustomers[[#This Row],[CustomerType]])),"")</f>
        <v>New</v>
      </c>
      <c r="K17" s="16" t="str">
        <f>IFERROR(PROPER(TRIM(tblCustomers[[#This Row],[EngagementLevel]])),"")</f>
        <v>Medium</v>
      </c>
      <c r="L17" s="16" t="str">
        <f>IFERROR(PROPER(TRIM(tblCustomers[[#This Row],[DiscountSensitivity]])),"")</f>
        <v>High</v>
      </c>
      <c r="M17" s="17">
        <f>IFERROR(tblCustomers[[#This Row],[LastPurchaseDate]],"")</f>
        <v>46060</v>
      </c>
      <c r="N17" s="16" t="str">
        <f>IFERROR(IF(tblCustomers[[#This Row],[Age]]&lt;25,"&lt;25",IF(tblCustomers[[#This Row],[Age]]&lt;40,"25-39",IF(tblCustomers[[#This Row],[Age]]&lt;55,"40-54","55+"))),"N/A")</f>
        <v>55+</v>
      </c>
      <c r="O17" s="16" t="str">
        <f>IFERROR(IF(tblCustomers[[#This Row],[IncomeRange]]&lt;25000,"Low",IF(tblCustomers[[#This Row],[IncomeRange]]&lt;75000,"Mid","High")),"N/A")</f>
        <v>Mid</v>
      </c>
      <c r="P17" s="16" t="str">
        <f>IFERROR(TEXT(tblCustomers[[#This Row],[JoinDate]],"DDDD"),"")</f>
        <v>Sunday</v>
      </c>
      <c r="Q17" s="18" t="b">
        <f>IFERROR(IF(WEEKDAY(tblCustomers[[#This Row],[JoinDate]],2)&gt;=6,TRUE(),FALSE()),FALSE())</f>
        <v>1</v>
      </c>
      <c r="R17" s="16">
        <f ca="1">IFERROR(DATEDIF(tblCustomers[[#This Row],[JoinDate]],TODAY(),"M"),0)</f>
        <v>22</v>
      </c>
      <c r="S17" s="16" t="str">
        <f>IFERROR(IF(AND(tblCustomers[[#This Row],[Age]]&gt;=18,tblCustomers[[#This Row],[IncomeRange]]&gt;0,tblCustomers[[#This Row],[CustomerID]]&lt;&gt;""),"OK","CHECK"),"CHECK")</f>
        <v>OK</v>
      </c>
    </row>
    <row r="18" spans="1:19" ht="15" customHeight="1" x14ac:dyDescent="0.3">
      <c r="A18" s="19" t="str">
        <f>IFERROR(TRIM(tblCustomers[[#This Row],[CustomerID]]),"")</f>
        <v>C0016</v>
      </c>
      <c r="B18" s="19" t="str">
        <f>IFERROR(PROPER(TRIM(tblCustomers[[#This Row],[Name]])),"")</f>
        <v>Harish Reddy</v>
      </c>
      <c r="C18" s="19" t="str">
        <f>IFERROR(PROPER(TRIM(tblCustomers[[#This Row],[Gender]])),"")</f>
        <v>Male</v>
      </c>
      <c r="D18" s="19">
        <f>IFERROR(tblCustomers[[#This Row],[Age]],"")</f>
        <v>51</v>
      </c>
      <c r="E18" s="19" t="str">
        <f>IFERROR(PROPER(TRIM(tblCustomers[[#This Row],[City/Region]])),"")</f>
        <v>Chennai</v>
      </c>
      <c r="F18" s="19">
        <f>IFERROR(tblCustomers[[#This Row],[IncomeRange]],"")</f>
        <v>86542</v>
      </c>
      <c r="G18" s="19" t="str">
        <f>IFERROR(PROPER(TRIM(tblCustomers[[#This Row],[Occupation]])),"")</f>
        <v>Entrepreneur</v>
      </c>
      <c r="H18" s="20">
        <f>IFERROR(tblCustomers[[#This Row],[JoinDate]],"")</f>
        <v>44779</v>
      </c>
      <c r="I18" s="19" t="str">
        <f>IFERROR(PROPER(TRIM(tblCustomers[[#This Row],[PurchaseChannel]])),"")</f>
        <v>Offline</v>
      </c>
      <c r="J18" s="19" t="str">
        <f>IFERROR(PROPER(TRIM(tblCustomers[[#This Row],[CustomerType]])),"")</f>
        <v>New</v>
      </c>
      <c r="K18" s="19" t="str">
        <f>IFERROR(PROPER(TRIM(tblCustomers[[#This Row],[EngagementLevel]])),"")</f>
        <v>Medium</v>
      </c>
      <c r="L18" s="19" t="str">
        <f>IFERROR(PROPER(TRIM(tblCustomers[[#This Row],[DiscountSensitivity]])),"")</f>
        <v>Medium</v>
      </c>
      <c r="M18" s="20">
        <f>IFERROR(tblCustomers[[#This Row],[LastPurchaseDate]],"")</f>
        <v>45863</v>
      </c>
      <c r="N18" s="19" t="str">
        <f>IFERROR(IF(tblCustomers[[#This Row],[Age]]&lt;25,"&lt;25",IF(tblCustomers[[#This Row],[Age]]&lt;40,"25-39",IF(tblCustomers[[#This Row],[Age]]&lt;55,"40-54","55+"))),"N/A")</f>
        <v>40-54</v>
      </c>
      <c r="O18" s="19" t="str">
        <f>IFERROR(IF(tblCustomers[[#This Row],[IncomeRange]]&lt;25000,"Low",IF(tblCustomers[[#This Row],[IncomeRange]]&lt;75000,"Mid","High")),"N/A")</f>
        <v>High</v>
      </c>
      <c r="P18" s="19" t="str">
        <f>IFERROR(TEXT(tblCustomers[[#This Row],[JoinDate]],"DDDD"),"")</f>
        <v>Saturday</v>
      </c>
      <c r="Q18" s="21" t="b">
        <f>IFERROR(IF(WEEKDAY(tblCustomers[[#This Row],[JoinDate]],2)&gt;=6,TRUE(),FALSE()),FALSE())</f>
        <v>1</v>
      </c>
      <c r="R18" s="19">
        <f ca="1">IFERROR(DATEDIF(tblCustomers[[#This Row],[JoinDate]],TODAY(),"M"),0)</f>
        <v>44</v>
      </c>
      <c r="S18" s="19" t="str">
        <f>IFERROR(IF(AND(tblCustomers[[#This Row],[Age]]&gt;=18,tblCustomers[[#This Row],[IncomeRange]]&gt;0,tblCustomers[[#This Row],[CustomerID]]&lt;&gt;""),"OK","CHECK"),"CHECK")</f>
        <v>OK</v>
      </c>
    </row>
    <row r="19" spans="1:19" ht="15" customHeight="1" x14ac:dyDescent="0.3">
      <c r="A19" s="16" t="str">
        <f>IFERROR(TRIM(tblCustomers[[#This Row],[CustomerID]]),"")</f>
        <v>C0017</v>
      </c>
      <c r="B19" s="16" t="str">
        <f>IFERROR(PROPER(TRIM(tblCustomers[[#This Row],[Name]])),"")</f>
        <v>Pradeep Iyer</v>
      </c>
      <c r="C19" s="16" t="str">
        <f>IFERROR(PROPER(TRIM(tblCustomers[[#This Row],[Gender]])),"")</f>
        <v>Male</v>
      </c>
      <c r="D19" s="16">
        <f>IFERROR(tblCustomers[[#This Row],[Age]],"")</f>
        <v>28</v>
      </c>
      <c r="E19" s="16" t="str">
        <f>IFERROR(PROPER(TRIM(tblCustomers[[#This Row],[City/Region]])),"")</f>
        <v>Chandigarh</v>
      </c>
      <c r="F19" s="16">
        <f>IFERROR(tblCustomers[[#This Row],[IncomeRange]],"")</f>
        <v>119943</v>
      </c>
      <c r="G19" s="16" t="str">
        <f>IFERROR(PROPER(TRIM(tblCustomers[[#This Row],[Occupation]])),"")</f>
        <v>Teacher</v>
      </c>
      <c r="H19" s="17">
        <f>IFERROR(tblCustomers[[#This Row],[JoinDate]],"")</f>
        <v>45666</v>
      </c>
      <c r="I19" s="16" t="str">
        <f>IFERROR(PROPER(TRIM(tblCustomers[[#This Row],[PurchaseChannel]])),"")</f>
        <v>Offline</v>
      </c>
      <c r="J19" s="16" t="str">
        <f>IFERROR(PROPER(TRIM(tblCustomers[[#This Row],[CustomerType]])),"")</f>
        <v>Returning</v>
      </c>
      <c r="K19" s="16" t="str">
        <f>IFERROR(PROPER(TRIM(tblCustomers[[#This Row],[EngagementLevel]])),"")</f>
        <v>High</v>
      </c>
      <c r="L19" s="16" t="str">
        <f>IFERROR(PROPER(TRIM(tblCustomers[[#This Row],[DiscountSensitivity]])),"")</f>
        <v>Medium</v>
      </c>
      <c r="M19" s="17">
        <f>IFERROR(tblCustomers[[#This Row],[LastPurchaseDate]],"")</f>
        <v>46069</v>
      </c>
      <c r="N19" s="16" t="str">
        <f>IFERROR(IF(tblCustomers[[#This Row],[Age]]&lt;25,"&lt;25",IF(tblCustomers[[#This Row],[Age]]&lt;40,"25-39",IF(tblCustomers[[#This Row],[Age]]&lt;55,"40-54","55+"))),"N/A")</f>
        <v>25-39</v>
      </c>
      <c r="O19" s="16" t="str">
        <f>IFERROR(IF(tblCustomers[[#This Row],[IncomeRange]]&lt;25000,"Low",IF(tblCustomers[[#This Row],[IncomeRange]]&lt;75000,"Mid","High")),"N/A")</f>
        <v>High</v>
      </c>
      <c r="P19" s="16" t="str">
        <f>IFERROR(TEXT(tblCustomers[[#This Row],[JoinDate]],"DDDD"),"")</f>
        <v>Thursday</v>
      </c>
      <c r="Q19" s="18" t="b">
        <f>IFERROR(IF(WEEKDAY(tblCustomers[[#This Row],[JoinDate]],2)&gt;=6,TRUE(),FALSE()),FALSE())</f>
        <v>0</v>
      </c>
      <c r="R19" s="16">
        <f ca="1">IFERROR(DATEDIF(tblCustomers[[#This Row],[JoinDate]],TODAY(),"M"),0)</f>
        <v>15</v>
      </c>
      <c r="S19" s="16" t="str">
        <f>IFERROR(IF(AND(tblCustomers[[#This Row],[Age]]&gt;=18,tblCustomers[[#This Row],[IncomeRange]]&gt;0,tblCustomers[[#This Row],[CustomerID]]&lt;&gt;""),"OK","CHECK"),"CHECK")</f>
        <v>OK</v>
      </c>
    </row>
    <row r="20" spans="1:19" ht="15" customHeight="1" x14ac:dyDescent="0.3">
      <c r="A20" s="19" t="str">
        <f>IFERROR(TRIM(tblCustomers[[#This Row],[CustomerID]]),"")</f>
        <v>C0018</v>
      </c>
      <c r="B20" s="19" t="str">
        <f>IFERROR(PROPER(TRIM(tblCustomers[[#This Row],[Name]])),"")</f>
        <v>Ankit Dubey</v>
      </c>
      <c r="C20" s="19" t="str">
        <f>IFERROR(PROPER(TRIM(tblCustomers[[#This Row],[Gender]])),"")</f>
        <v>Male</v>
      </c>
      <c r="D20" s="19">
        <f>IFERROR(tblCustomers[[#This Row],[Age]],"")</f>
        <v>50</v>
      </c>
      <c r="E20" s="19" t="str">
        <f>IFERROR(PROPER(TRIM(tblCustomers[[#This Row],[City/Region]])),"")</f>
        <v>Delhi</v>
      </c>
      <c r="F20" s="19">
        <f>IFERROR(tblCustomers[[#This Row],[IncomeRange]],"")</f>
        <v>34662</v>
      </c>
      <c r="G20" s="19" t="str">
        <f>IFERROR(PROPER(TRIM(tblCustomers[[#This Row],[Occupation]])),"")</f>
        <v>Entrepreneur</v>
      </c>
      <c r="H20" s="20">
        <f>IFERROR(tblCustomers[[#This Row],[JoinDate]],"")</f>
        <v>45305</v>
      </c>
      <c r="I20" s="19" t="str">
        <f>IFERROR(PROPER(TRIM(tblCustomers[[#This Row],[PurchaseChannel]])),"")</f>
        <v>Offline</v>
      </c>
      <c r="J20" s="19" t="str">
        <f>IFERROR(PROPER(TRIM(tblCustomers[[#This Row],[CustomerType]])),"")</f>
        <v>Returning</v>
      </c>
      <c r="K20" s="19" t="str">
        <f>IFERROR(PROPER(TRIM(tblCustomers[[#This Row],[EngagementLevel]])),"")</f>
        <v>Medium</v>
      </c>
      <c r="L20" s="19" t="str">
        <f>IFERROR(PROPER(TRIM(tblCustomers[[#This Row],[DiscountSensitivity]])),"")</f>
        <v>Low</v>
      </c>
      <c r="M20" s="20">
        <f>IFERROR(tblCustomers[[#This Row],[LastPurchaseDate]],"")</f>
        <v>46112</v>
      </c>
      <c r="N20" s="19" t="str">
        <f>IFERROR(IF(tblCustomers[[#This Row],[Age]]&lt;25,"&lt;25",IF(tblCustomers[[#This Row],[Age]]&lt;40,"25-39",IF(tblCustomers[[#This Row],[Age]]&lt;55,"40-54","55+"))),"N/A")</f>
        <v>40-54</v>
      </c>
      <c r="O20" s="19" t="str">
        <f>IFERROR(IF(tblCustomers[[#This Row],[IncomeRange]]&lt;25000,"Low",IF(tblCustomers[[#This Row],[IncomeRange]]&lt;75000,"Mid","High")),"N/A")</f>
        <v>Mid</v>
      </c>
      <c r="P20" s="19" t="str">
        <f>IFERROR(TEXT(tblCustomers[[#This Row],[JoinDate]],"DDDD"),"")</f>
        <v>Sunday</v>
      </c>
      <c r="Q20" s="21" t="b">
        <f>IFERROR(IF(WEEKDAY(tblCustomers[[#This Row],[JoinDate]],2)&gt;=6,TRUE(),FALSE()),FALSE())</f>
        <v>1</v>
      </c>
      <c r="R20" s="19">
        <f ca="1">IFERROR(DATEDIF(tblCustomers[[#This Row],[JoinDate]],TODAY(),"M"),0)</f>
        <v>26</v>
      </c>
      <c r="S20" s="19" t="str">
        <f>IFERROR(IF(AND(tblCustomers[[#This Row],[Age]]&gt;=18,tblCustomers[[#This Row],[IncomeRange]]&gt;0,tblCustomers[[#This Row],[CustomerID]]&lt;&gt;""),"OK","CHECK"),"CHECK")</f>
        <v>OK</v>
      </c>
    </row>
    <row r="21" spans="1:19" ht="15" customHeight="1" x14ac:dyDescent="0.3">
      <c r="A21" s="16" t="str">
        <f>IFERROR(TRIM(tblCustomers[[#This Row],[CustomerID]]),"")</f>
        <v>C0019</v>
      </c>
      <c r="B21" s="16" t="str">
        <f>IFERROR(PROPER(TRIM(tblCustomers[[#This Row],[Name]])),"")</f>
        <v>Vivek Pandey</v>
      </c>
      <c r="C21" s="16" t="str">
        <f>IFERROR(PROPER(TRIM(tblCustomers[[#This Row],[Gender]])),"")</f>
        <v>Male</v>
      </c>
      <c r="D21" s="16">
        <f>IFERROR(tblCustomers[[#This Row],[Age]],"")</f>
        <v>55</v>
      </c>
      <c r="E21" s="16" t="str">
        <f>IFERROR(PROPER(TRIM(tblCustomers[[#This Row],[City/Region]])),"")</f>
        <v>Bangalore</v>
      </c>
      <c r="F21" s="16">
        <f>IFERROR(tblCustomers[[#This Row],[IncomeRange]],"")</f>
        <v>31226</v>
      </c>
      <c r="G21" s="16" t="str">
        <f>IFERROR(PROPER(TRIM(tblCustomers[[#This Row],[Occupation]])),"")</f>
        <v>Finance Analyst</v>
      </c>
      <c r="H21" s="17">
        <f>IFERROR(tblCustomers[[#This Row],[JoinDate]],"")</f>
        <v>45557</v>
      </c>
      <c r="I21" s="16" t="str">
        <f>IFERROR(PROPER(TRIM(tblCustomers[[#This Row],[PurchaseChannel]])),"")</f>
        <v>Offline</v>
      </c>
      <c r="J21" s="16" t="str">
        <f>IFERROR(PROPER(TRIM(tblCustomers[[#This Row],[CustomerType]])),"")</f>
        <v>Returning</v>
      </c>
      <c r="K21" s="16" t="str">
        <f>IFERROR(PROPER(TRIM(tblCustomers[[#This Row],[EngagementLevel]])),"")</f>
        <v>Medium</v>
      </c>
      <c r="L21" s="16" t="str">
        <f>IFERROR(PROPER(TRIM(tblCustomers[[#This Row],[DiscountSensitivity]])),"")</f>
        <v>Low</v>
      </c>
      <c r="M21" s="17">
        <f>IFERROR(tblCustomers[[#This Row],[LastPurchaseDate]],"")</f>
        <v>46105</v>
      </c>
      <c r="N21" s="16" t="str">
        <f>IFERROR(IF(tblCustomers[[#This Row],[Age]]&lt;25,"&lt;25",IF(tblCustomers[[#This Row],[Age]]&lt;40,"25-39",IF(tblCustomers[[#This Row],[Age]]&lt;55,"40-54","55+"))),"N/A")</f>
        <v>55+</v>
      </c>
      <c r="O21" s="16" t="str">
        <f>IFERROR(IF(tblCustomers[[#This Row],[IncomeRange]]&lt;25000,"Low",IF(tblCustomers[[#This Row],[IncomeRange]]&lt;75000,"Mid","High")),"N/A")</f>
        <v>Mid</v>
      </c>
      <c r="P21" s="16" t="str">
        <f>IFERROR(TEXT(tblCustomers[[#This Row],[JoinDate]],"DDDD"),"")</f>
        <v>Sunday</v>
      </c>
      <c r="Q21" s="18" t="b">
        <f>IFERROR(IF(WEEKDAY(tblCustomers[[#This Row],[JoinDate]],2)&gt;=6,TRUE(),FALSE()),FALSE())</f>
        <v>1</v>
      </c>
      <c r="R21" s="16">
        <f ca="1">IFERROR(DATEDIF(tblCustomers[[#This Row],[JoinDate]],TODAY(),"M"),0)</f>
        <v>18</v>
      </c>
      <c r="S21" s="16" t="str">
        <f>IFERROR(IF(AND(tblCustomers[[#This Row],[Age]]&gt;=18,tblCustomers[[#This Row],[IncomeRange]]&gt;0,tblCustomers[[#This Row],[CustomerID]]&lt;&gt;""),"OK","CHECK"),"CHECK")</f>
        <v>OK</v>
      </c>
    </row>
    <row r="22" spans="1:19" ht="15" customHeight="1" x14ac:dyDescent="0.3">
      <c r="A22" s="19" t="str">
        <f>IFERROR(TRIM(tblCustomers[[#This Row],[CustomerID]]),"")</f>
        <v>C0020</v>
      </c>
      <c r="B22" s="19" t="str">
        <f>IFERROR(PROPER(TRIM(tblCustomers[[#This Row],[Name]])),"")</f>
        <v>Mohit Bhatia</v>
      </c>
      <c r="C22" s="19" t="str">
        <f>IFERROR(PROPER(TRIM(tblCustomers[[#This Row],[Gender]])),"")</f>
        <v>Male</v>
      </c>
      <c r="D22" s="19">
        <f>IFERROR(tblCustomers[[#This Row],[Age]],"")</f>
        <v>61</v>
      </c>
      <c r="E22" s="19" t="str">
        <f>IFERROR(PROPER(TRIM(tblCustomers[[#This Row],[City/Region]])),"")</f>
        <v>Bhopal</v>
      </c>
      <c r="F22" s="19">
        <f>IFERROR(tblCustomers[[#This Row],[IncomeRange]],"")</f>
        <v>144105</v>
      </c>
      <c r="G22" s="19" t="str">
        <f>IFERROR(PROPER(TRIM(tblCustomers[[#This Row],[Occupation]])),"")</f>
        <v>Student</v>
      </c>
      <c r="H22" s="20">
        <f>IFERROR(tblCustomers[[#This Row],[JoinDate]],"")</f>
        <v>44900</v>
      </c>
      <c r="I22" s="19" t="str">
        <f>IFERROR(PROPER(TRIM(tblCustomers[[#This Row],[PurchaseChannel]])),"")</f>
        <v>Online</v>
      </c>
      <c r="J22" s="19" t="str">
        <f>IFERROR(PROPER(TRIM(tblCustomers[[#This Row],[CustomerType]])),"")</f>
        <v>Returning</v>
      </c>
      <c r="K22" s="19" t="str">
        <f>IFERROR(PROPER(TRIM(tblCustomers[[#This Row],[EngagementLevel]])),"")</f>
        <v>Medium</v>
      </c>
      <c r="L22" s="19" t="str">
        <f>IFERROR(PROPER(TRIM(tblCustomers[[#This Row],[DiscountSensitivity]])),"")</f>
        <v>Low</v>
      </c>
      <c r="M22" s="20">
        <f>IFERROR(tblCustomers[[#This Row],[LastPurchaseDate]],"")</f>
        <v>46098</v>
      </c>
      <c r="N22" s="19" t="str">
        <f>IFERROR(IF(tblCustomers[[#This Row],[Age]]&lt;25,"&lt;25",IF(tblCustomers[[#This Row],[Age]]&lt;40,"25-39",IF(tblCustomers[[#This Row],[Age]]&lt;55,"40-54","55+"))),"N/A")</f>
        <v>55+</v>
      </c>
      <c r="O22" s="19" t="str">
        <f>IFERROR(IF(tblCustomers[[#This Row],[IncomeRange]]&lt;25000,"Low",IF(tblCustomers[[#This Row],[IncomeRange]]&lt;75000,"Mid","High")),"N/A")</f>
        <v>High</v>
      </c>
      <c r="P22" s="19" t="str">
        <f>IFERROR(TEXT(tblCustomers[[#This Row],[JoinDate]],"DDDD"),"")</f>
        <v>Monday</v>
      </c>
      <c r="Q22" s="21" t="b">
        <f>IFERROR(IF(WEEKDAY(tblCustomers[[#This Row],[JoinDate]],2)&gt;=6,TRUE(),FALSE()),FALSE())</f>
        <v>0</v>
      </c>
      <c r="R22" s="19">
        <f ca="1">IFERROR(DATEDIF(tblCustomers[[#This Row],[JoinDate]],TODAY(),"M"),0)</f>
        <v>40</v>
      </c>
      <c r="S22" s="19" t="str">
        <f>IFERROR(IF(AND(tblCustomers[[#This Row],[Age]]&gt;=18,tblCustomers[[#This Row],[IncomeRange]]&gt;0,tblCustomers[[#This Row],[CustomerID]]&lt;&gt;""),"OK","CHECK"),"CHECK")</f>
        <v>OK</v>
      </c>
    </row>
    <row r="23" spans="1:19" ht="15" customHeight="1" x14ac:dyDescent="0.3">
      <c r="A23" s="16" t="str">
        <f>IFERROR(TRIM(tblCustomers[[#This Row],[CustomerID]]),"")</f>
        <v>C0021</v>
      </c>
      <c r="B23" s="16" t="str">
        <f>IFERROR(PROPER(TRIM(tblCustomers[[#This Row],[Name]])),"")</f>
        <v>Sachin Rao</v>
      </c>
      <c r="C23" s="16" t="str">
        <f>IFERROR(PROPER(TRIM(tblCustomers[[#This Row],[Gender]])),"")</f>
        <v>Male</v>
      </c>
      <c r="D23" s="16">
        <f>IFERROR(tblCustomers[[#This Row],[Age]],"")</f>
        <v>53</v>
      </c>
      <c r="E23" s="16" t="str">
        <f>IFERROR(PROPER(TRIM(tblCustomers[[#This Row],[City/Region]])),"")</f>
        <v>Hyderabad</v>
      </c>
      <c r="F23" s="16">
        <f>IFERROR(tblCustomers[[#This Row],[IncomeRange]],"")</f>
        <v>113447</v>
      </c>
      <c r="G23" s="16" t="str">
        <f>IFERROR(PROPER(TRIM(tblCustomers[[#This Row],[Occupation]])),"")</f>
        <v>Business Owner</v>
      </c>
      <c r="H23" s="17">
        <f>IFERROR(tblCustomers[[#This Row],[JoinDate]],"")</f>
        <v>45379</v>
      </c>
      <c r="I23" s="16" t="str">
        <f>IFERROR(PROPER(TRIM(tblCustomers[[#This Row],[PurchaseChannel]])),"")</f>
        <v>Offline</v>
      </c>
      <c r="J23" s="16" t="str">
        <f>IFERROR(PROPER(TRIM(tblCustomers[[#This Row],[CustomerType]])),"")</f>
        <v>Returning</v>
      </c>
      <c r="K23" s="16" t="str">
        <f>IFERROR(PROPER(TRIM(tblCustomers[[#This Row],[EngagementLevel]])),"")</f>
        <v>Medium</v>
      </c>
      <c r="L23" s="16" t="str">
        <f>IFERROR(PROPER(TRIM(tblCustomers[[#This Row],[DiscountSensitivity]])),"")</f>
        <v>Medium</v>
      </c>
      <c r="M23" s="17">
        <f>IFERROR(tblCustomers[[#This Row],[LastPurchaseDate]],"")</f>
        <v>46083</v>
      </c>
      <c r="N23" s="16" t="str">
        <f>IFERROR(IF(tblCustomers[[#This Row],[Age]]&lt;25,"&lt;25",IF(tblCustomers[[#This Row],[Age]]&lt;40,"25-39",IF(tblCustomers[[#This Row],[Age]]&lt;55,"40-54","55+"))),"N/A")</f>
        <v>40-54</v>
      </c>
      <c r="O23" s="16" t="str">
        <f>IFERROR(IF(tblCustomers[[#This Row],[IncomeRange]]&lt;25000,"Low",IF(tblCustomers[[#This Row],[IncomeRange]]&lt;75000,"Mid","High")),"N/A")</f>
        <v>High</v>
      </c>
      <c r="P23" s="16" t="str">
        <f>IFERROR(TEXT(tblCustomers[[#This Row],[JoinDate]],"DDDD"),"")</f>
        <v>Thursday</v>
      </c>
      <c r="Q23" s="18" t="b">
        <f>IFERROR(IF(WEEKDAY(tblCustomers[[#This Row],[JoinDate]],2)&gt;=6,TRUE(),FALSE()),FALSE())</f>
        <v>0</v>
      </c>
      <c r="R23" s="16">
        <f ca="1">IFERROR(DATEDIF(tblCustomers[[#This Row],[JoinDate]],TODAY(),"M"),0)</f>
        <v>24</v>
      </c>
      <c r="S23" s="16" t="str">
        <f>IFERROR(IF(AND(tblCustomers[[#This Row],[Age]]&gt;=18,tblCustomers[[#This Row],[IncomeRange]]&gt;0,tblCustomers[[#This Row],[CustomerID]]&lt;&gt;""),"OK","CHECK"),"CHECK")</f>
        <v>OK</v>
      </c>
    </row>
    <row r="24" spans="1:19" ht="15" customHeight="1" x14ac:dyDescent="0.3">
      <c r="A24" s="19" t="str">
        <f>IFERROR(TRIM(tblCustomers[[#This Row],[CustomerID]]),"")</f>
        <v>C0022</v>
      </c>
      <c r="B24" s="19" t="str">
        <f>IFERROR(PROPER(TRIM(tblCustomers[[#This Row],[Name]])),"")</f>
        <v>Tarun Malhotra</v>
      </c>
      <c r="C24" s="19" t="str">
        <f>IFERROR(PROPER(TRIM(tblCustomers[[#This Row],[Gender]])),"")</f>
        <v>Male</v>
      </c>
      <c r="D24" s="19">
        <f>IFERROR(tblCustomers[[#This Row],[Age]],"")</f>
        <v>26</v>
      </c>
      <c r="E24" s="19" t="str">
        <f>IFERROR(PROPER(TRIM(tblCustomers[[#This Row],[City/Region]])),"")</f>
        <v>Pune</v>
      </c>
      <c r="F24" s="19">
        <f>IFERROR(tblCustomers[[#This Row],[IncomeRange]],"")</f>
        <v>49451</v>
      </c>
      <c r="G24" s="19" t="str">
        <f>IFERROR(PROPER(TRIM(tblCustomers[[#This Row],[Occupation]])),"")</f>
        <v>Marketing Manager</v>
      </c>
      <c r="H24" s="20">
        <f>IFERROR(tblCustomers[[#This Row],[JoinDate]],"")</f>
        <v>45254</v>
      </c>
      <c r="I24" s="19" t="str">
        <f>IFERROR(PROPER(TRIM(tblCustomers[[#This Row],[PurchaseChannel]])),"")</f>
        <v>Online</v>
      </c>
      <c r="J24" s="19" t="str">
        <f>IFERROR(PROPER(TRIM(tblCustomers[[#This Row],[CustomerType]])),"")</f>
        <v>Returning</v>
      </c>
      <c r="K24" s="19" t="str">
        <f>IFERROR(PROPER(TRIM(tblCustomers[[#This Row],[EngagementLevel]])),"")</f>
        <v>Medium</v>
      </c>
      <c r="L24" s="19" t="str">
        <f>IFERROR(PROPER(TRIM(tblCustomers[[#This Row],[DiscountSensitivity]])),"")</f>
        <v>Low</v>
      </c>
      <c r="M24" s="20">
        <f>IFERROR(tblCustomers[[#This Row],[LastPurchaseDate]],"")</f>
        <v>46036</v>
      </c>
      <c r="N24" s="19" t="str">
        <f>IFERROR(IF(tblCustomers[[#This Row],[Age]]&lt;25,"&lt;25",IF(tblCustomers[[#This Row],[Age]]&lt;40,"25-39",IF(tblCustomers[[#This Row],[Age]]&lt;55,"40-54","55+"))),"N/A")</f>
        <v>25-39</v>
      </c>
      <c r="O24" s="19" t="str">
        <f>IFERROR(IF(tblCustomers[[#This Row],[IncomeRange]]&lt;25000,"Low",IF(tblCustomers[[#This Row],[IncomeRange]]&lt;75000,"Mid","High")),"N/A")</f>
        <v>Mid</v>
      </c>
      <c r="P24" s="19" t="str">
        <f>IFERROR(TEXT(tblCustomers[[#This Row],[JoinDate]],"DDDD"),"")</f>
        <v>Friday</v>
      </c>
      <c r="Q24" s="21" t="b">
        <f>IFERROR(IF(WEEKDAY(tblCustomers[[#This Row],[JoinDate]],2)&gt;=6,TRUE(),FALSE()),FALSE())</f>
        <v>0</v>
      </c>
      <c r="R24" s="19">
        <f ca="1">IFERROR(DATEDIF(tblCustomers[[#This Row],[JoinDate]],TODAY(),"M"),0)</f>
        <v>28</v>
      </c>
      <c r="S24" s="19" t="str">
        <f>IFERROR(IF(AND(tblCustomers[[#This Row],[Age]]&gt;=18,tblCustomers[[#This Row],[IncomeRange]]&gt;0,tblCustomers[[#This Row],[CustomerID]]&lt;&gt;""),"OK","CHECK"),"CHECK")</f>
        <v>OK</v>
      </c>
    </row>
    <row r="25" spans="1:19" ht="15" customHeight="1" x14ac:dyDescent="0.3">
      <c r="A25" s="16" t="str">
        <f>IFERROR(TRIM(tblCustomers[[#This Row],[CustomerID]]),"")</f>
        <v>C0023</v>
      </c>
      <c r="B25" s="16" t="str">
        <f>IFERROR(PROPER(TRIM(tblCustomers[[#This Row],[Name]])),"")</f>
        <v>Vijay Menon</v>
      </c>
      <c r="C25" s="16" t="str">
        <f>IFERROR(PROPER(TRIM(tblCustomers[[#This Row],[Gender]])),"")</f>
        <v>Male</v>
      </c>
      <c r="D25" s="16">
        <f>IFERROR(tblCustomers[[#This Row],[Age]],"")</f>
        <v>59</v>
      </c>
      <c r="E25" s="16" t="str">
        <f>IFERROR(PROPER(TRIM(tblCustomers[[#This Row],[City/Region]])),"")</f>
        <v>Mumbai</v>
      </c>
      <c r="F25" s="16">
        <f>IFERROR(tblCustomers[[#This Row],[IncomeRange]],"")</f>
        <v>50007</v>
      </c>
      <c r="G25" s="16" t="str">
        <f>IFERROR(PROPER(TRIM(tblCustomers[[#This Row],[Occupation]])),"")</f>
        <v>Marketing Manager</v>
      </c>
      <c r="H25" s="17">
        <f>IFERROR(tblCustomers[[#This Row],[JoinDate]],"")</f>
        <v>44626</v>
      </c>
      <c r="I25" s="16" t="str">
        <f>IFERROR(PROPER(TRIM(tblCustomers[[#This Row],[PurchaseChannel]])),"")</f>
        <v>Offline</v>
      </c>
      <c r="J25" s="16" t="str">
        <f>IFERROR(PROPER(TRIM(tblCustomers[[#This Row],[CustomerType]])),"")</f>
        <v>New</v>
      </c>
      <c r="K25" s="16" t="str">
        <f>IFERROR(PROPER(TRIM(tblCustomers[[#This Row],[EngagementLevel]])),"")</f>
        <v>Low</v>
      </c>
      <c r="L25" s="16" t="str">
        <f>IFERROR(PROPER(TRIM(tblCustomers[[#This Row],[DiscountSensitivity]])),"")</f>
        <v>Medium</v>
      </c>
      <c r="M25" s="17">
        <f>IFERROR(tblCustomers[[#This Row],[LastPurchaseDate]],"")</f>
        <v>46090</v>
      </c>
      <c r="N25" s="16" t="str">
        <f>IFERROR(IF(tblCustomers[[#This Row],[Age]]&lt;25,"&lt;25",IF(tblCustomers[[#This Row],[Age]]&lt;40,"25-39",IF(tblCustomers[[#This Row],[Age]]&lt;55,"40-54","55+"))),"N/A")</f>
        <v>55+</v>
      </c>
      <c r="O25" s="16" t="str">
        <f>IFERROR(IF(tblCustomers[[#This Row],[IncomeRange]]&lt;25000,"Low",IF(tblCustomers[[#This Row],[IncomeRange]]&lt;75000,"Mid","High")),"N/A")</f>
        <v>Mid</v>
      </c>
      <c r="P25" s="16" t="str">
        <f>IFERROR(TEXT(tblCustomers[[#This Row],[JoinDate]],"DDDD"),"")</f>
        <v>Sunday</v>
      </c>
      <c r="Q25" s="18" t="b">
        <f>IFERROR(IF(WEEKDAY(tblCustomers[[#This Row],[JoinDate]],2)&gt;=6,TRUE(),FALSE()),FALSE())</f>
        <v>1</v>
      </c>
      <c r="R25" s="16">
        <f ca="1">IFERROR(DATEDIF(tblCustomers[[#This Row],[JoinDate]],TODAY(),"M"),0)</f>
        <v>49</v>
      </c>
      <c r="S25" s="16" t="str">
        <f>IFERROR(IF(AND(tblCustomers[[#This Row],[Age]]&gt;=18,tblCustomers[[#This Row],[IncomeRange]]&gt;0,tblCustomers[[#This Row],[CustomerID]]&lt;&gt;""),"OK","CHECK"),"CHECK")</f>
        <v>OK</v>
      </c>
    </row>
    <row r="26" spans="1:19" ht="15" customHeight="1" x14ac:dyDescent="0.3">
      <c r="A26" s="19" t="str">
        <f>IFERROR(TRIM(tblCustomers[[#This Row],[CustomerID]]),"")</f>
        <v>C0024</v>
      </c>
      <c r="B26" s="19" t="str">
        <f>IFERROR(PROPER(TRIM(tblCustomers[[#This Row],[Name]])),"")</f>
        <v>Naveen Pillai</v>
      </c>
      <c r="C26" s="19" t="str">
        <f>IFERROR(PROPER(TRIM(tblCustomers[[#This Row],[Gender]])),"")</f>
        <v>Male</v>
      </c>
      <c r="D26" s="19">
        <f>IFERROR(tblCustomers[[#This Row],[Age]],"")</f>
        <v>32</v>
      </c>
      <c r="E26" s="19" t="str">
        <f>IFERROR(PROPER(TRIM(tblCustomers[[#This Row],[City/Region]])),"")</f>
        <v>Indore</v>
      </c>
      <c r="F26" s="19">
        <f>IFERROR(tblCustomers[[#This Row],[IncomeRange]],"")</f>
        <v>37342</v>
      </c>
      <c r="G26" s="19" t="str">
        <f>IFERROR(PROPER(TRIM(tblCustomers[[#This Row],[Occupation]])),"")</f>
        <v>Finance Analyst</v>
      </c>
      <c r="H26" s="20">
        <f>IFERROR(tblCustomers[[#This Row],[JoinDate]],"")</f>
        <v>45731</v>
      </c>
      <c r="I26" s="19" t="str">
        <f>IFERROR(PROPER(TRIM(tblCustomers[[#This Row],[PurchaseChannel]])),"")</f>
        <v>Online</v>
      </c>
      <c r="J26" s="19" t="str">
        <f>IFERROR(PROPER(TRIM(tblCustomers[[#This Row],[CustomerType]])),"")</f>
        <v>New</v>
      </c>
      <c r="K26" s="19" t="str">
        <f>IFERROR(PROPER(TRIM(tblCustomers[[#This Row],[EngagementLevel]])),"")</f>
        <v>Medium</v>
      </c>
      <c r="L26" s="19" t="str">
        <f>IFERROR(PROPER(TRIM(tblCustomers[[#This Row],[DiscountSensitivity]])),"")</f>
        <v>Medium</v>
      </c>
      <c r="M26" s="20">
        <f>IFERROR(tblCustomers[[#This Row],[LastPurchaseDate]],"")</f>
        <v>46106</v>
      </c>
      <c r="N26" s="19" t="str">
        <f>IFERROR(IF(tblCustomers[[#This Row],[Age]]&lt;25,"&lt;25",IF(tblCustomers[[#This Row],[Age]]&lt;40,"25-39",IF(tblCustomers[[#This Row],[Age]]&lt;55,"40-54","55+"))),"N/A")</f>
        <v>25-39</v>
      </c>
      <c r="O26" s="19" t="str">
        <f>IFERROR(IF(tblCustomers[[#This Row],[IncomeRange]]&lt;25000,"Low",IF(tblCustomers[[#This Row],[IncomeRange]]&lt;75000,"Mid","High")),"N/A")</f>
        <v>Mid</v>
      </c>
      <c r="P26" s="19" t="str">
        <f>IFERROR(TEXT(tblCustomers[[#This Row],[JoinDate]],"DDDD"),"")</f>
        <v>Saturday</v>
      </c>
      <c r="Q26" s="21" t="b">
        <f>IFERROR(IF(WEEKDAY(tblCustomers[[#This Row],[JoinDate]],2)&gt;=6,TRUE(),FALSE()),FALSE())</f>
        <v>1</v>
      </c>
      <c r="R26" s="19">
        <f ca="1">IFERROR(DATEDIF(tblCustomers[[#This Row],[JoinDate]],TODAY(),"M"),0)</f>
        <v>12</v>
      </c>
      <c r="S26" s="19" t="str">
        <f>IFERROR(IF(AND(tblCustomers[[#This Row],[Age]]&gt;=18,tblCustomers[[#This Row],[IncomeRange]]&gt;0,tblCustomers[[#This Row],[CustomerID]]&lt;&gt;""),"OK","CHECK"),"CHECK")</f>
        <v>OK</v>
      </c>
    </row>
    <row r="27" spans="1:19" ht="15" customHeight="1" x14ac:dyDescent="0.3">
      <c r="A27" s="16" t="str">
        <f>IFERROR(TRIM(tblCustomers[[#This Row],[CustomerID]]),"")</f>
        <v>C0025</v>
      </c>
      <c r="B27" s="16" t="str">
        <f>IFERROR(PROPER(TRIM(tblCustomers[[#This Row],[Name]])),"")</f>
        <v>Akash Srivastava</v>
      </c>
      <c r="C27" s="16" t="str">
        <f>IFERROR(PROPER(TRIM(tblCustomers[[#This Row],[Gender]])),"")</f>
        <v>Male</v>
      </c>
      <c r="D27" s="16">
        <f>IFERROR(tblCustomers[[#This Row],[Age]],"")</f>
        <v>25</v>
      </c>
      <c r="E27" s="16" t="str">
        <f>IFERROR(PROPER(TRIM(tblCustomers[[#This Row],[City/Region]])),"")</f>
        <v>Noida</v>
      </c>
      <c r="F27" s="16">
        <f>IFERROR(tblCustomers[[#This Row],[IncomeRange]],"")</f>
        <v>106374</v>
      </c>
      <c r="G27" s="16" t="str">
        <f>IFERROR(PROPER(TRIM(tblCustomers[[#This Row],[Occupation]])),"")</f>
        <v>Hr Manager</v>
      </c>
      <c r="H27" s="17">
        <f>IFERROR(tblCustomers[[#This Row],[JoinDate]],"")</f>
        <v>45287</v>
      </c>
      <c r="I27" s="16" t="str">
        <f>IFERROR(PROPER(TRIM(tblCustomers[[#This Row],[PurchaseChannel]])),"")</f>
        <v>Online</v>
      </c>
      <c r="J27" s="16" t="str">
        <f>IFERROR(PROPER(TRIM(tblCustomers[[#This Row],[CustomerType]])),"")</f>
        <v>Returning</v>
      </c>
      <c r="K27" s="16" t="str">
        <f>IFERROR(PROPER(TRIM(tblCustomers[[#This Row],[EngagementLevel]])),"")</f>
        <v>Medium</v>
      </c>
      <c r="L27" s="16" t="str">
        <f>IFERROR(PROPER(TRIM(tblCustomers[[#This Row],[DiscountSensitivity]])),"")</f>
        <v>Medium</v>
      </c>
      <c r="M27" s="17">
        <f>IFERROR(tblCustomers[[#This Row],[LastPurchaseDate]],"")</f>
        <v>45979</v>
      </c>
      <c r="N27" s="16" t="str">
        <f>IFERROR(IF(tblCustomers[[#This Row],[Age]]&lt;25,"&lt;25",IF(tblCustomers[[#This Row],[Age]]&lt;40,"25-39",IF(tblCustomers[[#This Row],[Age]]&lt;55,"40-54","55+"))),"N/A")</f>
        <v>25-39</v>
      </c>
      <c r="O27" s="16" t="str">
        <f>IFERROR(IF(tblCustomers[[#This Row],[IncomeRange]]&lt;25000,"Low",IF(tblCustomers[[#This Row],[IncomeRange]]&lt;75000,"Mid","High")),"N/A")</f>
        <v>High</v>
      </c>
      <c r="P27" s="16" t="str">
        <f>IFERROR(TEXT(tblCustomers[[#This Row],[JoinDate]],"DDDD"),"")</f>
        <v>Wednesday</v>
      </c>
      <c r="Q27" s="18" t="b">
        <f>IFERROR(IF(WEEKDAY(tblCustomers[[#This Row],[JoinDate]],2)&gt;=6,TRUE(),FALSE()),FALSE())</f>
        <v>0</v>
      </c>
      <c r="R27" s="16">
        <f ca="1">IFERROR(DATEDIF(tblCustomers[[#This Row],[JoinDate]],TODAY(),"M"),0)</f>
        <v>27</v>
      </c>
      <c r="S27" s="16" t="str">
        <f>IFERROR(IF(AND(tblCustomers[[#This Row],[Age]]&gt;=18,tblCustomers[[#This Row],[IncomeRange]]&gt;0,tblCustomers[[#This Row],[CustomerID]]&lt;&gt;""),"OK","CHECK"),"CHECK")</f>
        <v>OK</v>
      </c>
    </row>
    <row r="28" spans="1:19" ht="15" customHeight="1" x14ac:dyDescent="0.3">
      <c r="A28" s="19" t="str">
        <f>IFERROR(TRIM(tblCustomers[[#This Row],[CustomerID]]),"")</f>
        <v>C0026</v>
      </c>
      <c r="B28" s="19" t="str">
        <f>IFERROR(PROPER(TRIM(tblCustomers[[#This Row],[Name]])),"")</f>
        <v>Dinesh Thakur</v>
      </c>
      <c r="C28" s="19" t="str">
        <f>IFERROR(PROPER(TRIM(tblCustomers[[#This Row],[Gender]])),"")</f>
        <v>Male</v>
      </c>
      <c r="D28" s="19">
        <f>IFERROR(tblCustomers[[#This Row],[Age]],"")</f>
        <v>60</v>
      </c>
      <c r="E28" s="19" t="str">
        <f>IFERROR(PROPER(TRIM(tblCustomers[[#This Row],[City/Region]])),"")</f>
        <v>Noida</v>
      </c>
      <c r="F28" s="19">
        <f>IFERROR(tblCustomers[[#This Row],[IncomeRange]],"")</f>
        <v>27944</v>
      </c>
      <c r="G28" s="19" t="str">
        <f>IFERROR(PROPER(TRIM(tblCustomers[[#This Row],[Occupation]])),"")</f>
        <v>Hr Manager</v>
      </c>
      <c r="H28" s="20">
        <f>IFERROR(tblCustomers[[#This Row],[JoinDate]],"")</f>
        <v>45256</v>
      </c>
      <c r="I28" s="19" t="str">
        <f>IFERROR(PROPER(TRIM(tblCustomers[[#This Row],[PurchaseChannel]])),"")</f>
        <v>Offline</v>
      </c>
      <c r="J28" s="19" t="str">
        <f>IFERROR(PROPER(TRIM(tblCustomers[[#This Row],[CustomerType]])),"")</f>
        <v>New</v>
      </c>
      <c r="K28" s="19" t="str">
        <f>IFERROR(PROPER(TRIM(tblCustomers[[#This Row],[EngagementLevel]])),"")</f>
        <v>Low</v>
      </c>
      <c r="L28" s="19" t="str">
        <f>IFERROR(PROPER(TRIM(tblCustomers[[#This Row],[DiscountSensitivity]])),"")</f>
        <v>Medium</v>
      </c>
      <c r="M28" s="20">
        <f>IFERROR(tblCustomers[[#This Row],[LastPurchaseDate]],"")</f>
        <v>45938</v>
      </c>
      <c r="N28" s="19" t="str">
        <f>IFERROR(IF(tblCustomers[[#This Row],[Age]]&lt;25,"&lt;25",IF(tblCustomers[[#This Row],[Age]]&lt;40,"25-39",IF(tblCustomers[[#This Row],[Age]]&lt;55,"40-54","55+"))),"N/A")</f>
        <v>55+</v>
      </c>
      <c r="O28" s="19" t="str">
        <f>IFERROR(IF(tblCustomers[[#This Row],[IncomeRange]]&lt;25000,"Low",IF(tblCustomers[[#This Row],[IncomeRange]]&lt;75000,"Mid","High")),"N/A")</f>
        <v>Mid</v>
      </c>
      <c r="P28" s="19" t="str">
        <f>IFERROR(TEXT(tblCustomers[[#This Row],[JoinDate]],"DDDD"),"")</f>
        <v>Sunday</v>
      </c>
      <c r="Q28" s="21" t="b">
        <f>IFERROR(IF(WEEKDAY(tblCustomers[[#This Row],[JoinDate]],2)&gt;=6,TRUE(),FALSE()),FALSE())</f>
        <v>1</v>
      </c>
      <c r="R28" s="19">
        <f ca="1">IFERROR(DATEDIF(tblCustomers[[#This Row],[JoinDate]],TODAY(),"M"),0)</f>
        <v>28</v>
      </c>
      <c r="S28" s="19" t="str">
        <f>IFERROR(IF(AND(tblCustomers[[#This Row],[Age]]&gt;=18,tblCustomers[[#This Row],[IncomeRange]]&gt;0,tblCustomers[[#This Row],[CustomerID]]&lt;&gt;""),"OK","CHECK"),"CHECK")</f>
        <v>OK</v>
      </c>
    </row>
    <row r="29" spans="1:19" ht="15" customHeight="1" x14ac:dyDescent="0.3">
      <c r="A29" s="16" t="str">
        <f>IFERROR(TRIM(tblCustomers[[#This Row],[CustomerID]]),"")</f>
        <v>C0027</v>
      </c>
      <c r="B29" s="16" t="str">
        <f>IFERROR(PROPER(TRIM(tblCustomers[[#This Row],[Name]])),"")</f>
        <v>Rakesh Bansal</v>
      </c>
      <c r="C29" s="16" t="str">
        <f>IFERROR(PROPER(TRIM(tblCustomers[[#This Row],[Gender]])),"")</f>
        <v>Male</v>
      </c>
      <c r="D29" s="16">
        <f>IFERROR(tblCustomers[[#This Row],[Age]],"")</f>
        <v>27</v>
      </c>
      <c r="E29" s="16" t="str">
        <f>IFERROR(PROPER(TRIM(tblCustomers[[#This Row],[City/Region]])),"")</f>
        <v>Lucknow</v>
      </c>
      <c r="F29" s="16">
        <f>IFERROR(tblCustomers[[#This Row],[IncomeRange]],"")</f>
        <v>44050</v>
      </c>
      <c r="G29" s="16" t="str">
        <f>IFERROR(PROPER(TRIM(tblCustomers[[#This Row],[Occupation]])),"")</f>
        <v>Business Owner</v>
      </c>
      <c r="H29" s="17">
        <f>IFERROR(tblCustomers[[#This Row],[JoinDate]],"")</f>
        <v>45509</v>
      </c>
      <c r="I29" s="16" t="str">
        <f>IFERROR(PROPER(TRIM(tblCustomers[[#This Row],[PurchaseChannel]])),"")</f>
        <v>Online</v>
      </c>
      <c r="J29" s="16" t="str">
        <f>IFERROR(PROPER(TRIM(tblCustomers[[#This Row],[CustomerType]])),"")</f>
        <v>Returning</v>
      </c>
      <c r="K29" s="16" t="str">
        <f>IFERROR(PROPER(TRIM(tblCustomers[[#This Row],[EngagementLevel]])),"")</f>
        <v>Medium</v>
      </c>
      <c r="L29" s="16" t="str">
        <f>IFERROR(PROPER(TRIM(tblCustomers[[#This Row],[DiscountSensitivity]])),"")</f>
        <v>High</v>
      </c>
      <c r="M29" s="17">
        <f>IFERROR(tblCustomers[[#This Row],[LastPurchaseDate]],"")</f>
        <v>46075</v>
      </c>
      <c r="N29" s="16" t="str">
        <f>IFERROR(IF(tblCustomers[[#This Row],[Age]]&lt;25,"&lt;25",IF(tblCustomers[[#This Row],[Age]]&lt;40,"25-39",IF(tblCustomers[[#This Row],[Age]]&lt;55,"40-54","55+"))),"N/A")</f>
        <v>25-39</v>
      </c>
      <c r="O29" s="16" t="str">
        <f>IFERROR(IF(tblCustomers[[#This Row],[IncomeRange]]&lt;25000,"Low",IF(tblCustomers[[#This Row],[IncomeRange]]&lt;75000,"Mid","High")),"N/A")</f>
        <v>Mid</v>
      </c>
      <c r="P29" s="16" t="str">
        <f>IFERROR(TEXT(tblCustomers[[#This Row],[JoinDate]],"DDDD"),"")</f>
        <v>Monday</v>
      </c>
      <c r="Q29" s="18" t="b">
        <f>IFERROR(IF(WEEKDAY(tblCustomers[[#This Row],[JoinDate]],2)&gt;=6,TRUE(),FALSE()),FALSE())</f>
        <v>0</v>
      </c>
      <c r="R29" s="16">
        <f ca="1">IFERROR(DATEDIF(tblCustomers[[#This Row],[JoinDate]],TODAY(),"M"),0)</f>
        <v>20</v>
      </c>
      <c r="S29" s="16" t="str">
        <f>IFERROR(IF(AND(tblCustomers[[#This Row],[Age]]&gt;=18,tblCustomers[[#This Row],[IncomeRange]]&gt;0,tblCustomers[[#This Row],[CustomerID]]&lt;&gt;""),"OK","CHECK"),"CHECK")</f>
        <v>OK</v>
      </c>
    </row>
    <row r="30" spans="1:19" ht="15" customHeight="1" x14ac:dyDescent="0.3">
      <c r="A30" s="19" t="str">
        <f>IFERROR(TRIM(tblCustomers[[#This Row],[CustomerID]]),"")</f>
        <v>C0028</v>
      </c>
      <c r="B30" s="19" t="str">
        <f>IFERROR(PROPER(TRIM(tblCustomers[[#This Row],[Name]])),"")</f>
        <v>Girish Agarwal</v>
      </c>
      <c r="C30" s="19" t="str">
        <f>IFERROR(PROPER(TRIM(tblCustomers[[#This Row],[Gender]])),"")</f>
        <v>Male</v>
      </c>
      <c r="D30" s="19">
        <f>IFERROR(tblCustomers[[#This Row],[Age]],"")</f>
        <v>54</v>
      </c>
      <c r="E30" s="19" t="str">
        <f>IFERROR(PROPER(TRIM(tblCustomers[[#This Row],[City/Region]])),"")</f>
        <v>Noida</v>
      </c>
      <c r="F30" s="19">
        <f>IFERROR(tblCustomers[[#This Row],[IncomeRange]],"")</f>
        <v>26630</v>
      </c>
      <c r="G30" s="19" t="str">
        <f>IFERROR(PROPER(TRIM(tblCustomers[[#This Row],[Occupation]])),"")</f>
        <v>Consultant</v>
      </c>
      <c r="H30" s="20">
        <f>IFERROR(tblCustomers[[#This Row],[JoinDate]],"")</f>
        <v>45669</v>
      </c>
      <c r="I30" s="19" t="str">
        <f>IFERROR(PROPER(TRIM(tblCustomers[[#This Row],[PurchaseChannel]])),"")</f>
        <v>Offline</v>
      </c>
      <c r="J30" s="19" t="str">
        <f>IFERROR(PROPER(TRIM(tblCustomers[[#This Row],[CustomerType]])),"")</f>
        <v>Returning</v>
      </c>
      <c r="K30" s="19" t="str">
        <f>IFERROR(PROPER(TRIM(tblCustomers[[#This Row],[EngagementLevel]])),"")</f>
        <v>High</v>
      </c>
      <c r="L30" s="19" t="str">
        <f>IFERROR(PROPER(TRIM(tblCustomers[[#This Row],[DiscountSensitivity]])),"")</f>
        <v>High</v>
      </c>
      <c r="M30" s="20">
        <f>IFERROR(tblCustomers[[#This Row],[LastPurchaseDate]],"")</f>
        <v>46077</v>
      </c>
      <c r="N30" s="19" t="str">
        <f>IFERROR(IF(tblCustomers[[#This Row],[Age]]&lt;25,"&lt;25",IF(tblCustomers[[#This Row],[Age]]&lt;40,"25-39",IF(tblCustomers[[#This Row],[Age]]&lt;55,"40-54","55+"))),"N/A")</f>
        <v>40-54</v>
      </c>
      <c r="O30" s="19" t="str">
        <f>IFERROR(IF(tblCustomers[[#This Row],[IncomeRange]]&lt;25000,"Low",IF(tblCustomers[[#This Row],[IncomeRange]]&lt;75000,"Mid","High")),"N/A")</f>
        <v>Mid</v>
      </c>
      <c r="P30" s="19" t="str">
        <f>IFERROR(TEXT(tblCustomers[[#This Row],[JoinDate]],"DDDD"),"")</f>
        <v>Sunday</v>
      </c>
      <c r="Q30" s="21" t="b">
        <f>IFERROR(IF(WEEKDAY(tblCustomers[[#This Row],[JoinDate]],2)&gt;=6,TRUE(),FALSE()),FALSE())</f>
        <v>1</v>
      </c>
      <c r="R30" s="19">
        <f ca="1">IFERROR(DATEDIF(tblCustomers[[#This Row],[JoinDate]],TODAY(),"M"),0)</f>
        <v>15</v>
      </c>
      <c r="S30" s="19" t="str">
        <f>IFERROR(IF(AND(tblCustomers[[#This Row],[Age]]&gt;=18,tblCustomers[[#This Row],[IncomeRange]]&gt;0,tblCustomers[[#This Row],[CustomerID]]&lt;&gt;""),"OK","CHECK"),"CHECK")</f>
        <v>OK</v>
      </c>
    </row>
    <row r="31" spans="1:19" ht="15" customHeight="1" x14ac:dyDescent="0.3">
      <c r="A31" s="16" t="str">
        <f>IFERROR(TRIM(tblCustomers[[#This Row],[CustomerID]]),"")</f>
        <v>C0029</v>
      </c>
      <c r="B31" s="16" t="str">
        <f>IFERROR(PROPER(TRIM(tblCustomers[[#This Row],[Name]])),"")</f>
        <v>Sumit Dixit</v>
      </c>
      <c r="C31" s="16" t="str">
        <f>IFERROR(PROPER(TRIM(tblCustomers[[#This Row],[Gender]])),"")</f>
        <v>Male</v>
      </c>
      <c r="D31" s="16">
        <f>IFERROR(tblCustomers[[#This Row],[Age]],"")</f>
        <v>29</v>
      </c>
      <c r="E31" s="16" t="str">
        <f>IFERROR(PROPER(TRIM(tblCustomers[[#This Row],[City/Region]])),"")</f>
        <v>Lucknow</v>
      </c>
      <c r="F31" s="16">
        <f>IFERROR(tblCustomers[[#This Row],[IncomeRange]],"")</f>
        <v>83653</v>
      </c>
      <c r="G31" s="16" t="str">
        <f>IFERROR(PROPER(TRIM(tblCustomers[[#This Row],[Occupation]])),"")</f>
        <v>Accountant</v>
      </c>
      <c r="H31" s="17">
        <f>IFERROR(tblCustomers[[#This Row],[JoinDate]],"")</f>
        <v>44999</v>
      </c>
      <c r="I31" s="16" t="str">
        <f>IFERROR(PROPER(TRIM(tblCustomers[[#This Row],[PurchaseChannel]])),"")</f>
        <v>Offline</v>
      </c>
      <c r="J31" s="16" t="str">
        <f>IFERROR(PROPER(TRIM(tblCustomers[[#This Row],[CustomerType]])),"")</f>
        <v>Returning</v>
      </c>
      <c r="K31" s="16" t="str">
        <f>IFERROR(PROPER(TRIM(tblCustomers[[#This Row],[EngagementLevel]])),"")</f>
        <v>Low</v>
      </c>
      <c r="L31" s="16" t="str">
        <f>IFERROR(PROPER(TRIM(tblCustomers[[#This Row],[DiscountSensitivity]])),"")</f>
        <v>Low</v>
      </c>
      <c r="M31" s="17">
        <f>IFERROR(tblCustomers[[#This Row],[LastPurchaseDate]],"")</f>
        <v>45965</v>
      </c>
      <c r="N31" s="16" t="str">
        <f>IFERROR(IF(tblCustomers[[#This Row],[Age]]&lt;25,"&lt;25",IF(tblCustomers[[#This Row],[Age]]&lt;40,"25-39",IF(tblCustomers[[#This Row],[Age]]&lt;55,"40-54","55+"))),"N/A")</f>
        <v>25-39</v>
      </c>
      <c r="O31" s="16" t="str">
        <f>IFERROR(IF(tblCustomers[[#This Row],[IncomeRange]]&lt;25000,"Low",IF(tblCustomers[[#This Row],[IncomeRange]]&lt;75000,"Mid","High")),"N/A")</f>
        <v>High</v>
      </c>
      <c r="P31" s="16" t="str">
        <f>IFERROR(TEXT(tblCustomers[[#This Row],[JoinDate]],"DDDD"),"")</f>
        <v>Tuesday</v>
      </c>
      <c r="Q31" s="18" t="b">
        <f>IFERROR(IF(WEEKDAY(tblCustomers[[#This Row],[JoinDate]],2)&gt;=6,TRUE(),FALSE()),FALSE())</f>
        <v>0</v>
      </c>
      <c r="R31" s="16">
        <f ca="1">IFERROR(DATEDIF(tblCustomers[[#This Row],[JoinDate]],TODAY(),"M"),0)</f>
        <v>36</v>
      </c>
      <c r="S31" s="16" t="str">
        <f>IFERROR(IF(AND(tblCustomers[[#This Row],[Age]]&gt;=18,tblCustomers[[#This Row],[IncomeRange]]&gt;0,tblCustomers[[#This Row],[CustomerID]]&lt;&gt;""),"OK","CHECK"),"CHECK")</f>
        <v>OK</v>
      </c>
    </row>
    <row r="32" spans="1:19" ht="15" customHeight="1" x14ac:dyDescent="0.3">
      <c r="A32" s="19" t="str">
        <f>IFERROR(TRIM(tblCustomers[[#This Row],[CustomerID]]),"")</f>
        <v>C0030</v>
      </c>
      <c r="B32" s="19" t="str">
        <f>IFERROR(PROPER(TRIM(tblCustomers[[#This Row],[Name]])),"")</f>
        <v>Pranav Shah</v>
      </c>
      <c r="C32" s="19" t="str">
        <f>IFERROR(PROPER(TRIM(tblCustomers[[#This Row],[Gender]])),"")</f>
        <v>Male</v>
      </c>
      <c r="D32" s="19">
        <f>IFERROR(tblCustomers[[#This Row],[Age]],"")</f>
        <v>43</v>
      </c>
      <c r="E32" s="19" t="str">
        <f>IFERROR(PROPER(TRIM(tblCustomers[[#This Row],[City/Region]])),"")</f>
        <v>Ahmedabad</v>
      </c>
      <c r="F32" s="19">
        <f>IFERROR(tblCustomers[[#This Row],[IncomeRange]],"")</f>
        <v>141440</v>
      </c>
      <c r="G32" s="19" t="str">
        <f>IFERROR(PROPER(TRIM(tblCustomers[[#This Row],[Occupation]])),"")</f>
        <v>Operations Manager</v>
      </c>
      <c r="H32" s="20">
        <f>IFERROR(tblCustomers[[#This Row],[JoinDate]],"")</f>
        <v>45493</v>
      </c>
      <c r="I32" s="19" t="str">
        <f>IFERROR(PROPER(TRIM(tblCustomers[[#This Row],[PurchaseChannel]])),"")</f>
        <v>Online</v>
      </c>
      <c r="J32" s="19" t="str">
        <f>IFERROR(PROPER(TRIM(tblCustomers[[#This Row],[CustomerType]])),"")</f>
        <v>Returning</v>
      </c>
      <c r="K32" s="19" t="str">
        <f>IFERROR(PROPER(TRIM(tblCustomers[[#This Row],[EngagementLevel]])),"")</f>
        <v>Medium</v>
      </c>
      <c r="L32" s="19" t="str">
        <f>IFERROR(PROPER(TRIM(tblCustomers[[#This Row],[DiscountSensitivity]])),"")</f>
        <v>High</v>
      </c>
      <c r="M32" s="20">
        <f>IFERROR(tblCustomers[[#This Row],[LastPurchaseDate]],"")</f>
        <v>46010</v>
      </c>
      <c r="N32" s="19" t="str">
        <f>IFERROR(IF(tblCustomers[[#This Row],[Age]]&lt;25,"&lt;25",IF(tblCustomers[[#This Row],[Age]]&lt;40,"25-39",IF(tblCustomers[[#This Row],[Age]]&lt;55,"40-54","55+"))),"N/A")</f>
        <v>40-54</v>
      </c>
      <c r="O32" s="19" t="str">
        <f>IFERROR(IF(tblCustomers[[#This Row],[IncomeRange]]&lt;25000,"Low",IF(tblCustomers[[#This Row],[IncomeRange]]&lt;75000,"Mid","High")),"N/A")</f>
        <v>High</v>
      </c>
      <c r="P32" s="19" t="str">
        <f>IFERROR(TEXT(tblCustomers[[#This Row],[JoinDate]],"DDDD"),"")</f>
        <v>Saturday</v>
      </c>
      <c r="Q32" s="21" t="b">
        <f>IFERROR(IF(WEEKDAY(tblCustomers[[#This Row],[JoinDate]],2)&gt;=6,TRUE(),FALSE()),FALSE())</f>
        <v>1</v>
      </c>
      <c r="R32" s="19">
        <f ca="1">IFERROR(DATEDIF(tblCustomers[[#This Row],[JoinDate]],TODAY(),"M"),0)</f>
        <v>20</v>
      </c>
      <c r="S32" s="19" t="str">
        <f>IFERROR(IF(AND(tblCustomers[[#This Row],[Age]]&gt;=18,tblCustomers[[#This Row],[IncomeRange]]&gt;0,tblCustomers[[#This Row],[CustomerID]]&lt;&gt;""),"OK","CHECK"),"CHECK")</f>
        <v>OK</v>
      </c>
    </row>
    <row r="33" spans="1:19" ht="15" customHeight="1" x14ac:dyDescent="0.3">
      <c r="A33" s="16" t="str">
        <f>IFERROR(TRIM(tblCustomers[[#This Row],[CustomerID]]),"")</f>
        <v>C0031</v>
      </c>
      <c r="B33" s="16" t="str">
        <f>IFERROR(PROPER(TRIM(tblCustomers[[#This Row],[Name]])),"")</f>
        <v>Himanshu Jain</v>
      </c>
      <c r="C33" s="16" t="str">
        <f>IFERROR(PROPER(TRIM(tblCustomers[[#This Row],[Gender]])),"")</f>
        <v>Male</v>
      </c>
      <c r="D33" s="16">
        <f>IFERROR(tblCustomers[[#This Row],[Age]],"")</f>
        <v>61</v>
      </c>
      <c r="E33" s="16" t="str">
        <f>IFERROR(PROPER(TRIM(tblCustomers[[#This Row],[City/Region]])),"")</f>
        <v>Bhopal</v>
      </c>
      <c r="F33" s="16">
        <f>IFERROR(tblCustomers[[#This Row],[IncomeRange]],"")</f>
        <v>40289</v>
      </c>
      <c r="G33" s="16" t="str">
        <f>IFERROR(PROPER(TRIM(tblCustomers[[#This Row],[Occupation]])),"")</f>
        <v>Doctor</v>
      </c>
      <c r="H33" s="17">
        <f>IFERROR(tblCustomers[[#This Row],[JoinDate]],"")</f>
        <v>45169</v>
      </c>
      <c r="I33" s="16" t="str">
        <f>IFERROR(PROPER(TRIM(tblCustomers[[#This Row],[PurchaseChannel]])),"")</f>
        <v>Online</v>
      </c>
      <c r="J33" s="16" t="str">
        <f>IFERROR(PROPER(TRIM(tblCustomers[[#This Row],[CustomerType]])),"")</f>
        <v>New</v>
      </c>
      <c r="K33" s="16" t="str">
        <f>IFERROR(PROPER(TRIM(tblCustomers[[#This Row],[EngagementLevel]])),"")</f>
        <v>Medium</v>
      </c>
      <c r="L33" s="16" t="str">
        <f>IFERROR(PROPER(TRIM(tblCustomers[[#This Row],[DiscountSensitivity]])),"")</f>
        <v>Low</v>
      </c>
      <c r="M33" s="17">
        <f>IFERROR(tblCustomers[[#This Row],[LastPurchaseDate]],"")</f>
        <v>46002</v>
      </c>
      <c r="N33" s="16" t="str">
        <f>IFERROR(IF(tblCustomers[[#This Row],[Age]]&lt;25,"&lt;25",IF(tblCustomers[[#This Row],[Age]]&lt;40,"25-39",IF(tblCustomers[[#This Row],[Age]]&lt;55,"40-54","55+"))),"N/A")</f>
        <v>55+</v>
      </c>
      <c r="O33" s="16" t="str">
        <f>IFERROR(IF(tblCustomers[[#This Row],[IncomeRange]]&lt;25000,"Low",IF(tblCustomers[[#This Row],[IncomeRange]]&lt;75000,"Mid","High")),"N/A")</f>
        <v>Mid</v>
      </c>
      <c r="P33" s="16" t="str">
        <f>IFERROR(TEXT(tblCustomers[[#This Row],[JoinDate]],"DDDD"),"")</f>
        <v>Thursday</v>
      </c>
      <c r="Q33" s="18" t="b">
        <f>IFERROR(IF(WEEKDAY(tblCustomers[[#This Row],[JoinDate]],2)&gt;=6,TRUE(),FALSE()),FALSE())</f>
        <v>0</v>
      </c>
      <c r="R33" s="16">
        <f ca="1">IFERROR(DATEDIF(tblCustomers[[#This Row],[JoinDate]],TODAY(),"M"),0)</f>
        <v>31</v>
      </c>
      <c r="S33" s="16" t="str">
        <f>IFERROR(IF(AND(tblCustomers[[#This Row],[Age]]&gt;=18,tblCustomers[[#This Row],[IncomeRange]]&gt;0,tblCustomers[[#This Row],[CustomerID]]&lt;&gt;""),"OK","CHECK"),"CHECK")</f>
        <v>OK</v>
      </c>
    </row>
    <row r="34" spans="1:19" ht="15" customHeight="1" x14ac:dyDescent="0.3">
      <c r="A34" s="19" t="str">
        <f>IFERROR(TRIM(tblCustomers[[#This Row],[CustomerID]]),"")</f>
        <v>C0032</v>
      </c>
      <c r="B34" s="19" t="str">
        <f>IFERROR(PROPER(TRIM(tblCustomers[[#This Row],[Name]])),"")</f>
        <v>Lokesh Negi</v>
      </c>
      <c r="C34" s="19" t="str">
        <f>IFERROR(PROPER(TRIM(tblCustomers[[#This Row],[Gender]])),"")</f>
        <v>Male</v>
      </c>
      <c r="D34" s="19">
        <f>IFERROR(tblCustomers[[#This Row],[Age]],"")</f>
        <v>39</v>
      </c>
      <c r="E34" s="19" t="str">
        <f>IFERROR(PROPER(TRIM(tblCustomers[[#This Row],[City/Region]])),"")</f>
        <v>Mumbai</v>
      </c>
      <c r="F34" s="19">
        <f>IFERROR(tblCustomers[[#This Row],[IncomeRange]],"")</f>
        <v>26572</v>
      </c>
      <c r="G34" s="19" t="str">
        <f>IFERROR(PROPER(TRIM(tblCustomers[[#This Row],[Occupation]])),"")</f>
        <v>Retail Manager</v>
      </c>
      <c r="H34" s="20">
        <f>IFERROR(tblCustomers[[#This Row],[JoinDate]],"")</f>
        <v>45538</v>
      </c>
      <c r="I34" s="19" t="str">
        <f>IFERROR(PROPER(TRIM(tblCustomers[[#This Row],[PurchaseChannel]])),"")</f>
        <v>Online</v>
      </c>
      <c r="J34" s="19" t="str">
        <f>IFERROR(PROPER(TRIM(tblCustomers[[#This Row],[CustomerType]])),"")</f>
        <v>Returning</v>
      </c>
      <c r="K34" s="19" t="str">
        <f>IFERROR(PROPER(TRIM(tblCustomers[[#This Row],[EngagementLevel]])),"")</f>
        <v>Low</v>
      </c>
      <c r="L34" s="19" t="str">
        <f>IFERROR(PROPER(TRIM(tblCustomers[[#This Row],[DiscountSensitivity]])),"")</f>
        <v>High</v>
      </c>
      <c r="M34" s="20">
        <f>IFERROR(tblCustomers[[#This Row],[LastPurchaseDate]],"")</f>
        <v>46108</v>
      </c>
      <c r="N34" s="19" t="str">
        <f>IFERROR(IF(tblCustomers[[#This Row],[Age]]&lt;25,"&lt;25",IF(tblCustomers[[#This Row],[Age]]&lt;40,"25-39",IF(tblCustomers[[#This Row],[Age]]&lt;55,"40-54","55+"))),"N/A")</f>
        <v>25-39</v>
      </c>
      <c r="O34" s="19" t="str">
        <f>IFERROR(IF(tblCustomers[[#This Row],[IncomeRange]]&lt;25000,"Low",IF(tblCustomers[[#This Row],[IncomeRange]]&lt;75000,"Mid","High")),"N/A")</f>
        <v>Mid</v>
      </c>
      <c r="P34" s="19" t="str">
        <f>IFERROR(TEXT(tblCustomers[[#This Row],[JoinDate]],"DDDD"),"")</f>
        <v>Tuesday</v>
      </c>
      <c r="Q34" s="21" t="b">
        <f>IFERROR(IF(WEEKDAY(tblCustomers[[#This Row],[JoinDate]],2)&gt;=6,TRUE(),FALSE()),FALSE())</f>
        <v>0</v>
      </c>
      <c r="R34" s="19">
        <f ca="1">IFERROR(DATEDIF(tblCustomers[[#This Row],[JoinDate]],TODAY(),"M"),0)</f>
        <v>19</v>
      </c>
      <c r="S34" s="19" t="str">
        <f>IFERROR(IF(AND(tblCustomers[[#This Row],[Age]]&gt;=18,tblCustomers[[#This Row],[IncomeRange]]&gt;0,tblCustomers[[#This Row],[CustomerID]]&lt;&gt;""),"OK","CHECK"),"CHECK")</f>
        <v>OK</v>
      </c>
    </row>
    <row r="35" spans="1:19" ht="15" customHeight="1" x14ac:dyDescent="0.3">
      <c r="A35" s="16" t="str">
        <f>IFERROR(TRIM(tblCustomers[[#This Row],[CustomerID]]),"")</f>
        <v>C0033</v>
      </c>
      <c r="B35" s="16" t="str">
        <f>IFERROR(PROPER(TRIM(tblCustomers[[#This Row],[Name]])),"")</f>
        <v>Rishabh Bhatt</v>
      </c>
      <c r="C35" s="16" t="str">
        <f>IFERROR(PROPER(TRIM(tblCustomers[[#This Row],[Gender]])),"")</f>
        <v>Male</v>
      </c>
      <c r="D35" s="16">
        <f>IFERROR(tblCustomers[[#This Row],[Age]],"")</f>
        <v>24</v>
      </c>
      <c r="E35" s="16" t="str">
        <f>IFERROR(PROPER(TRIM(tblCustomers[[#This Row],[City/Region]])),"")</f>
        <v>Chennai</v>
      </c>
      <c r="F35" s="16">
        <f>IFERROR(tblCustomers[[#This Row],[IncomeRange]],"")</f>
        <v>28981</v>
      </c>
      <c r="G35" s="16" t="str">
        <f>IFERROR(PROPER(TRIM(tblCustomers[[#This Row],[Occupation]])),"")</f>
        <v>Retail Manager</v>
      </c>
      <c r="H35" s="17">
        <f>IFERROR(tblCustomers[[#This Row],[JoinDate]],"")</f>
        <v>44701</v>
      </c>
      <c r="I35" s="16" t="str">
        <f>IFERROR(PROPER(TRIM(tblCustomers[[#This Row],[PurchaseChannel]])),"")</f>
        <v>Offline</v>
      </c>
      <c r="J35" s="16" t="str">
        <f>IFERROR(PROPER(TRIM(tblCustomers[[#This Row],[CustomerType]])),"")</f>
        <v>New</v>
      </c>
      <c r="K35" s="16" t="str">
        <f>IFERROR(PROPER(TRIM(tblCustomers[[#This Row],[EngagementLevel]])),"")</f>
        <v>Low</v>
      </c>
      <c r="L35" s="16" t="str">
        <f>IFERROR(PROPER(TRIM(tblCustomers[[#This Row],[DiscountSensitivity]])),"")</f>
        <v>High</v>
      </c>
      <c r="M35" s="17">
        <f>IFERROR(tblCustomers[[#This Row],[LastPurchaseDate]],"")</f>
        <v>46096</v>
      </c>
      <c r="N35" s="16" t="str">
        <f>IFERROR(IF(tblCustomers[[#This Row],[Age]]&lt;25,"&lt;25",IF(tblCustomers[[#This Row],[Age]]&lt;40,"25-39",IF(tblCustomers[[#This Row],[Age]]&lt;55,"40-54","55+"))),"N/A")</f>
        <v>&lt;25</v>
      </c>
      <c r="O35" s="16" t="str">
        <f>IFERROR(IF(tblCustomers[[#This Row],[IncomeRange]]&lt;25000,"Low",IF(tblCustomers[[#This Row],[IncomeRange]]&lt;75000,"Mid","High")),"N/A")</f>
        <v>Mid</v>
      </c>
      <c r="P35" s="16" t="str">
        <f>IFERROR(TEXT(tblCustomers[[#This Row],[JoinDate]],"DDDD"),"")</f>
        <v>Friday</v>
      </c>
      <c r="Q35" s="18" t="b">
        <f>IFERROR(IF(WEEKDAY(tblCustomers[[#This Row],[JoinDate]],2)&gt;=6,TRUE(),FALSE()),FALSE())</f>
        <v>0</v>
      </c>
      <c r="R35" s="16">
        <f ca="1">IFERROR(DATEDIF(tblCustomers[[#This Row],[JoinDate]],TODAY(),"M"),0)</f>
        <v>46</v>
      </c>
      <c r="S35" s="16" t="str">
        <f>IFERROR(IF(AND(tblCustomers[[#This Row],[Age]]&gt;=18,tblCustomers[[#This Row],[IncomeRange]]&gt;0,tblCustomers[[#This Row],[CustomerID]]&lt;&gt;""),"OK","CHECK"),"CHECK")</f>
        <v>OK</v>
      </c>
    </row>
    <row r="36" spans="1:19" ht="15" customHeight="1" x14ac:dyDescent="0.3">
      <c r="A36" s="19" t="str">
        <f>IFERROR(TRIM(tblCustomers[[#This Row],[CustomerID]]),"")</f>
        <v>C0034</v>
      </c>
      <c r="B36" s="19" t="str">
        <f>IFERROR(PROPER(TRIM(tblCustomers[[#This Row],[Name]])),"")</f>
        <v>Abhishek Goyal</v>
      </c>
      <c r="C36" s="19" t="str">
        <f>IFERROR(PROPER(TRIM(tblCustomers[[#This Row],[Gender]])),"")</f>
        <v>Male</v>
      </c>
      <c r="D36" s="19">
        <f>IFERROR(tblCustomers[[#This Row],[Age]],"")</f>
        <v>34</v>
      </c>
      <c r="E36" s="19" t="str">
        <f>IFERROR(PROPER(TRIM(tblCustomers[[#This Row],[City/Region]])),"")</f>
        <v>Nagpur</v>
      </c>
      <c r="F36" s="19">
        <f>IFERROR(tblCustomers[[#This Row],[IncomeRange]],"")</f>
        <v>97924</v>
      </c>
      <c r="G36" s="19" t="str">
        <f>IFERROR(PROPER(TRIM(tblCustomers[[#This Row],[Occupation]])),"")</f>
        <v>Software Engineer</v>
      </c>
      <c r="H36" s="20">
        <f>IFERROR(tblCustomers[[#This Row],[JoinDate]],"")</f>
        <v>44729</v>
      </c>
      <c r="I36" s="19" t="str">
        <f>IFERROR(PROPER(TRIM(tblCustomers[[#This Row],[PurchaseChannel]])),"")</f>
        <v>Online</v>
      </c>
      <c r="J36" s="19" t="str">
        <f>IFERROR(PROPER(TRIM(tblCustomers[[#This Row],[CustomerType]])),"")</f>
        <v>Returning</v>
      </c>
      <c r="K36" s="19" t="str">
        <f>IFERROR(PROPER(TRIM(tblCustomers[[#This Row],[EngagementLevel]])),"")</f>
        <v>Medium</v>
      </c>
      <c r="L36" s="19" t="str">
        <f>IFERROR(PROPER(TRIM(tblCustomers[[#This Row],[DiscountSensitivity]])),"")</f>
        <v>High</v>
      </c>
      <c r="M36" s="20">
        <f>IFERROR(tblCustomers[[#This Row],[LastPurchaseDate]],"")</f>
        <v>46064</v>
      </c>
      <c r="N36" s="19" t="str">
        <f>IFERROR(IF(tblCustomers[[#This Row],[Age]]&lt;25,"&lt;25",IF(tblCustomers[[#This Row],[Age]]&lt;40,"25-39",IF(tblCustomers[[#This Row],[Age]]&lt;55,"40-54","55+"))),"N/A")</f>
        <v>25-39</v>
      </c>
      <c r="O36" s="19" t="str">
        <f>IFERROR(IF(tblCustomers[[#This Row],[IncomeRange]]&lt;25000,"Low",IF(tblCustomers[[#This Row],[IncomeRange]]&lt;75000,"Mid","High")),"N/A")</f>
        <v>High</v>
      </c>
      <c r="P36" s="19" t="str">
        <f>IFERROR(TEXT(tblCustomers[[#This Row],[JoinDate]],"DDDD"),"")</f>
        <v>Friday</v>
      </c>
      <c r="Q36" s="21" t="b">
        <f>IFERROR(IF(WEEKDAY(tblCustomers[[#This Row],[JoinDate]],2)&gt;=6,TRUE(),FALSE()),FALSE())</f>
        <v>0</v>
      </c>
      <c r="R36" s="19">
        <f ca="1">IFERROR(DATEDIF(tblCustomers[[#This Row],[JoinDate]],TODAY(),"M"),0)</f>
        <v>45</v>
      </c>
      <c r="S36" s="19" t="str">
        <f>IFERROR(IF(AND(tblCustomers[[#This Row],[Age]]&gt;=18,tblCustomers[[#This Row],[IncomeRange]]&gt;0,tblCustomers[[#This Row],[CustomerID]]&lt;&gt;""),"OK","CHECK"),"CHECK")</f>
        <v>OK</v>
      </c>
    </row>
    <row r="37" spans="1:19" ht="15" customHeight="1" x14ac:dyDescent="0.3">
      <c r="A37" s="16" t="str">
        <f>IFERROR(TRIM(tblCustomers[[#This Row],[CustomerID]]),"")</f>
        <v>C0035</v>
      </c>
      <c r="B37" s="16" t="str">
        <f>IFERROR(PROPER(TRIM(tblCustomers[[#This Row],[Name]])),"")</f>
        <v>Kunal Bajaj</v>
      </c>
      <c r="C37" s="16" t="str">
        <f>IFERROR(PROPER(TRIM(tblCustomers[[#This Row],[Gender]])),"")</f>
        <v>Male</v>
      </c>
      <c r="D37" s="16">
        <f>IFERROR(tblCustomers[[#This Row],[Age]],"")</f>
        <v>32</v>
      </c>
      <c r="E37" s="16" t="str">
        <f>IFERROR(PROPER(TRIM(tblCustomers[[#This Row],[City/Region]])),"")</f>
        <v>Jaipur</v>
      </c>
      <c r="F37" s="16">
        <f>IFERROR(tblCustomers[[#This Row],[IncomeRange]],"")</f>
        <v>51285</v>
      </c>
      <c r="G37" s="16" t="str">
        <f>IFERROR(PROPER(TRIM(tblCustomers[[#This Row],[Occupation]])),"")</f>
        <v>Business Owner</v>
      </c>
      <c r="H37" s="17">
        <f>IFERROR(tblCustomers[[#This Row],[JoinDate]],"")</f>
        <v>45372</v>
      </c>
      <c r="I37" s="16" t="str">
        <f>IFERROR(PROPER(TRIM(tblCustomers[[#This Row],[PurchaseChannel]])),"")</f>
        <v>Online</v>
      </c>
      <c r="J37" s="16" t="str">
        <f>IFERROR(PROPER(TRIM(tblCustomers[[#This Row],[CustomerType]])),"")</f>
        <v>Returning</v>
      </c>
      <c r="K37" s="16" t="str">
        <f>IFERROR(PROPER(TRIM(tblCustomers[[#This Row],[EngagementLevel]])),"")</f>
        <v>Medium</v>
      </c>
      <c r="L37" s="16" t="str">
        <f>IFERROR(PROPER(TRIM(tblCustomers[[#This Row],[DiscountSensitivity]])),"")</f>
        <v>High</v>
      </c>
      <c r="M37" s="17">
        <f>IFERROR(tblCustomers[[#This Row],[LastPurchaseDate]],"")</f>
        <v>45834</v>
      </c>
      <c r="N37" s="16" t="str">
        <f>IFERROR(IF(tblCustomers[[#This Row],[Age]]&lt;25,"&lt;25",IF(tblCustomers[[#This Row],[Age]]&lt;40,"25-39",IF(tblCustomers[[#This Row],[Age]]&lt;55,"40-54","55+"))),"N/A")</f>
        <v>25-39</v>
      </c>
      <c r="O37" s="16" t="str">
        <f>IFERROR(IF(tblCustomers[[#This Row],[IncomeRange]]&lt;25000,"Low",IF(tblCustomers[[#This Row],[IncomeRange]]&lt;75000,"Mid","High")),"N/A")</f>
        <v>Mid</v>
      </c>
      <c r="P37" s="16" t="str">
        <f>IFERROR(TEXT(tblCustomers[[#This Row],[JoinDate]],"DDDD"),"")</f>
        <v>Thursday</v>
      </c>
      <c r="Q37" s="18" t="b">
        <f>IFERROR(IF(WEEKDAY(tblCustomers[[#This Row],[JoinDate]],2)&gt;=6,TRUE(),FALSE()),FALSE())</f>
        <v>0</v>
      </c>
      <c r="R37" s="16">
        <f ca="1">IFERROR(DATEDIF(tblCustomers[[#This Row],[JoinDate]],TODAY(),"M"),0)</f>
        <v>24</v>
      </c>
      <c r="S37" s="16" t="str">
        <f>IFERROR(IF(AND(tblCustomers[[#This Row],[Age]]&gt;=18,tblCustomers[[#This Row],[IncomeRange]]&gt;0,tblCustomers[[#This Row],[CustomerID]]&lt;&gt;""),"OK","CHECK"),"CHECK")</f>
        <v>OK</v>
      </c>
    </row>
    <row r="38" spans="1:19" ht="15" customHeight="1" x14ac:dyDescent="0.3">
      <c r="A38" s="19" t="str">
        <f>IFERROR(TRIM(tblCustomers[[#This Row],[CustomerID]]),"")</f>
        <v>C0036</v>
      </c>
      <c r="B38" s="19" t="str">
        <f>IFERROR(PROPER(TRIM(tblCustomers[[#This Row],[Name]])),"")</f>
        <v>Ravi Choudhury</v>
      </c>
      <c r="C38" s="19" t="str">
        <f>IFERROR(PROPER(TRIM(tblCustomers[[#This Row],[Gender]])),"")</f>
        <v>Male</v>
      </c>
      <c r="D38" s="19">
        <f>IFERROR(tblCustomers[[#This Row],[Age]],"")</f>
        <v>23</v>
      </c>
      <c r="E38" s="19" t="str">
        <f>IFERROR(PROPER(TRIM(tblCustomers[[#This Row],[City/Region]])),"")</f>
        <v>Delhi</v>
      </c>
      <c r="F38" s="19">
        <f>IFERROR(tblCustomers[[#This Row],[IncomeRange]],"")</f>
        <v>80068</v>
      </c>
      <c r="G38" s="19" t="str">
        <f>IFERROR(PROPER(TRIM(tblCustomers[[#This Row],[Occupation]])),"")</f>
        <v>Retail Manager</v>
      </c>
      <c r="H38" s="20">
        <f>IFERROR(tblCustomers[[#This Row],[JoinDate]],"")</f>
        <v>45715</v>
      </c>
      <c r="I38" s="19" t="str">
        <f>IFERROR(PROPER(TRIM(tblCustomers[[#This Row],[PurchaseChannel]])),"")</f>
        <v>Offline</v>
      </c>
      <c r="J38" s="19" t="str">
        <f>IFERROR(PROPER(TRIM(tblCustomers[[#This Row],[CustomerType]])),"")</f>
        <v>New</v>
      </c>
      <c r="K38" s="19" t="str">
        <f>IFERROR(PROPER(TRIM(tblCustomers[[#This Row],[EngagementLevel]])),"")</f>
        <v>Low</v>
      </c>
      <c r="L38" s="19" t="str">
        <f>IFERROR(PROPER(TRIM(tblCustomers[[#This Row],[DiscountSensitivity]])),"")</f>
        <v>Medium</v>
      </c>
      <c r="M38" s="20">
        <f>IFERROR(tblCustomers[[#This Row],[LastPurchaseDate]],"")</f>
        <v>45836</v>
      </c>
      <c r="N38" s="19" t="str">
        <f>IFERROR(IF(tblCustomers[[#This Row],[Age]]&lt;25,"&lt;25",IF(tblCustomers[[#This Row],[Age]]&lt;40,"25-39",IF(tblCustomers[[#This Row],[Age]]&lt;55,"40-54","55+"))),"N/A")</f>
        <v>&lt;25</v>
      </c>
      <c r="O38" s="19" t="str">
        <f>IFERROR(IF(tblCustomers[[#This Row],[IncomeRange]]&lt;25000,"Low",IF(tblCustomers[[#This Row],[IncomeRange]]&lt;75000,"Mid","High")),"N/A")</f>
        <v>High</v>
      </c>
      <c r="P38" s="19" t="str">
        <f>IFERROR(TEXT(tblCustomers[[#This Row],[JoinDate]],"DDDD"),"")</f>
        <v>Thursday</v>
      </c>
      <c r="Q38" s="21" t="b">
        <f>IFERROR(IF(WEEKDAY(tblCustomers[[#This Row],[JoinDate]],2)&gt;=6,TRUE(),FALSE()),FALSE())</f>
        <v>0</v>
      </c>
      <c r="R38" s="19">
        <f ca="1">IFERROR(DATEDIF(tblCustomers[[#This Row],[JoinDate]],TODAY(),"M"),0)</f>
        <v>13</v>
      </c>
      <c r="S38" s="19" t="str">
        <f>IFERROR(IF(AND(tblCustomers[[#This Row],[Age]]&gt;=18,tblCustomers[[#This Row],[IncomeRange]]&gt;0,tblCustomers[[#This Row],[CustomerID]]&lt;&gt;""),"OK","CHECK"),"CHECK")</f>
        <v>OK</v>
      </c>
    </row>
    <row r="39" spans="1:19" ht="15" customHeight="1" x14ac:dyDescent="0.3">
      <c r="A39" s="16" t="str">
        <f>IFERROR(TRIM(tblCustomers[[#This Row],[CustomerID]]),"")</f>
        <v>C0037</v>
      </c>
      <c r="B39" s="16" t="str">
        <f>IFERROR(PROPER(TRIM(tblCustomers[[#This Row],[Name]])),"")</f>
        <v>Nitin Wagh</v>
      </c>
      <c r="C39" s="16" t="str">
        <f>IFERROR(PROPER(TRIM(tblCustomers[[#This Row],[Gender]])),"")</f>
        <v>Male</v>
      </c>
      <c r="D39" s="16">
        <f>IFERROR(tblCustomers[[#This Row],[Age]],"")</f>
        <v>41</v>
      </c>
      <c r="E39" s="16" t="str">
        <f>IFERROR(PROPER(TRIM(tblCustomers[[#This Row],[City/Region]])),"")</f>
        <v>Bangalore</v>
      </c>
      <c r="F39" s="16">
        <f>IFERROR(tblCustomers[[#This Row],[IncomeRange]],"")</f>
        <v>135247</v>
      </c>
      <c r="G39" s="16" t="str">
        <f>IFERROR(PROPER(TRIM(tblCustomers[[#This Row],[Occupation]])),"")</f>
        <v>Doctor</v>
      </c>
      <c r="H39" s="17">
        <f>IFERROR(tblCustomers[[#This Row],[JoinDate]],"")</f>
        <v>45318</v>
      </c>
      <c r="I39" s="16" t="str">
        <f>IFERROR(PROPER(TRIM(tblCustomers[[#This Row],[PurchaseChannel]])),"")</f>
        <v>Online</v>
      </c>
      <c r="J39" s="16" t="str">
        <f>IFERROR(PROPER(TRIM(tblCustomers[[#This Row],[CustomerType]])),"")</f>
        <v>Returning</v>
      </c>
      <c r="K39" s="16" t="str">
        <f>IFERROR(PROPER(TRIM(tblCustomers[[#This Row],[EngagementLevel]])),"")</f>
        <v>Medium</v>
      </c>
      <c r="L39" s="16" t="str">
        <f>IFERROR(PROPER(TRIM(tblCustomers[[#This Row],[DiscountSensitivity]])),"")</f>
        <v>Medium</v>
      </c>
      <c r="M39" s="17">
        <f>IFERROR(tblCustomers[[#This Row],[LastPurchaseDate]],"")</f>
        <v>46095</v>
      </c>
      <c r="N39" s="16" t="str">
        <f>IFERROR(IF(tblCustomers[[#This Row],[Age]]&lt;25,"&lt;25",IF(tblCustomers[[#This Row],[Age]]&lt;40,"25-39",IF(tblCustomers[[#This Row],[Age]]&lt;55,"40-54","55+"))),"N/A")</f>
        <v>40-54</v>
      </c>
      <c r="O39" s="16" t="str">
        <f>IFERROR(IF(tblCustomers[[#This Row],[IncomeRange]]&lt;25000,"Low",IF(tblCustomers[[#This Row],[IncomeRange]]&lt;75000,"Mid","High")),"N/A")</f>
        <v>High</v>
      </c>
      <c r="P39" s="16" t="str">
        <f>IFERROR(TEXT(tblCustomers[[#This Row],[JoinDate]],"DDDD"),"")</f>
        <v>Saturday</v>
      </c>
      <c r="Q39" s="18" t="b">
        <f>IFERROR(IF(WEEKDAY(tblCustomers[[#This Row],[JoinDate]],2)&gt;=6,TRUE(),FALSE()),FALSE())</f>
        <v>1</v>
      </c>
      <c r="R39" s="16">
        <f ca="1">IFERROR(DATEDIF(tblCustomers[[#This Row],[JoinDate]],TODAY(),"M"),0)</f>
        <v>26</v>
      </c>
      <c r="S39" s="16" t="str">
        <f>IFERROR(IF(AND(tblCustomers[[#This Row],[Age]]&gt;=18,tblCustomers[[#This Row],[IncomeRange]]&gt;0,tblCustomers[[#This Row],[CustomerID]]&lt;&gt;""),"OK","CHECK"),"CHECK")</f>
        <v>OK</v>
      </c>
    </row>
    <row r="40" spans="1:19" ht="15" customHeight="1" x14ac:dyDescent="0.3">
      <c r="A40" s="19" t="str">
        <f>IFERROR(TRIM(tblCustomers[[#This Row],[CustomerID]]),"")</f>
        <v>C0038</v>
      </c>
      <c r="B40" s="19" t="str">
        <f>IFERROR(PROPER(TRIM(tblCustomers[[#This Row],[Name]])),"")</f>
        <v>Paras Mahajan</v>
      </c>
      <c r="C40" s="19" t="str">
        <f>IFERROR(PROPER(TRIM(tblCustomers[[#This Row],[Gender]])),"")</f>
        <v>Male</v>
      </c>
      <c r="D40" s="19">
        <f>IFERROR(tblCustomers[[#This Row],[Age]],"")</f>
        <v>60</v>
      </c>
      <c r="E40" s="19" t="str">
        <f>IFERROR(PROPER(TRIM(tblCustomers[[#This Row],[City/Region]])),"")</f>
        <v>Surat</v>
      </c>
      <c r="F40" s="19">
        <f>IFERROR(tblCustomers[[#This Row],[IncomeRange]],"")</f>
        <v>21025</v>
      </c>
      <c r="G40" s="19" t="str">
        <f>IFERROR(PROPER(TRIM(tblCustomers[[#This Row],[Occupation]])),"")</f>
        <v>Consultant</v>
      </c>
      <c r="H40" s="20">
        <f>IFERROR(tblCustomers[[#This Row],[JoinDate]],"")</f>
        <v>45697</v>
      </c>
      <c r="I40" s="19" t="str">
        <f>IFERROR(PROPER(TRIM(tblCustomers[[#This Row],[PurchaseChannel]])),"")</f>
        <v>Online</v>
      </c>
      <c r="J40" s="19" t="str">
        <f>IFERROR(PROPER(TRIM(tblCustomers[[#This Row],[CustomerType]])),"")</f>
        <v>Returning</v>
      </c>
      <c r="K40" s="19" t="str">
        <f>IFERROR(PROPER(TRIM(tblCustomers[[#This Row],[EngagementLevel]])),"")</f>
        <v>High</v>
      </c>
      <c r="L40" s="19" t="str">
        <f>IFERROR(PROPER(TRIM(tblCustomers[[#This Row],[DiscountSensitivity]])),"")</f>
        <v>Low</v>
      </c>
      <c r="M40" s="20">
        <f>IFERROR(tblCustomers[[#This Row],[LastPurchaseDate]],"")</f>
        <v>46033</v>
      </c>
      <c r="N40" s="19" t="str">
        <f>IFERROR(IF(tblCustomers[[#This Row],[Age]]&lt;25,"&lt;25",IF(tblCustomers[[#This Row],[Age]]&lt;40,"25-39",IF(tblCustomers[[#This Row],[Age]]&lt;55,"40-54","55+"))),"N/A")</f>
        <v>55+</v>
      </c>
      <c r="O40" s="19" t="str">
        <f>IFERROR(IF(tblCustomers[[#This Row],[IncomeRange]]&lt;25000,"Low",IF(tblCustomers[[#This Row],[IncomeRange]]&lt;75000,"Mid","High")),"N/A")</f>
        <v>Low</v>
      </c>
      <c r="P40" s="19" t="str">
        <f>IFERROR(TEXT(tblCustomers[[#This Row],[JoinDate]],"DDDD"),"")</f>
        <v>Sunday</v>
      </c>
      <c r="Q40" s="21" t="b">
        <f>IFERROR(IF(WEEKDAY(tblCustomers[[#This Row],[JoinDate]],2)&gt;=6,TRUE(),FALSE()),FALSE())</f>
        <v>1</v>
      </c>
      <c r="R40" s="19">
        <f ca="1">IFERROR(DATEDIF(tblCustomers[[#This Row],[JoinDate]],TODAY(),"M"),0)</f>
        <v>14</v>
      </c>
      <c r="S40" s="19" t="str">
        <f>IFERROR(IF(AND(tblCustomers[[#This Row],[Age]]&gt;=18,tblCustomers[[#This Row],[IncomeRange]]&gt;0,tblCustomers[[#This Row],[CustomerID]]&lt;&gt;""),"OK","CHECK"),"CHECK")</f>
        <v>OK</v>
      </c>
    </row>
    <row r="41" spans="1:19" ht="15" customHeight="1" x14ac:dyDescent="0.3">
      <c r="A41" s="16" t="str">
        <f>IFERROR(TRIM(tblCustomers[[#This Row],[CustomerID]]),"")</f>
        <v>C0039</v>
      </c>
      <c r="B41" s="16" t="str">
        <f>IFERROR(PROPER(TRIM(tblCustomers[[#This Row],[Name]])),"")</f>
        <v>Shreyas Deshpande</v>
      </c>
      <c r="C41" s="16" t="str">
        <f>IFERROR(PROPER(TRIM(tblCustomers[[#This Row],[Gender]])),"")</f>
        <v>Male</v>
      </c>
      <c r="D41" s="16">
        <f>IFERROR(tblCustomers[[#This Row],[Age]],"")</f>
        <v>26</v>
      </c>
      <c r="E41" s="16" t="str">
        <f>IFERROR(PROPER(TRIM(tblCustomers[[#This Row],[City/Region]])),"")</f>
        <v>Noida</v>
      </c>
      <c r="F41" s="16">
        <f>IFERROR(tblCustomers[[#This Row],[IncomeRange]],"")</f>
        <v>117310</v>
      </c>
      <c r="G41" s="16" t="str">
        <f>IFERROR(PROPER(TRIM(tblCustomers[[#This Row],[Occupation]])),"")</f>
        <v>Student</v>
      </c>
      <c r="H41" s="17">
        <f>IFERROR(tblCustomers[[#This Row],[JoinDate]],"")</f>
        <v>44880</v>
      </c>
      <c r="I41" s="16" t="str">
        <f>IFERROR(PROPER(TRIM(tblCustomers[[#This Row],[PurchaseChannel]])),"")</f>
        <v>Online</v>
      </c>
      <c r="J41" s="16" t="str">
        <f>IFERROR(PROPER(TRIM(tblCustomers[[#This Row],[CustomerType]])),"")</f>
        <v>Returning</v>
      </c>
      <c r="K41" s="16" t="str">
        <f>IFERROR(PROPER(TRIM(tblCustomers[[#This Row],[EngagementLevel]])),"")</f>
        <v>Medium</v>
      </c>
      <c r="L41" s="16" t="str">
        <f>IFERROR(PROPER(TRIM(tblCustomers[[#This Row],[DiscountSensitivity]])),"")</f>
        <v>Low</v>
      </c>
      <c r="M41" s="17">
        <f>IFERROR(tblCustomers[[#This Row],[LastPurchaseDate]],"")</f>
        <v>46100</v>
      </c>
      <c r="N41" s="16" t="str">
        <f>IFERROR(IF(tblCustomers[[#This Row],[Age]]&lt;25,"&lt;25",IF(tblCustomers[[#This Row],[Age]]&lt;40,"25-39",IF(tblCustomers[[#This Row],[Age]]&lt;55,"40-54","55+"))),"N/A")</f>
        <v>25-39</v>
      </c>
      <c r="O41" s="16" t="str">
        <f>IFERROR(IF(tblCustomers[[#This Row],[IncomeRange]]&lt;25000,"Low",IF(tblCustomers[[#This Row],[IncomeRange]]&lt;75000,"Mid","High")),"N/A")</f>
        <v>High</v>
      </c>
      <c r="P41" s="16" t="str">
        <f>IFERROR(TEXT(tblCustomers[[#This Row],[JoinDate]],"DDDD"),"")</f>
        <v>Tuesday</v>
      </c>
      <c r="Q41" s="18" t="b">
        <f>IFERROR(IF(WEEKDAY(tblCustomers[[#This Row],[JoinDate]],2)&gt;=6,TRUE(),FALSE()),FALSE())</f>
        <v>0</v>
      </c>
      <c r="R41" s="16">
        <f ca="1">IFERROR(DATEDIF(tblCustomers[[#This Row],[JoinDate]],TODAY(),"M"),0)</f>
        <v>40</v>
      </c>
      <c r="S41" s="16" t="str">
        <f>IFERROR(IF(AND(tblCustomers[[#This Row],[Age]]&gt;=18,tblCustomers[[#This Row],[IncomeRange]]&gt;0,tblCustomers[[#This Row],[CustomerID]]&lt;&gt;""),"OK","CHECK"),"CHECK")</f>
        <v>OK</v>
      </c>
    </row>
    <row r="42" spans="1:19" ht="15" customHeight="1" x14ac:dyDescent="0.3">
      <c r="A42" s="19" t="str">
        <f>IFERROR(TRIM(tblCustomers[[#This Row],[CustomerID]]),"")</f>
        <v>C0040</v>
      </c>
      <c r="B42" s="19" t="str">
        <f>IFERROR(PROPER(TRIM(tblCustomers[[#This Row],[Name]])),"")</f>
        <v>Ashish Kulkarni</v>
      </c>
      <c r="C42" s="19" t="str">
        <f>IFERROR(PROPER(TRIM(tblCustomers[[#This Row],[Gender]])),"")</f>
        <v>Male</v>
      </c>
      <c r="D42" s="19">
        <f>IFERROR(tblCustomers[[#This Row],[Age]],"")</f>
        <v>59</v>
      </c>
      <c r="E42" s="19" t="str">
        <f>IFERROR(PROPER(TRIM(tblCustomers[[#This Row],[City/Region]])),"")</f>
        <v>Ahmedabad</v>
      </c>
      <c r="F42" s="19">
        <f>IFERROR(tblCustomers[[#This Row],[IncomeRange]],"")</f>
        <v>86244</v>
      </c>
      <c r="G42" s="19" t="str">
        <f>IFERROR(PROPER(TRIM(tblCustomers[[#This Row],[Occupation]])),"")</f>
        <v>Accountant</v>
      </c>
      <c r="H42" s="20">
        <f>IFERROR(tblCustomers[[#This Row],[JoinDate]],"")</f>
        <v>45076</v>
      </c>
      <c r="I42" s="19" t="str">
        <f>IFERROR(PROPER(TRIM(tblCustomers[[#This Row],[PurchaseChannel]])),"")</f>
        <v>Offline</v>
      </c>
      <c r="J42" s="19" t="str">
        <f>IFERROR(PROPER(TRIM(tblCustomers[[#This Row],[CustomerType]])),"")</f>
        <v>Returning</v>
      </c>
      <c r="K42" s="19" t="str">
        <f>IFERROR(PROPER(TRIM(tblCustomers[[#This Row],[EngagementLevel]])),"")</f>
        <v>Low</v>
      </c>
      <c r="L42" s="19" t="str">
        <f>IFERROR(PROPER(TRIM(tblCustomers[[#This Row],[DiscountSensitivity]])),"")</f>
        <v>Medium</v>
      </c>
      <c r="M42" s="20">
        <f>IFERROR(tblCustomers[[#This Row],[LastPurchaseDate]],"")</f>
        <v>46071</v>
      </c>
      <c r="N42" s="19" t="str">
        <f>IFERROR(IF(tblCustomers[[#This Row],[Age]]&lt;25,"&lt;25",IF(tblCustomers[[#This Row],[Age]]&lt;40,"25-39",IF(tblCustomers[[#This Row],[Age]]&lt;55,"40-54","55+"))),"N/A")</f>
        <v>55+</v>
      </c>
      <c r="O42" s="19" t="str">
        <f>IFERROR(IF(tblCustomers[[#This Row],[IncomeRange]]&lt;25000,"Low",IF(tblCustomers[[#This Row],[IncomeRange]]&lt;75000,"Mid","High")),"N/A")</f>
        <v>High</v>
      </c>
      <c r="P42" s="19" t="str">
        <f>IFERROR(TEXT(tblCustomers[[#This Row],[JoinDate]],"DDDD"),"")</f>
        <v>Tuesday</v>
      </c>
      <c r="Q42" s="21" t="b">
        <f>IFERROR(IF(WEEKDAY(tblCustomers[[#This Row],[JoinDate]],2)&gt;=6,TRUE(),FALSE()),FALSE())</f>
        <v>0</v>
      </c>
      <c r="R42" s="19">
        <f ca="1">IFERROR(DATEDIF(tblCustomers[[#This Row],[JoinDate]],TODAY(),"M"),0)</f>
        <v>34</v>
      </c>
      <c r="S42" s="19" t="str">
        <f>IFERROR(IF(AND(tblCustomers[[#This Row],[Age]]&gt;=18,tblCustomers[[#This Row],[IncomeRange]]&gt;0,tblCustomers[[#This Row],[CustomerID]]&lt;&gt;""),"OK","CHECK"),"CHECK")</f>
        <v>OK</v>
      </c>
    </row>
    <row r="43" spans="1:19" ht="15" customHeight="1" x14ac:dyDescent="0.3">
      <c r="A43" s="16" t="str">
        <f>IFERROR(TRIM(tblCustomers[[#This Row],[CustomerID]]),"")</f>
        <v>C0041</v>
      </c>
      <c r="B43" s="16" t="str">
        <f>IFERROR(PROPER(TRIM(tblCustomers[[#This Row],[Name]])),"")</f>
        <v>Manoj Garg</v>
      </c>
      <c r="C43" s="16" t="str">
        <f>IFERROR(PROPER(TRIM(tblCustomers[[#This Row],[Gender]])),"")</f>
        <v>Male</v>
      </c>
      <c r="D43" s="16">
        <f>IFERROR(tblCustomers[[#This Row],[Age]],"")</f>
        <v>36</v>
      </c>
      <c r="E43" s="16" t="str">
        <f>IFERROR(PROPER(TRIM(tblCustomers[[#This Row],[City/Region]])),"")</f>
        <v>Mumbai</v>
      </c>
      <c r="F43" s="16">
        <f>IFERROR(tblCustomers[[#This Row],[IncomeRange]],"")</f>
        <v>20464</v>
      </c>
      <c r="G43" s="16" t="str">
        <f>IFERROR(PROPER(TRIM(tblCustomers[[#This Row],[Occupation]])),"")</f>
        <v>Sales Executive</v>
      </c>
      <c r="H43" s="17">
        <f>IFERROR(tblCustomers[[#This Row],[JoinDate]],"")</f>
        <v>44829</v>
      </c>
      <c r="I43" s="16" t="str">
        <f>IFERROR(PROPER(TRIM(tblCustomers[[#This Row],[PurchaseChannel]])),"")</f>
        <v>Offline</v>
      </c>
      <c r="J43" s="16" t="str">
        <f>IFERROR(PROPER(TRIM(tblCustomers[[#This Row],[CustomerType]])),"")</f>
        <v>New</v>
      </c>
      <c r="K43" s="16" t="str">
        <f>IFERROR(PROPER(TRIM(tblCustomers[[#This Row],[EngagementLevel]])),"")</f>
        <v>Medium</v>
      </c>
      <c r="L43" s="16" t="str">
        <f>IFERROR(PROPER(TRIM(tblCustomers[[#This Row],[DiscountSensitivity]])),"")</f>
        <v>Medium</v>
      </c>
      <c r="M43" s="17">
        <f>IFERROR(tblCustomers[[#This Row],[LastPurchaseDate]],"")</f>
        <v>46050</v>
      </c>
      <c r="N43" s="16" t="str">
        <f>IFERROR(IF(tblCustomers[[#This Row],[Age]]&lt;25,"&lt;25",IF(tblCustomers[[#This Row],[Age]]&lt;40,"25-39",IF(tblCustomers[[#This Row],[Age]]&lt;55,"40-54","55+"))),"N/A")</f>
        <v>25-39</v>
      </c>
      <c r="O43" s="16" t="str">
        <f>IFERROR(IF(tblCustomers[[#This Row],[IncomeRange]]&lt;25000,"Low",IF(tblCustomers[[#This Row],[IncomeRange]]&lt;75000,"Mid","High")),"N/A")</f>
        <v>Low</v>
      </c>
      <c r="P43" s="16" t="str">
        <f>IFERROR(TEXT(tblCustomers[[#This Row],[JoinDate]],"DDDD"),"")</f>
        <v>Sunday</v>
      </c>
      <c r="Q43" s="18" t="b">
        <f>IFERROR(IF(WEEKDAY(tblCustomers[[#This Row],[JoinDate]],2)&gt;=6,TRUE(),FALSE()),FALSE())</f>
        <v>1</v>
      </c>
      <c r="R43" s="16">
        <f ca="1">IFERROR(DATEDIF(tblCustomers[[#This Row],[JoinDate]],TODAY(),"M"),0)</f>
        <v>42</v>
      </c>
      <c r="S43" s="16" t="str">
        <f>IFERROR(IF(AND(tblCustomers[[#This Row],[Age]]&gt;=18,tblCustomers[[#This Row],[IncomeRange]]&gt;0,tblCustomers[[#This Row],[CustomerID]]&lt;&gt;""),"OK","CHECK"),"CHECK")</f>
        <v>OK</v>
      </c>
    </row>
    <row r="44" spans="1:19" ht="15" customHeight="1" x14ac:dyDescent="0.3">
      <c r="A44" s="19" t="str">
        <f>IFERROR(TRIM(tblCustomers[[#This Row],[CustomerID]]),"")</f>
        <v>C0042</v>
      </c>
      <c r="B44" s="19" t="str">
        <f>IFERROR(PROPER(TRIM(tblCustomers[[#This Row],[Name]])),"")</f>
        <v>Yogesh Shukla</v>
      </c>
      <c r="C44" s="19" t="str">
        <f>IFERROR(PROPER(TRIM(tblCustomers[[#This Row],[Gender]])),"")</f>
        <v>Male</v>
      </c>
      <c r="D44" s="19">
        <f>IFERROR(tblCustomers[[#This Row],[Age]],"")</f>
        <v>46</v>
      </c>
      <c r="E44" s="19" t="str">
        <f>IFERROR(PROPER(TRIM(tblCustomers[[#This Row],[City/Region]])),"")</f>
        <v>Indore</v>
      </c>
      <c r="F44" s="19">
        <f>IFERROR(tblCustomers[[#This Row],[IncomeRange]],"")</f>
        <v>21267</v>
      </c>
      <c r="G44" s="19" t="str">
        <f>IFERROR(PROPER(TRIM(tblCustomers[[#This Row],[Occupation]])),"")</f>
        <v>Marketing Manager</v>
      </c>
      <c r="H44" s="20">
        <f>IFERROR(tblCustomers[[#This Row],[JoinDate]],"")</f>
        <v>44716</v>
      </c>
      <c r="I44" s="19" t="str">
        <f>IFERROR(PROPER(TRIM(tblCustomers[[#This Row],[PurchaseChannel]])),"")</f>
        <v>Offline</v>
      </c>
      <c r="J44" s="19" t="str">
        <f>IFERROR(PROPER(TRIM(tblCustomers[[#This Row],[CustomerType]])),"")</f>
        <v>Returning</v>
      </c>
      <c r="K44" s="19" t="str">
        <f>IFERROR(PROPER(TRIM(tblCustomers[[#This Row],[EngagementLevel]])),"")</f>
        <v>Low</v>
      </c>
      <c r="L44" s="19" t="str">
        <f>IFERROR(PROPER(TRIM(tblCustomers[[#This Row],[DiscountSensitivity]])),"")</f>
        <v>Low</v>
      </c>
      <c r="M44" s="20">
        <f>IFERROR(tblCustomers[[#This Row],[LastPurchaseDate]],"")</f>
        <v>45899</v>
      </c>
      <c r="N44" s="19" t="str">
        <f>IFERROR(IF(tblCustomers[[#This Row],[Age]]&lt;25,"&lt;25",IF(tblCustomers[[#This Row],[Age]]&lt;40,"25-39",IF(tblCustomers[[#This Row],[Age]]&lt;55,"40-54","55+"))),"N/A")</f>
        <v>40-54</v>
      </c>
      <c r="O44" s="19" t="str">
        <f>IFERROR(IF(tblCustomers[[#This Row],[IncomeRange]]&lt;25000,"Low",IF(tblCustomers[[#This Row],[IncomeRange]]&lt;75000,"Mid","High")),"N/A")</f>
        <v>Low</v>
      </c>
      <c r="P44" s="19" t="str">
        <f>IFERROR(TEXT(tblCustomers[[#This Row],[JoinDate]],"DDDD"),"")</f>
        <v>Saturday</v>
      </c>
      <c r="Q44" s="21" t="b">
        <f>IFERROR(IF(WEEKDAY(tblCustomers[[#This Row],[JoinDate]],2)&gt;=6,TRUE(),FALSE()),FALSE())</f>
        <v>1</v>
      </c>
      <c r="R44" s="19">
        <f ca="1">IFERROR(DATEDIF(tblCustomers[[#This Row],[JoinDate]],TODAY(),"M"),0)</f>
        <v>46</v>
      </c>
      <c r="S44" s="19" t="str">
        <f>IFERROR(IF(AND(tblCustomers[[#This Row],[Age]]&gt;=18,tblCustomers[[#This Row],[IncomeRange]]&gt;0,tblCustomers[[#This Row],[CustomerID]]&lt;&gt;""),"OK","CHECK"),"CHECK")</f>
        <v>OK</v>
      </c>
    </row>
    <row r="45" spans="1:19" ht="15" customHeight="1" x14ac:dyDescent="0.3">
      <c r="A45" s="16" t="str">
        <f>IFERROR(TRIM(tblCustomers[[#This Row],[CustomerID]]),"")</f>
        <v>C0043</v>
      </c>
      <c r="B45" s="16" t="str">
        <f>IFERROR(PROPER(TRIM(tblCustomers[[#This Row],[Name]])),"")</f>
        <v>Tushar Patil</v>
      </c>
      <c r="C45" s="16" t="str">
        <f>IFERROR(PROPER(TRIM(tblCustomers[[#This Row],[Gender]])),"")</f>
        <v>Male</v>
      </c>
      <c r="D45" s="16">
        <f>IFERROR(tblCustomers[[#This Row],[Age]],"")</f>
        <v>42</v>
      </c>
      <c r="E45" s="16" t="str">
        <f>IFERROR(PROPER(TRIM(tblCustomers[[#This Row],[City/Region]])),"")</f>
        <v>Nagpur</v>
      </c>
      <c r="F45" s="16">
        <f>IFERROR(tblCustomers[[#This Row],[IncomeRange]],"")</f>
        <v>92420</v>
      </c>
      <c r="G45" s="16" t="str">
        <f>IFERROR(PROPER(TRIM(tblCustomers[[#This Row],[Occupation]])),"")</f>
        <v>Teacher</v>
      </c>
      <c r="H45" s="17">
        <f>IFERROR(tblCustomers[[#This Row],[JoinDate]],"")</f>
        <v>45442</v>
      </c>
      <c r="I45" s="16" t="str">
        <f>IFERROR(PROPER(TRIM(tblCustomers[[#This Row],[PurchaseChannel]])),"")</f>
        <v>Online</v>
      </c>
      <c r="J45" s="16" t="str">
        <f>IFERROR(PROPER(TRIM(tblCustomers[[#This Row],[CustomerType]])),"")</f>
        <v>New</v>
      </c>
      <c r="K45" s="16" t="str">
        <f>IFERROR(PROPER(TRIM(tblCustomers[[#This Row],[EngagementLevel]])),"")</f>
        <v>High</v>
      </c>
      <c r="L45" s="16" t="str">
        <f>IFERROR(PROPER(TRIM(tblCustomers[[#This Row],[DiscountSensitivity]])),"")</f>
        <v>High</v>
      </c>
      <c r="M45" s="17">
        <f>IFERROR(tblCustomers[[#This Row],[LastPurchaseDate]],"")</f>
        <v>46090</v>
      </c>
      <c r="N45" s="16" t="str">
        <f>IFERROR(IF(tblCustomers[[#This Row],[Age]]&lt;25,"&lt;25",IF(tblCustomers[[#This Row],[Age]]&lt;40,"25-39",IF(tblCustomers[[#This Row],[Age]]&lt;55,"40-54","55+"))),"N/A")</f>
        <v>40-54</v>
      </c>
      <c r="O45" s="16" t="str">
        <f>IFERROR(IF(tblCustomers[[#This Row],[IncomeRange]]&lt;25000,"Low",IF(tblCustomers[[#This Row],[IncomeRange]]&lt;75000,"Mid","High")),"N/A")</f>
        <v>High</v>
      </c>
      <c r="P45" s="16" t="str">
        <f>IFERROR(TEXT(tblCustomers[[#This Row],[JoinDate]],"DDDD"),"")</f>
        <v>Thursday</v>
      </c>
      <c r="Q45" s="18" t="b">
        <f>IFERROR(IF(WEEKDAY(tblCustomers[[#This Row],[JoinDate]],2)&gt;=6,TRUE(),FALSE()),FALSE())</f>
        <v>0</v>
      </c>
      <c r="R45" s="16">
        <f ca="1">IFERROR(DATEDIF(tblCustomers[[#This Row],[JoinDate]],TODAY(),"M"),0)</f>
        <v>22</v>
      </c>
      <c r="S45" s="16" t="str">
        <f>IFERROR(IF(AND(tblCustomers[[#This Row],[Age]]&gt;=18,tblCustomers[[#This Row],[IncomeRange]]&gt;0,tblCustomers[[#This Row],[CustomerID]]&lt;&gt;""),"OK","CHECK"),"CHECK")</f>
        <v>OK</v>
      </c>
    </row>
    <row r="46" spans="1:19" ht="15" customHeight="1" x14ac:dyDescent="0.3">
      <c r="A46" s="19" t="str">
        <f>IFERROR(TRIM(tblCustomers[[#This Row],[CustomerID]]),"")</f>
        <v>C0044</v>
      </c>
      <c r="B46" s="19" t="str">
        <f>IFERROR(PROPER(TRIM(tblCustomers[[#This Row],[Name]])),"")</f>
        <v>Chirag Parekh</v>
      </c>
      <c r="C46" s="19" t="str">
        <f>IFERROR(PROPER(TRIM(tblCustomers[[#This Row],[Gender]])),"")</f>
        <v>Male</v>
      </c>
      <c r="D46" s="19">
        <f>IFERROR(tblCustomers[[#This Row],[Age]],"")</f>
        <v>21</v>
      </c>
      <c r="E46" s="19" t="str">
        <f>IFERROR(PROPER(TRIM(tblCustomers[[#This Row],[City/Region]])),"")</f>
        <v>Chandigarh</v>
      </c>
      <c r="F46" s="19">
        <f>IFERROR(tblCustomers[[#This Row],[IncomeRange]],"")</f>
        <v>47535</v>
      </c>
      <c r="G46" s="19" t="str">
        <f>IFERROR(PROPER(TRIM(tblCustomers[[#This Row],[Occupation]])),"")</f>
        <v>Consultant</v>
      </c>
      <c r="H46" s="20">
        <f>IFERROR(tblCustomers[[#This Row],[JoinDate]],"")</f>
        <v>45073</v>
      </c>
      <c r="I46" s="19" t="str">
        <f>IFERROR(PROPER(TRIM(tblCustomers[[#This Row],[PurchaseChannel]])),"")</f>
        <v>Offline</v>
      </c>
      <c r="J46" s="19" t="str">
        <f>IFERROR(PROPER(TRIM(tblCustomers[[#This Row],[CustomerType]])),"")</f>
        <v>Returning</v>
      </c>
      <c r="K46" s="19" t="str">
        <f>IFERROR(PROPER(TRIM(tblCustomers[[#This Row],[EngagementLevel]])),"")</f>
        <v>Medium</v>
      </c>
      <c r="L46" s="19" t="str">
        <f>IFERROR(PROPER(TRIM(tblCustomers[[#This Row],[DiscountSensitivity]])),"")</f>
        <v>High</v>
      </c>
      <c r="M46" s="20">
        <f>IFERROR(tblCustomers[[#This Row],[LastPurchaseDate]],"")</f>
        <v>45840</v>
      </c>
      <c r="N46" s="19" t="str">
        <f>IFERROR(IF(tblCustomers[[#This Row],[Age]]&lt;25,"&lt;25",IF(tblCustomers[[#This Row],[Age]]&lt;40,"25-39",IF(tblCustomers[[#This Row],[Age]]&lt;55,"40-54","55+"))),"N/A")</f>
        <v>&lt;25</v>
      </c>
      <c r="O46" s="19" t="str">
        <f>IFERROR(IF(tblCustomers[[#This Row],[IncomeRange]]&lt;25000,"Low",IF(tblCustomers[[#This Row],[IncomeRange]]&lt;75000,"Mid","High")),"N/A")</f>
        <v>Mid</v>
      </c>
      <c r="P46" s="19" t="str">
        <f>IFERROR(TEXT(tblCustomers[[#This Row],[JoinDate]],"DDDD"),"")</f>
        <v>Saturday</v>
      </c>
      <c r="Q46" s="21" t="b">
        <f>IFERROR(IF(WEEKDAY(tblCustomers[[#This Row],[JoinDate]],2)&gt;=6,TRUE(),FALSE()),FALSE())</f>
        <v>1</v>
      </c>
      <c r="R46" s="19">
        <f ca="1">IFERROR(DATEDIF(tblCustomers[[#This Row],[JoinDate]],TODAY(),"M"),0)</f>
        <v>34</v>
      </c>
      <c r="S46" s="19" t="str">
        <f>IFERROR(IF(AND(tblCustomers[[#This Row],[Age]]&gt;=18,tblCustomers[[#This Row],[IncomeRange]]&gt;0,tblCustomers[[#This Row],[CustomerID]]&lt;&gt;""),"OK","CHECK"),"CHECK")</f>
        <v>OK</v>
      </c>
    </row>
    <row r="47" spans="1:19" ht="15" customHeight="1" x14ac:dyDescent="0.3">
      <c r="A47" s="16" t="str">
        <f>IFERROR(TRIM(tblCustomers[[#This Row],[CustomerID]]),"")</f>
        <v>C0045</v>
      </c>
      <c r="B47" s="16" t="str">
        <f>IFERROR(PROPER(TRIM(tblCustomers[[#This Row],[Name]])),"")</f>
        <v>Sahil Oberoi</v>
      </c>
      <c r="C47" s="16" t="str">
        <f>IFERROR(PROPER(TRIM(tblCustomers[[#This Row],[Gender]])),"")</f>
        <v>Male</v>
      </c>
      <c r="D47" s="16">
        <f>IFERROR(tblCustomers[[#This Row],[Age]],"")</f>
        <v>58</v>
      </c>
      <c r="E47" s="16" t="str">
        <f>IFERROR(PROPER(TRIM(tblCustomers[[#This Row],[City/Region]])),"")</f>
        <v>Gurgaon</v>
      </c>
      <c r="F47" s="16">
        <f>IFERROR(tblCustomers[[#This Row],[IncomeRange]],"")</f>
        <v>141341</v>
      </c>
      <c r="G47" s="16" t="str">
        <f>IFERROR(PROPER(TRIM(tblCustomers[[#This Row],[Occupation]])),"")</f>
        <v>Entrepreneur</v>
      </c>
      <c r="H47" s="17">
        <f>IFERROR(tblCustomers[[#This Row],[JoinDate]],"")</f>
        <v>45046</v>
      </c>
      <c r="I47" s="16" t="str">
        <f>IFERROR(PROPER(TRIM(tblCustomers[[#This Row],[PurchaseChannel]])),"")</f>
        <v>Offline</v>
      </c>
      <c r="J47" s="16" t="str">
        <f>IFERROR(PROPER(TRIM(tblCustomers[[#This Row],[CustomerType]])),"")</f>
        <v>Returning</v>
      </c>
      <c r="K47" s="16" t="str">
        <f>IFERROR(PROPER(TRIM(tblCustomers[[#This Row],[EngagementLevel]])),"")</f>
        <v>High</v>
      </c>
      <c r="L47" s="16" t="str">
        <f>IFERROR(PROPER(TRIM(tblCustomers[[#This Row],[DiscountSensitivity]])),"")</f>
        <v>High</v>
      </c>
      <c r="M47" s="17">
        <f>IFERROR(tblCustomers[[#This Row],[LastPurchaseDate]],"")</f>
        <v>46080</v>
      </c>
      <c r="N47" s="16" t="str">
        <f>IFERROR(IF(tblCustomers[[#This Row],[Age]]&lt;25,"&lt;25",IF(tblCustomers[[#This Row],[Age]]&lt;40,"25-39",IF(tblCustomers[[#This Row],[Age]]&lt;55,"40-54","55+"))),"N/A")</f>
        <v>55+</v>
      </c>
      <c r="O47" s="16" t="str">
        <f>IFERROR(IF(tblCustomers[[#This Row],[IncomeRange]]&lt;25000,"Low",IF(tblCustomers[[#This Row],[IncomeRange]]&lt;75000,"Mid","High")),"N/A")</f>
        <v>High</v>
      </c>
      <c r="P47" s="16" t="str">
        <f>IFERROR(TEXT(tblCustomers[[#This Row],[JoinDate]],"DDDD"),"")</f>
        <v>Sunday</v>
      </c>
      <c r="Q47" s="18" t="b">
        <f>IFERROR(IF(WEEKDAY(tblCustomers[[#This Row],[JoinDate]],2)&gt;=6,TRUE(),FALSE()),FALSE())</f>
        <v>1</v>
      </c>
      <c r="R47" s="16">
        <f ca="1">IFERROR(DATEDIF(tblCustomers[[#This Row],[JoinDate]],TODAY(),"M"),0)</f>
        <v>35</v>
      </c>
      <c r="S47" s="16" t="str">
        <f>IFERROR(IF(AND(tblCustomers[[#This Row],[Age]]&gt;=18,tblCustomers[[#This Row],[IncomeRange]]&gt;0,tblCustomers[[#This Row],[CustomerID]]&lt;&gt;""),"OK","CHECK"),"CHECK")</f>
        <v>OK</v>
      </c>
    </row>
    <row r="48" spans="1:19" ht="15" customHeight="1" x14ac:dyDescent="0.3">
      <c r="A48" s="19" t="str">
        <f>IFERROR(TRIM(tblCustomers[[#This Row],[CustomerID]]),"")</f>
        <v>C0046</v>
      </c>
      <c r="B48" s="19" t="str">
        <f>IFERROR(PROPER(TRIM(tblCustomers[[#This Row],[Name]])),"")</f>
        <v>Kartik Mitra</v>
      </c>
      <c r="C48" s="19" t="str">
        <f>IFERROR(PROPER(TRIM(tblCustomers[[#This Row],[Gender]])),"")</f>
        <v>Male</v>
      </c>
      <c r="D48" s="19">
        <f>IFERROR(tblCustomers[[#This Row],[Age]],"")</f>
        <v>20</v>
      </c>
      <c r="E48" s="19" t="str">
        <f>IFERROR(PROPER(TRIM(tblCustomers[[#This Row],[City/Region]])),"")</f>
        <v>Chennai</v>
      </c>
      <c r="F48" s="19">
        <f>IFERROR(tblCustomers[[#This Row],[IncomeRange]],"")</f>
        <v>116542</v>
      </c>
      <c r="G48" s="19" t="str">
        <f>IFERROR(PROPER(TRIM(tblCustomers[[#This Row],[Occupation]])),"")</f>
        <v>Entrepreneur</v>
      </c>
      <c r="H48" s="20">
        <f>IFERROR(tblCustomers[[#This Row],[JoinDate]],"")</f>
        <v>45242</v>
      </c>
      <c r="I48" s="19" t="str">
        <f>IFERROR(PROPER(TRIM(tblCustomers[[#This Row],[PurchaseChannel]])),"")</f>
        <v>Offline</v>
      </c>
      <c r="J48" s="19" t="str">
        <f>IFERROR(PROPER(TRIM(tblCustomers[[#This Row],[CustomerType]])),"")</f>
        <v>Returning</v>
      </c>
      <c r="K48" s="19" t="str">
        <f>IFERROR(PROPER(TRIM(tblCustomers[[#This Row],[EngagementLevel]])),"")</f>
        <v>Medium</v>
      </c>
      <c r="L48" s="19" t="str">
        <f>IFERROR(PROPER(TRIM(tblCustomers[[#This Row],[DiscountSensitivity]])),"")</f>
        <v>High</v>
      </c>
      <c r="M48" s="20">
        <f>IFERROR(tblCustomers[[#This Row],[LastPurchaseDate]],"")</f>
        <v>46010</v>
      </c>
      <c r="N48" s="19" t="str">
        <f>IFERROR(IF(tblCustomers[[#This Row],[Age]]&lt;25,"&lt;25",IF(tblCustomers[[#This Row],[Age]]&lt;40,"25-39",IF(tblCustomers[[#This Row],[Age]]&lt;55,"40-54","55+"))),"N/A")</f>
        <v>&lt;25</v>
      </c>
      <c r="O48" s="19" t="str">
        <f>IFERROR(IF(tblCustomers[[#This Row],[IncomeRange]]&lt;25000,"Low",IF(tblCustomers[[#This Row],[IncomeRange]]&lt;75000,"Mid","High")),"N/A")</f>
        <v>High</v>
      </c>
      <c r="P48" s="19" t="str">
        <f>IFERROR(TEXT(tblCustomers[[#This Row],[JoinDate]],"DDDD"),"")</f>
        <v>Sunday</v>
      </c>
      <c r="Q48" s="21" t="b">
        <f>IFERROR(IF(WEEKDAY(tblCustomers[[#This Row],[JoinDate]],2)&gt;=6,TRUE(),FALSE()),FALSE())</f>
        <v>1</v>
      </c>
      <c r="R48" s="19">
        <f ca="1">IFERROR(DATEDIF(tblCustomers[[#This Row],[JoinDate]],TODAY(),"M"),0)</f>
        <v>29</v>
      </c>
      <c r="S48" s="19" t="str">
        <f>IFERROR(IF(AND(tblCustomers[[#This Row],[Age]]&gt;=18,tblCustomers[[#This Row],[IncomeRange]]&gt;0,tblCustomers[[#This Row],[CustomerID]]&lt;&gt;""),"OK","CHECK"),"CHECK")</f>
        <v>OK</v>
      </c>
    </row>
    <row r="49" spans="1:19" ht="15" customHeight="1" x14ac:dyDescent="0.3">
      <c r="A49" s="16" t="str">
        <f>IFERROR(TRIM(tblCustomers[[#This Row],[CustomerID]]),"")</f>
        <v>C0047</v>
      </c>
      <c r="B49" s="16" t="str">
        <f>IFERROR(PROPER(TRIM(tblCustomers[[#This Row],[Name]])),"")</f>
        <v>Alok Sinha</v>
      </c>
      <c r="C49" s="16" t="str">
        <f>IFERROR(PROPER(TRIM(tblCustomers[[#This Row],[Gender]])),"")</f>
        <v>Male</v>
      </c>
      <c r="D49" s="16">
        <f>IFERROR(tblCustomers[[#This Row],[Age]],"")</f>
        <v>34</v>
      </c>
      <c r="E49" s="16" t="str">
        <f>IFERROR(PROPER(TRIM(tblCustomers[[#This Row],[City/Region]])),"")</f>
        <v>Ahmedabad</v>
      </c>
      <c r="F49" s="16">
        <f>IFERROR(tblCustomers[[#This Row],[IncomeRange]],"")</f>
        <v>40866</v>
      </c>
      <c r="G49" s="16" t="str">
        <f>IFERROR(PROPER(TRIM(tblCustomers[[#This Row],[Occupation]])),"")</f>
        <v>Operations Manager</v>
      </c>
      <c r="H49" s="17">
        <f>IFERROR(tblCustomers[[#This Row],[JoinDate]],"")</f>
        <v>44783</v>
      </c>
      <c r="I49" s="16" t="str">
        <f>IFERROR(PROPER(TRIM(tblCustomers[[#This Row],[PurchaseChannel]])),"")</f>
        <v>Online</v>
      </c>
      <c r="J49" s="16" t="str">
        <f>IFERROR(PROPER(TRIM(tblCustomers[[#This Row],[CustomerType]])),"")</f>
        <v>New</v>
      </c>
      <c r="K49" s="16" t="str">
        <f>IFERROR(PROPER(TRIM(tblCustomers[[#This Row],[EngagementLevel]])),"")</f>
        <v>Medium</v>
      </c>
      <c r="L49" s="16" t="str">
        <f>IFERROR(PROPER(TRIM(tblCustomers[[#This Row],[DiscountSensitivity]])),"")</f>
        <v>Low</v>
      </c>
      <c r="M49" s="17">
        <f>IFERROR(tblCustomers[[#This Row],[LastPurchaseDate]],"")</f>
        <v>45824</v>
      </c>
      <c r="N49" s="16" t="str">
        <f>IFERROR(IF(tblCustomers[[#This Row],[Age]]&lt;25,"&lt;25",IF(tblCustomers[[#This Row],[Age]]&lt;40,"25-39",IF(tblCustomers[[#This Row],[Age]]&lt;55,"40-54","55+"))),"N/A")</f>
        <v>25-39</v>
      </c>
      <c r="O49" s="16" t="str">
        <f>IFERROR(IF(tblCustomers[[#This Row],[IncomeRange]]&lt;25000,"Low",IF(tblCustomers[[#This Row],[IncomeRange]]&lt;75000,"Mid","High")),"N/A")</f>
        <v>Mid</v>
      </c>
      <c r="P49" s="16" t="str">
        <f>IFERROR(TEXT(tblCustomers[[#This Row],[JoinDate]],"DDDD"),"")</f>
        <v>Wednesday</v>
      </c>
      <c r="Q49" s="18" t="b">
        <f>IFERROR(IF(WEEKDAY(tblCustomers[[#This Row],[JoinDate]],2)&gt;=6,TRUE(),FALSE()),FALSE())</f>
        <v>0</v>
      </c>
      <c r="R49" s="16">
        <f ca="1">IFERROR(DATEDIF(tblCustomers[[#This Row],[JoinDate]],TODAY(),"M"),0)</f>
        <v>44</v>
      </c>
      <c r="S49" s="16" t="str">
        <f>IFERROR(IF(AND(tblCustomers[[#This Row],[Age]]&gt;=18,tblCustomers[[#This Row],[IncomeRange]]&gt;0,tblCustomers[[#This Row],[CustomerID]]&lt;&gt;""),"OK","CHECK"),"CHECK")</f>
        <v>OK</v>
      </c>
    </row>
    <row r="50" spans="1:19" ht="15" customHeight="1" x14ac:dyDescent="0.3">
      <c r="A50" s="19" t="str">
        <f>IFERROR(TRIM(tblCustomers[[#This Row],[CustomerID]]),"")</f>
        <v>C0048</v>
      </c>
      <c r="B50" s="19" t="str">
        <f>IFERROR(PROPER(TRIM(tblCustomers[[#This Row],[Name]])),"")</f>
        <v>Piyush Rastogi</v>
      </c>
      <c r="C50" s="19" t="str">
        <f>IFERROR(PROPER(TRIM(tblCustomers[[#This Row],[Gender]])),"")</f>
        <v>Male</v>
      </c>
      <c r="D50" s="19">
        <f>IFERROR(tblCustomers[[#This Row],[Age]],"")</f>
        <v>48</v>
      </c>
      <c r="E50" s="19" t="str">
        <f>IFERROR(PROPER(TRIM(tblCustomers[[#This Row],[City/Region]])),"")</f>
        <v>Chandigarh</v>
      </c>
      <c r="F50" s="19">
        <f>IFERROR(tblCustomers[[#This Row],[IncomeRange]],"")</f>
        <v>60001</v>
      </c>
      <c r="G50" s="19" t="str">
        <f>IFERROR(PROPER(TRIM(tblCustomers[[#This Row],[Occupation]])),"")</f>
        <v>Product Manager</v>
      </c>
      <c r="H50" s="20">
        <f>IFERROR(tblCustomers[[#This Row],[JoinDate]],"")</f>
        <v>45028</v>
      </c>
      <c r="I50" s="19" t="str">
        <f>IFERROR(PROPER(TRIM(tblCustomers[[#This Row],[PurchaseChannel]])),"")</f>
        <v>Online</v>
      </c>
      <c r="J50" s="19" t="str">
        <f>IFERROR(PROPER(TRIM(tblCustomers[[#This Row],[CustomerType]])),"")</f>
        <v>Returning</v>
      </c>
      <c r="K50" s="19" t="str">
        <f>IFERROR(PROPER(TRIM(tblCustomers[[#This Row],[EngagementLevel]])),"")</f>
        <v>Medium</v>
      </c>
      <c r="L50" s="19" t="str">
        <f>IFERROR(PROPER(TRIM(tblCustomers[[#This Row],[DiscountSensitivity]])),"")</f>
        <v>Medium</v>
      </c>
      <c r="M50" s="20">
        <f>IFERROR(tblCustomers[[#This Row],[LastPurchaseDate]],"")</f>
        <v>46059</v>
      </c>
      <c r="N50" s="19" t="str">
        <f>IFERROR(IF(tblCustomers[[#This Row],[Age]]&lt;25,"&lt;25",IF(tblCustomers[[#This Row],[Age]]&lt;40,"25-39",IF(tblCustomers[[#This Row],[Age]]&lt;55,"40-54","55+"))),"N/A")</f>
        <v>40-54</v>
      </c>
      <c r="O50" s="19" t="str">
        <f>IFERROR(IF(tblCustomers[[#This Row],[IncomeRange]]&lt;25000,"Low",IF(tblCustomers[[#This Row],[IncomeRange]]&lt;75000,"Mid","High")),"N/A")</f>
        <v>Mid</v>
      </c>
      <c r="P50" s="19" t="str">
        <f>IFERROR(TEXT(tblCustomers[[#This Row],[JoinDate]],"DDDD"),"")</f>
        <v>Wednesday</v>
      </c>
      <c r="Q50" s="21" t="b">
        <f>IFERROR(IF(WEEKDAY(tblCustomers[[#This Row],[JoinDate]],2)&gt;=6,TRUE(),FALSE()),FALSE())</f>
        <v>0</v>
      </c>
      <c r="R50" s="19">
        <f ca="1">IFERROR(DATEDIF(tblCustomers[[#This Row],[JoinDate]],TODAY(),"M"),0)</f>
        <v>36</v>
      </c>
      <c r="S50" s="19" t="str">
        <f>IFERROR(IF(AND(tblCustomers[[#This Row],[Age]]&gt;=18,tblCustomers[[#This Row],[IncomeRange]]&gt;0,tblCustomers[[#This Row],[CustomerID]]&lt;&gt;""),"OK","CHECK"),"CHECK")</f>
        <v>OK</v>
      </c>
    </row>
    <row r="51" spans="1:19" ht="15" customHeight="1" x14ac:dyDescent="0.3">
      <c r="A51" s="16" t="str">
        <f>IFERROR(TRIM(tblCustomers[[#This Row],[CustomerID]]),"")</f>
        <v>C0049</v>
      </c>
      <c r="B51" s="16" t="str">
        <f>IFERROR(PROPER(TRIM(tblCustomers[[#This Row],[Name]])),"")</f>
        <v>Neeraj Tomar</v>
      </c>
      <c r="C51" s="16" t="str">
        <f>IFERROR(PROPER(TRIM(tblCustomers[[#This Row],[Gender]])),"")</f>
        <v>Male</v>
      </c>
      <c r="D51" s="16">
        <f>IFERROR(tblCustomers[[#This Row],[Age]],"")</f>
        <v>23</v>
      </c>
      <c r="E51" s="16" t="str">
        <f>IFERROR(PROPER(TRIM(tblCustomers[[#This Row],[City/Region]])),"")</f>
        <v>Ahmedabad</v>
      </c>
      <c r="F51" s="16">
        <f>IFERROR(tblCustomers[[#This Row],[IncomeRange]],"")</f>
        <v>66025</v>
      </c>
      <c r="G51" s="16" t="str">
        <f>IFERROR(PROPER(TRIM(tblCustomers[[#This Row],[Occupation]])),"")</f>
        <v>Consultant</v>
      </c>
      <c r="H51" s="17">
        <f>IFERROR(tblCustomers[[#This Row],[JoinDate]],"")</f>
        <v>45605</v>
      </c>
      <c r="I51" s="16" t="str">
        <f>IFERROR(PROPER(TRIM(tblCustomers[[#This Row],[PurchaseChannel]])),"")</f>
        <v>Online</v>
      </c>
      <c r="J51" s="16" t="str">
        <f>IFERROR(PROPER(TRIM(tblCustomers[[#This Row],[CustomerType]])),"")</f>
        <v>Returning</v>
      </c>
      <c r="K51" s="16" t="str">
        <f>IFERROR(PROPER(TRIM(tblCustomers[[#This Row],[EngagementLevel]])),"")</f>
        <v>Medium</v>
      </c>
      <c r="L51" s="16" t="str">
        <f>IFERROR(PROPER(TRIM(tblCustomers[[#This Row],[DiscountSensitivity]])),"")</f>
        <v>High</v>
      </c>
      <c r="M51" s="17">
        <f>IFERROR(tblCustomers[[#This Row],[LastPurchaseDate]],"")</f>
        <v>45932</v>
      </c>
      <c r="N51" s="16" t="str">
        <f>IFERROR(IF(tblCustomers[[#This Row],[Age]]&lt;25,"&lt;25",IF(tblCustomers[[#This Row],[Age]]&lt;40,"25-39",IF(tblCustomers[[#This Row],[Age]]&lt;55,"40-54","55+"))),"N/A")</f>
        <v>&lt;25</v>
      </c>
      <c r="O51" s="16" t="str">
        <f>IFERROR(IF(tblCustomers[[#This Row],[IncomeRange]]&lt;25000,"Low",IF(tblCustomers[[#This Row],[IncomeRange]]&lt;75000,"Mid","High")),"N/A")</f>
        <v>Mid</v>
      </c>
      <c r="P51" s="16" t="str">
        <f>IFERROR(TEXT(tblCustomers[[#This Row],[JoinDate]],"DDDD"),"")</f>
        <v>Saturday</v>
      </c>
      <c r="Q51" s="18" t="b">
        <f>IFERROR(IF(WEEKDAY(tblCustomers[[#This Row],[JoinDate]],2)&gt;=6,TRUE(),FALSE()),FALSE())</f>
        <v>1</v>
      </c>
      <c r="R51" s="16">
        <f ca="1">IFERROR(DATEDIF(tblCustomers[[#This Row],[JoinDate]],TODAY(),"M"),0)</f>
        <v>17</v>
      </c>
      <c r="S51" s="16" t="str">
        <f>IFERROR(IF(AND(tblCustomers[[#This Row],[Age]]&gt;=18,tblCustomers[[#This Row],[IncomeRange]]&gt;0,tblCustomers[[#This Row],[CustomerID]]&lt;&gt;""),"OK","CHECK"),"CHECK")</f>
        <v>OK</v>
      </c>
    </row>
    <row r="52" spans="1:19" ht="15" customHeight="1" x14ac:dyDescent="0.3">
      <c r="A52" s="19" t="str">
        <f>IFERROR(TRIM(tblCustomers[[#This Row],[CustomerID]]),"")</f>
        <v>C0050</v>
      </c>
      <c r="B52" s="19" t="str">
        <f>IFERROR(PROPER(TRIM(tblCustomers[[#This Row],[Name]])),"")</f>
        <v>Vishal Solanki</v>
      </c>
      <c r="C52" s="19" t="str">
        <f>IFERROR(PROPER(TRIM(tblCustomers[[#This Row],[Gender]])),"")</f>
        <v>Male</v>
      </c>
      <c r="D52" s="19">
        <f>IFERROR(tblCustomers[[#This Row],[Age]],"")</f>
        <v>26</v>
      </c>
      <c r="E52" s="19" t="str">
        <f>IFERROR(PROPER(TRIM(tblCustomers[[#This Row],[City/Region]])),"")</f>
        <v>Ahmedabad</v>
      </c>
      <c r="F52" s="19">
        <f>IFERROR(tblCustomers[[#This Row],[IncomeRange]],"")</f>
        <v>43405</v>
      </c>
      <c r="G52" s="19" t="str">
        <f>IFERROR(PROPER(TRIM(tblCustomers[[#This Row],[Occupation]])),"")</f>
        <v>Retail Manager</v>
      </c>
      <c r="H52" s="20">
        <f>IFERROR(tblCustomers[[#This Row],[JoinDate]],"")</f>
        <v>45105</v>
      </c>
      <c r="I52" s="19" t="str">
        <f>IFERROR(PROPER(TRIM(tblCustomers[[#This Row],[PurchaseChannel]])),"")</f>
        <v>Online</v>
      </c>
      <c r="J52" s="19" t="str">
        <f>IFERROR(PROPER(TRIM(tblCustomers[[#This Row],[CustomerType]])),"")</f>
        <v>Returning</v>
      </c>
      <c r="K52" s="19" t="str">
        <f>IFERROR(PROPER(TRIM(tblCustomers[[#This Row],[EngagementLevel]])),"")</f>
        <v>Medium</v>
      </c>
      <c r="L52" s="19" t="str">
        <f>IFERROR(PROPER(TRIM(tblCustomers[[#This Row],[DiscountSensitivity]])),"")</f>
        <v>High</v>
      </c>
      <c r="M52" s="20">
        <f>IFERROR(tblCustomers[[#This Row],[LastPurchaseDate]],"")</f>
        <v>45946</v>
      </c>
      <c r="N52" s="19" t="str">
        <f>IFERROR(IF(tblCustomers[[#This Row],[Age]]&lt;25,"&lt;25",IF(tblCustomers[[#This Row],[Age]]&lt;40,"25-39",IF(tblCustomers[[#This Row],[Age]]&lt;55,"40-54","55+"))),"N/A")</f>
        <v>25-39</v>
      </c>
      <c r="O52" s="19" t="str">
        <f>IFERROR(IF(tblCustomers[[#This Row],[IncomeRange]]&lt;25000,"Low",IF(tblCustomers[[#This Row],[IncomeRange]]&lt;75000,"Mid","High")),"N/A")</f>
        <v>Mid</v>
      </c>
      <c r="P52" s="19" t="str">
        <f>IFERROR(TEXT(tblCustomers[[#This Row],[JoinDate]],"DDDD"),"")</f>
        <v>Wednesday</v>
      </c>
      <c r="Q52" s="21" t="b">
        <f>IFERROR(IF(WEEKDAY(tblCustomers[[#This Row],[JoinDate]],2)&gt;=6,TRUE(),FALSE()),FALSE())</f>
        <v>0</v>
      </c>
      <c r="R52" s="19">
        <f ca="1">IFERROR(DATEDIF(tblCustomers[[#This Row],[JoinDate]],TODAY(),"M"),0)</f>
        <v>33</v>
      </c>
      <c r="S52" s="19" t="str">
        <f>IFERROR(IF(AND(tblCustomers[[#This Row],[Age]]&gt;=18,tblCustomers[[#This Row],[IncomeRange]]&gt;0,tblCustomers[[#This Row],[CustomerID]]&lt;&gt;""),"OK","CHECK"),"CHECK")</f>
        <v>OK</v>
      </c>
    </row>
    <row r="53" spans="1:19" ht="15" customHeight="1" x14ac:dyDescent="0.3">
      <c r="A53" s="16" t="str">
        <f>IFERROR(TRIM(tblCustomers[[#This Row],[CustomerID]]),"")</f>
        <v>C0051</v>
      </c>
      <c r="B53" s="16" t="str">
        <f>IFERROR(PROPER(TRIM(tblCustomers[[#This Row],[Name]])),"")</f>
        <v>Priya Sharma</v>
      </c>
      <c r="C53" s="16" t="str">
        <f>IFERROR(PROPER(TRIM(tblCustomers[[#This Row],[Gender]])),"")</f>
        <v>Female</v>
      </c>
      <c r="D53" s="16">
        <f>IFERROR(tblCustomers[[#This Row],[Age]],"")</f>
        <v>46</v>
      </c>
      <c r="E53" s="16" t="str">
        <f>IFERROR(PROPER(TRIM(tblCustomers[[#This Row],[City/Region]])),"")</f>
        <v>Bhubaneswar</v>
      </c>
      <c r="F53" s="16">
        <f>IFERROR(tblCustomers[[#This Row],[IncomeRange]],"")</f>
        <v>149005</v>
      </c>
      <c r="G53" s="16" t="str">
        <f>IFERROR(PROPER(TRIM(tblCustomers[[#This Row],[Occupation]])),"")</f>
        <v>Student</v>
      </c>
      <c r="H53" s="17">
        <f>IFERROR(tblCustomers[[#This Row],[JoinDate]],"")</f>
        <v>44798</v>
      </c>
      <c r="I53" s="16" t="str">
        <f>IFERROR(PROPER(TRIM(tblCustomers[[#This Row],[PurchaseChannel]])),"")</f>
        <v>Online</v>
      </c>
      <c r="J53" s="16" t="str">
        <f>IFERROR(PROPER(TRIM(tblCustomers[[#This Row],[CustomerType]])),"")</f>
        <v>Returning</v>
      </c>
      <c r="K53" s="16" t="str">
        <f>IFERROR(PROPER(TRIM(tblCustomers[[#This Row],[EngagementLevel]])),"")</f>
        <v>Medium</v>
      </c>
      <c r="L53" s="16" t="str">
        <f>IFERROR(PROPER(TRIM(tblCustomers[[#This Row],[DiscountSensitivity]])),"")</f>
        <v>High</v>
      </c>
      <c r="M53" s="17">
        <f>IFERROR(tblCustomers[[#This Row],[LastPurchaseDate]],"")</f>
        <v>46084</v>
      </c>
      <c r="N53" s="16" t="str">
        <f>IFERROR(IF(tblCustomers[[#This Row],[Age]]&lt;25,"&lt;25",IF(tblCustomers[[#This Row],[Age]]&lt;40,"25-39",IF(tblCustomers[[#This Row],[Age]]&lt;55,"40-54","55+"))),"N/A")</f>
        <v>40-54</v>
      </c>
      <c r="O53" s="16" t="str">
        <f>IFERROR(IF(tblCustomers[[#This Row],[IncomeRange]]&lt;25000,"Low",IF(tblCustomers[[#This Row],[IncomeRange]]&lt;75000,"Mid","High")),"N/A")</f>
        <v>High</v>
      </c>
      <c r="P53" s="16" t="str">
        <f>IFERROR(TEXT(tblCustomers[[#This Row],[JoinDate]],"DDDD"),"")</f>
        <v>Thursday</v>
      </c>
      <c r="Q53" s="18" t="b">
        <f>IFERROR(IF(WEEKDAY(tblCustomers[[#This Row],[JoinDate]],2)&gt;=6,TRUE(),FALSE()),FALSE())</f>
        <v>0</v>
      </c>
      <c r="R53" s="16">
        <f ca="1">IFERROR(DATEDIF(tblCustomers[[#This Row],[JoinDate]],TODAY(),"M"),0)</f>
        <v>43</v>
      </c>
      <c r="S53" s="16" t="str">
        <f>IFERROR(IF(AND(tblCustomers[[#This Row],[Age]]&gt;=18,tblCustomers[[#This Row],[IncomeRange]]&gt;0,tblCustomers[[#This Row],[CustomerID]]&lt;&gt;""),"OK","CHECK"),"CHECK")</f>
        <v>OK</v>
      </c>
    </row>
    <row r="54" spans="1:19" ht="15" customHeight="1" x14ac:dyDescent="0.3">
      <c r="A54" s="19" t="str">
        <f>IFERROR(TRIM(tblCustomers[[#This Row],[CustomerID]]),"")</f>
        <v>C0052</v>
      </c>
      <c r="B54" s="19" t="str">
        <f>IFERROR(PROPER(TRIM(tblCustomers[[#This Row],[Name]])),"")</f>
        <v>Neha Singh</v>
      </c>
      <c r="C54" s="19" t="str">
        <f>IFERROR(PROPER(TRIM(tblCustomers[[#This Row],[Gender]])),"")</f>
        <v>Female</v>
      </c>
      <c r="D54" s="19">
        <f>IFERROR(tblCustomers[[#This Row],[Age]],"")</f>
        <v>19</v>
      </c>
      <c r="E54" s="19" t="str">
        <f>IFERROR(PROPER(TRIM(tblCustomers[[#This Row],[City/Region]])),"")</f>
        <v>Surat</v>
      </c>
      <c r="F54" s="19">
        <f>IFERROR(tblCustomers[[#This Row],[IncomeRange]],"")</f>
        <v>141316</v>
      </c>
      <c r="G54" s="19" t="str">
        <f>IFERROR(PROPER(TRIM(tblCustomers[[#This Row],[Occupation]])),"")</f>
        <v>Operations Manager</v>
      </c>
      <c r="H54" s="20">
        <f>IFERROR(tblCustomers[[#This Row],[JoinDate]],"")</f>
        <v>45664</v>
      </c>
      <c r="I54" s="19" t="str">
        <f>IFERROR(PROPER(TRIM(tblCustomers[[#This Row],[PurchaseChannel]])),"")</f>
        <v>Offline</v>
      </c>
      <c r="J54" s="19" t="str">
        <f>IFERROR(PROPER(TRIM(tblCustomers[[#This Row],[CustomerType]])),"")</f>
        <v>Returning</v>
      </c>
      <c r="K54" s="19" t="str">
        <f>IFERROR(PROPER(TRIM(tblCustomers[[#This Row],[EngagementLevel]])),"")</f>
        <v>Medium</v>
      </c>
      <c r="L54" s="19" t="str">
        <f>IFERROR(PROPER(TRIM(tblCustomers[[#This Row],[DiscountSensitivity]])),"")</f>
        <v>Low</v>
      </c>
      <c r="M54" s="20">
        <f>IFERROR(tblCustomers[[#This Row],[LastPurchaseDate]],"")</f>
        <v>45898</v>
      </c>
      <c r="N54" s="19" t="str">
        <f>IFERROR(IF(tblCustomers[[#This Row],[Age]]&lt;25,"&lt;25",IF(tblCustomers[[#This Row],[Age]]&lt;40,"25-39",IF(tblCustomers[[#This Row],[Age]]&lt;55,"40-54","55+"))),"N/A")</f>
        <v>&lt;25</v>
      </c>
      <c r="O54" s="19" t="str">
        <f>IFERROR(IF(tblCustomers[[#This Row],[IncomeRange]]&lt;25000,"Low",IF(tblCustomers[[#This Row],[IncomeRange]]&lt;75000,"Mid","High")),"N/A")</f>
        <v>High</v>
      </c>
      <c r="P54" s="19" t="str">
        <f>IFERROR(TEXT(tblCustomers[[#This Row],[JoinDate]],"DDDD"),"")</f>
        <v>Tuesday</v>
      </c>
      <c r="Q54" s="21" t="b">
        <f>IFERROR(IF(WEEKDAY(tblCustomers[[#This Row],[JoinDate]],2)&gt;=6,TRUE(),FALSE()),FALSE())</f>
        <v>0</v>
      </c>
      <c r="R54" s="19">
        <f ca="1">IFERROR(DATEDIF(tblCustomers[[#This Row],[JoinDate]],TODAY(),"M"),0)</f>
        <v>15</v>
      </c>
      <c r="S54" s="19" t="str">
        <f>IFERROR(IF(AND(tblCustomers[[#This Row],[Age]]&gt;=18,tblCustomers[[#This Row],[IncomeRange]]&gt;0,tblCustomers[[#This Row],[CustomerID]]&lt;&gt;""),"OK","CHECK"),"CHECK")</f>
        <v>OK</v>
      </c>
    </row>
    <row r="55" spans="1:19" ht="15" customHeight="1" x14ac:dyDescent="0.3">
      <c r="A55" s="16" t="str">
        <f>IFERROR(TRIM(tblCustomers[[#This Row],[CustomerID]]),"")</f>
        <v>C0053</v>
      </c>
      <c r="B55" s="16" t="str">
        <f>IFERROR(PROPER(TRIM(tblCustomers[[#This Row],[Name]])),"")</f>
        <v>Ananya Mehta</v>
      </c>
      <c r="C55" s="16" t="str">
        <f>IFERROR(PROPER(TRIM(tblCustomers[[#This Row],[Gender]])),"")</f>
        <v>Female</v>
      </c>
      <c r="D55" s="16">
        <f>IFERROR(tblCustomers[[#This Row],[Age]],"")</f>
        <v>46</v>
      </c>
      <c r="E55" s="16" t="str">
        <f>IFERROR(PROPER(TRIM(tblCustomers[[#This Row],[City/Region]])),"")</f>
        <v>Bangalore</v>
      </c>
      <c r="F55" s="16">
        <f>IFERROR(tblCustomers[[#This Row],[IncomeRange]],"")</f>
        <v>144370</v>
      </c>
      <c r="G55" s="16" t="str">
        <f>IFERROR(PROPER(TRIM(tblCustomers[[#This Row],[Occupation]])),"")</f>
        <v>Consultant</v>
      </c>
      <c r="H55" s="17">
        <f>IFERROR(tblCustomers[[#This Row],[JoinDate]],"")</f>
        <v>45238</v>
      </c>
      <c r="I55" s="16" t="str">
        <f>IFERROR(PROPER(TRIM(tblCustomers[[#This Row],[PurchaseChannel]])),"")</f>
        <v>Offline</v>
      </c>
      <c r="J55" s="16" t="str">
        <f>IFERROR(PROPER(TRIM(tblCustomers[[#This Row],[CustomerType]])),"")</f>
        <v>Returning</v>
      </c>
      <c r="K55" s="16" t="str">
        <f>IFERROR(PROPER(TRIM(tblCustomers[[#This Row],[EngagementLevel]])),"")</f>
        <v>Low</v>
      </c>
      <c r="L55" s="16" t="str">
        <f>IFERROR(PROPER(TRIM(tblCustomers[[#This Row],[DiscountSensitivity]])),"")</f>
        <v>High</v>
      </c>
      <c r="M55" s="17">
        <f>IFERROR(tblCustomers[[#This Row],[LastPurchaseDate]],"")</f>
        <v>46088</v>
      </c>
      <c r="N55" s="16" t="str">
        <f>IFERROR(IF(tblCustomers[[#This Row],[Age]]&lt;25,"&lt;25",IF(tblCustomers[[#This Row],[Age]]&lt;40,"25-39",IF(tblCustomers[[#This Row],[Age]]&lt;55,"40-54","55+"))),"N/A")</f>
        <v>40-54</v>
      </c>
      <c r="O55" s="16" t="str">
        <f>IFERROR(IF(tblCustomers[[#This Row],[IncomeRange]]&lt;25000,"Low",IF(tblCustomers[[#This Row],[IncomeRange]]&lt;75000,"Mid","High")),"N/A")</f>
        <v>High</v>
      </c>
      <c r="P55" s="16" t="str">
        <f>IFERROR(TEXT(tblCustomers[[#This Row],[JoinDate]],"DDDD"),"")</f>
        <v>Wednesday</v>
      </c>
      <c r="Q55" s="18" t="b">
        <f>IFERROR(IF(WEEKDAY(tblCustomers[[#This Row],[JoinDate]],2)&gt;=6,TRUE(),FALSE()),FALSE())</f>
        <v>0</v>
      </c>
      <c r="R55" s="16">
        <f ca="1">IFERROR(DATEDIF(tblCustomers[[#This Row],[JoinDate]],TODAY(),"M"),0)</f>
        <v>29</v>
      </c>
      <c r="S55" s="16" t="str">
        <f>IFERROR(IF(AND(tblCustomers[[#This Row],[Age]]&gt;=18,tblCustomers[[#This Row],[IncomeRange]]&gt;0,tblCustomers[[#This Row],[CustomerID]]&lt;&gt;""),"OK","CHECK"),"CHECK")</f>
        <v>OK</v>
      </c>
    </row>
    <row r="56" spans="1:19" ht="15" customHeight="1" x14ac:dyDescent="0.3">
      <c r="A56" s="19" t="str">
        <f>IFERROR(TRIM(tblCustomers[[#This Row],[CustomerID]]),"")</f>
        <v>C0054</v>
      </c>
      <c r="B56" s="19" t="str">
        <f>IFERROR(PROPER(TRIM(tblCustomers[[#This Row],[Name]])),"")</f>
        <v>Divya Gupta</v>
      </c>
      <c r="C56" s="19" t="str">
        <f>IFERROR(PROPER(TRIM(tblCustomers[[#This Row],[Gender]])),"")</f>
        <v>Female</v>
      </c>
      <c r="D56" s="19">
        <f>IFERROR(tblCustomers[[#This Row],[Age]],"")</f>
        <v>51</v>
      </c>
      <c r="E56" s="19" t="str">
        <f>IFERROR(PROPER(TRIM(tblCustomers[[#This Row],[City/Region]])),"")</f>
        <v>Kolkata</v>
      </c>
      <c r="F56" s="19">
        <f>IFERROR(tblCustomers[[#This Row],[IncomeRange]],"")</f>
        <v>107410</v>
      </c>
      <c r="G56" s="19" t="str">
        <f>IFERROR(PROPER(TRIM(tblCustomers[[#This Row],[Occupation]])),"")</f>
        <v>Hr Manager</v>
      </c>
      <c r="H56" s="20">
        <f>IFERROR(tblCustomers[[#This Row],[JoinDate]],"")</f>
        <v>45230</v>
      </c>
      <c r="I56" s="19" t="str">
        <f>IFERROR(PROPER(TRIM(tblCustomers[[#This Row],[PurchaseChannel]])),"")</f>
        <v>Online</v>
      </c>
      <c r="J56" s="19" t="str">
        <f>IFERROR(PROPER(TRIM(tblCustomers[[#This Row],[CustomerType]])),"")</f>
        <v>New</v>
      </c>
      <c r="K56" s="19" t="str">
        <f>IFERROR(PROPER(TRIM(tblCustomers[[#This Row],[EngagementLevel]])),"")</f>
        <v>Low</v>
      </c>
      <c r="L56" s="19" t="str">
        <f>IFERROR(PROPER(TRIM(tblCustomers[[#This Row],[DiscountSensitivity]])),"")</f>
        <v>Medium</v>
      </c>
      <c r="M56" s="20">
        <f>IFERROR(tblCustomers[[#This Row],[LastPurchaseDate]],"")</f>
        <v>46079</v>
      </c>
      <c r="N56" s="19" t="str">
        <f>IFERROR(IF(tblCustomers[[#This Row],[Age]]&lt;25,"&lt;25",IF(tblCustomers[[#This Row],[Age]]&lt;40,"25-39",IF(tblCustomers[[#This Row],[Age]]&lt;55,"40-54","55+"))),"N/A")</f>
        <v>40-54</v>
      </c>
      <c r="O56" s="19" t="str">
        <f>IFERROR(IF(tblCustomers[[#This Row],[IncomeRange]]&lt;25000,"Low",IF(tblCustomers[[#This Row],[IncomeRange]]&lt;75000,"Mid","High")),"N/A")</f>
        <v>High</v>
      </c>
      <c r="P56" s="19" t="str">
        <f>IFERROR(TEXT(tblCustomers[[#This Row],[JoinDate]],"DDDD"),"")</f>
        <v>Tuesday</v>
      </c>
      <c r="Q56" s="21" t="b">
        <f>IFERROR(IF(WEEKDAY(tblCustomers[[#This Row],[JoinDate]],2)&gt;=6,TRUE(),FALSE()),FALSE())</f>
        <v>0</v>
      </c>
      <c r="R56" s="19">
        <f ca="1">IFERROR(DATEDIF(tblCustomers[[#This Row],[JoinDate]],TODAY(),"M"),0)</f>
        <v>29</v>
      </c>
      <c r="S56" s="19" t="str">
        <f>IFERROR(IF(AND(tblCustomers[[#This Row],[Age]]&gt;=18,tblCustomers[[#This Row],[IncomeRange]]&gt;0,tblCustomers[[#This Row],[CustomerID]]&lt;&gt;""),"OK","CHECK"),"CHECK")</f>
        <v>OK</v>
      </c>
    </row>
    <row r="57" spans="1:19" ht="15" customHeight="1" x14ac:dyDescent="0.3">
      <c r="A57" s="16" t="str">
        <f>IFERROR(TRIM(tblCustomers[[#This Row],[CustomerID]]),"")</f>
        <v>C0055</v>
      </c>
      <c r="B57" s="16" t="str">
        <f>IFERROR(PROPER(TRIM(tblCustomers[[#This Row],[Name]])),"")</f>
        <v>Pooja Verma</v>
      </c>
      <c r="C57" s="16" t="str">
        <f>IFERROR(PROPER(TRIM(tblCustomers[[#This Row],[Gender]])),"")</f>
        <v>Female</v>
      </c>
      <c r="D57" s="16">
        <f>IFERROR(tblCustomers[[#This Row],[Age]],"")</f>
        <v>43</v>
      </c>
      <c r="E57" s="16" t="str">
        <f>IFERROR(PROPER(TRIM(tblCustomers[[#This Row],[City/Region]])),"")</f>
        <v>Chennai</v>
      </c>
      <c r="F57" s="16">
        <f>IFERROR(tblCustomers[[#This Row],[IncomeRange]],"")</f>
        <v>100676</v>
      </c>
      <c r="G57" s="16" t="str">
        <f>IFERROR(PROPER(TRIM(tblCustomers[[#This Row],[Occupation]])),"")</f>
        <v>Retail Manager</v>
      </c>
      <c r="H57" s="17">
        <f>IFERROR(tblCustomers[[#This Row],[JoinDate]],"")</f>
        <v>45178</v>
      </c>
      <c r="I57" s="16" t="str">
        <f>IFERROR(PROPER(TRIM(tblCustomers[[#This Row],[PurchaseChannel]])),"")</f>
        <v>Online</v>
      </c>
      <c r="J57" s="16" t="str">
        <f>IFERROR(PROPER(TRIM(tblCustomers[[#This Row],[CustomerType]])),"")</f>
        <v>Returning</v>
      </c>
      <c r="K57" s="16" t="str">
        <f>IFERROR(PROPER(TRIM(tblCustomers[[#This Row],[EngagementLevel]])),"")</f>
        <v>Medium</v>
      </c>
      <c r="L57" s="16" t="str">
        <f>IFERROR(PROPER(TRIM(tblCustomers[[#This Row],[DiscountSensitivity]])),"")</f>
        <v>Low</v>
      </c>
      <c r="M57" s="17">
        <f>IFERROR(tblCustomers[[#This Row],[LastPurchaseDate]],"")</f>
        <v>46095</v>
      </c>
      <c r="N57" s="16" t="str">
        <f>IFERROR(IF(tblCustomers[[#This Row],[Age]]&lt;25,"&lt;25",IF(tblCustomers[[#This Row],[Age]]&lt;40,"25-39",IF(tblCustomers[[#This Row],[Age]]&lt;55,"40-54","55+"))),"N/A")</f>
        <v>40-54</v>
      </c>
      <c r="O57" s="16" t="str">
        <f>IFERROR(IF(tblCustomers[[#This Row],[IncomeRange]]&lt;25000,"Low",IF(tblCustomers[[#This Row],[IncomeRange]]&lt;75000,"Mid","High")),"N/A")</f>
        <v>High</v>
      </c>
      <c r="P57" s="16" t="str">
        <f>IFERROR(TEXT(tblCustomers[[#This Row],[JoinDate]],"DDDD"),"")</f>
        <v>Saturday</v>
      </c>
      <c r="Q57" s="18" t="b">
        <f>IFERROR(IF(WEEKDAY(tblCustomers[[#This Row],[JoinDate]],2)&gt;=6,TRUE(),FALSE()),FALSE())</f>
        <v>1</v>
      </c>
      <c r="R57" s="16">
        <f ca="1">IFERROR(DATEDIF(tblCustomers[[#This Row],[JoinDate]],TODAY(),"M"),0)</f>
        <v>31</v>
      </c>
      <c r="S57" s="16" t="str">
        <f>IFERROR(IF(AND(tblCustomers[[#This Row],[Age]]&gt;=18,tblCustomers[[#This Row],[IncomeRange]]&gt;0,tblCustomers[[#This Row],[CustomerID]]&lt;&gt;""),"OK","CHECK"),"CHECK")</f>
        <v>OK</v>
      </c>
    </row>
    <row r="58" spans="1:19" ht="15" customHeight="1" x14ac:dyDescent="0.3">
      <c r="A58" s="19" t="str">
        <f>IFERROR(TRIM(tblCustomers[[#This Row],[CustomerID]]),"")</f>
        <v>C0056</v>
      </c>
      <c r="B58" s="19" t="str">
        <f>IFERROR(PROPER(TRIM(tblCustomers[[#This Row],[Name]])),"")</f>
        <v>Sunita Kumar</v>
      </c>
      <c r="C58" s="19" t="str">
        <f>IFERROR(PROPER(TRIM(tblCustomers[[#This Row],[Gender]])),"")</f>
        <v>Female</v>
      </c>
      <c r="D58" s="19">
        <f>IFERROR(tblCustomers[[#This Row],[Age]],"")</f>
        <v>56</v>
      </c>
      <c r="E58" s="19" t="str">
        <f>IFERROR(PROPER(TRIM(tblCustomers[[#This Row],[City/Region]])),"")</f>
        <v>Bhubaneswar</v>
      </c>
      <c r="F58" s="19">
        <f>IFERROR(tblCustomers[[#This Row],[IncomeRange]],"")</f>
        <v>105813</v>
      </c>
      <c r="G58" s="19" t="str">
        <f>IFERROR(PROPER(TRIM(tblCustomers[[#This Row],[Occupation]])),"")</f>
        <v>Sales Executive</v>
      </c>
      <c r="H58" s="20">
        <f>IFERROR(tblCustomers[[#This Row],[JoinDate]],"")</f>
        <v>45514</v>
      </c>
      <c r="I58" s="19" t="str">
        <f>IFERROR(PROPER(TRIM(tblCustomers[[#This Row],[PurchaseChannel]])),"")</f>
        <v>Online</v>
      </c>
      <c r="J58" s="19" t="str">
        <f>IFERROR(PROPER(TRIM(tblCustomers[[#This Row],[CustomerType]])),"")</f>
        <v>Returning</v>
      </c>
      <c r="K58" s="19" t="str">
        <f>IFERROR(PROPER(TRIM(tblCustomers[[#This Row],[EngagementLevel]])),"")</f>
        <v>Medium</v>
      </c>
      <c r="L58" s="19" t="str">
        <f>IFERROR(PROPER(TRIM(tblCustomers[[#This Row],[DiscountSensitivity]])),"")</f>
        <v>High</v>
      </c>
      <c r="M58" s="20">
        <f>IFERROR(tblCustomers[[#This Row],[LastPurchaseDate]],"")</f>
        <v>45896</v>
      </c>
      <c r="N58" s="19" t="str">
        <f>IFERROR(IF(tblCustomers[[#This Row],[Age]]&lt;25,"&lt;25",IF(tblCustomers[[#This Row],[Age]]&lt;40,"25-39",IF(tblCustomers[[#This Row],[Age]]&lt;55,"40-54","55+"))),"N/A")</f>
        <v>55+</v>
      </c>
      <c r="O58" s="19" t="str">
        <f>IFERROR(IF(tblCustomers[[#This Row],[IncomeRange]]&lt;25000,"Low",IF(tblCustomers[[#This Row],[IncomeRange]]&lt;75000,"Mid","High")),"N/A")</f>
        <v>High</v>
      </c>
      <c r="P58" s="19" t="str">
        <f>IFERROR(TEXT(tblCustomers[[#This Row],[JoinDate]],"DDDD"),"")</f>
        <v>Saturday</v>
      </c>
      <c r="Q58" s="21" t="b">
        <f>IFERROR(IF(WEEKDAY(tblCustomers[[#This Row],[JoinDate]],2)&gt;=6,TRUE(),FALSE()),FALSE())</f>
        <v>1</v>
      </c>
      <c r="R58" s="19">
        <f ca="1">IFERROR(DATEDIF(tblCustomers[[#This Row],[JoinDate]],TODAY(),"M"),0)</f>
        <v>20</v>
      </c>
      <c r="S58" s="19" t="str">
        <f>IFERROR(IF(AND(tblCustomers[[#This Row],[Age]]&gt;=18,tblCustomers[[#This Row],[IncomeRange]]&gt;0,tblCustomers[[#This Row],[CustomerID]]&lt;&gt;""),"OK","CHECK"),"CHECK")</f>
        <v>OK</v>
      </c>
    </row>
    <row r="59" spans="1:19" ht="15" customHeight="1" x14ac:dyDescent="0.3">
      <c r="A59" s="16" t="str">
        <f>IFERROR(TRIM(tblCustomers[[#This Row],[CustomerID]]),"")</f>
        <v>C0057</v>
      </c>
      <c r="B59" s="16" t="str">
        <f>IFERROR(PROPER(TRIM(tblCustomers[[#This Row],[Name]])),"")</f>
        <v>Rekha Patel</v>
      </c>
      <c r="C59" s="16" t="str">
        <f>IFERROR(PROPER(TRIM(tblCustomers[[#This Row],[Gender]])),"")</f>
        <v>Female</v>
      </c>
      <c r="D59" s="16">
        <f>IFERROR(tblCustomers[[#This Row],[Age]],"")</f>
        <v>29</v>
      </c>
      <c r="E59" s="16" t="str">
        <f>IFERROR(PROPER(TRIM(tblCustomers[[#This Row],[City/Region]])),"")</f>
        <v>Bangalore</v>
      </c>
      <c r="F59" s="16">
        <f>IFERROR(tblCustomers[[#This Row],[IncomeRange]],"")</f>
        <v>57196</v>
      </c>
      <c r="G59" s="16" t="str">
        <f>IFERROR(PROPER(TRIM(tblCustomers[[#This Row],[Occupation]])),"")</f>
        <v>Student</v>
      </c>
      <c r="H59" s="17">
        <f>IFERROR(tblCustomers[[#This Row],[JoinDate]],"")</f>
        <v>45248</v>
      </c>
      <c r="I59" s="16" t="str">
        <f>IFERROR(PROPER(TRIM(tblCustomers[[#This Row],[PurchaseChannel]])),"")</f>
        <v>Online</v>
      </c>
      <c r="J59" s="16" t="str">
        <f>IFERROR(PROPER(TRIM(tblCustomers[[#This Row],[CustomerType]])),"")</f>
        <v>Returning</v>
      </c>
      <c r="K59" s="16" t="str">
        <f>IFERROR(PROPER(TRIM(tblCustomers[[#This Row],[EngagementLevel]])),"")</f>
        <v>Low</v>
      </c>
      <c r="L59" s="16" t="str">
        <f>IFERROR(PROPER(TRIM(tblCustomers[[#This Row],[DiscountSensitivity]])),"")</f>
        <v>Medium</v>
      </c>
      <c r="M59" s="17">
        <f>IFERROR(tblCustomers[[#This Row],[LastPurchaseDate]],"")</f>
        <v>46084</v>
      </c>
      <c r="N59" s="16" t="str">
        <f>IFERROR(IF(tblCustomers[[#This Row],[Age]]&lt;25,"&lt;25",IF(tblCustomers[[#This Row],[Age]]&lt;40,"25-39",IF(tblCustomers[[#This Row],[Age]]&lt;55,"40-54","55+"))),"N/A")</f>
        <v>25-39</v>
      </c>
      <c r="O59" s="16" t="str">
        <f>IFERROR(IF(tblCustomers[[#This Row],[IncomeRange]]&lt;25000,"Low",IF(tblCustomers[[#This Row],[IncomeRange]]&lt;75000,"Mid","High")),"N/A")</f>
        <v>Mid</v>
      </c>
      <c r="P59" s="16" t="str">
        <f>IFERROR(TEXT(tblCustomers[[#This Row],[JoinDate]],"DDDD"),"")</f>
        <v>Saturday</v>
      </c>
      <c r="Q59" s="18" t="b">
        <f>IFERROR(IF(WEEKDAY(tblCustomers[[#This Row],[JoinDate]],2)&gt;=6,TRUE(),FALSE()),FALSE())</f>
        <v>1</v>
      </c>
      <c r="R59" s="16">
        <f ca="1">IFERROR(DATEDIF(tblCustomers[[#This Row],[JoinDate]],TODAY(),"M"),0)</f>
        <v>28</v>
      </c>
      <c r="S59" s="16" t="str">
        <f>IFERROR(IF(AND(tblCustomers[[#This Row],[Age]]&gt;=18,tblCustomers[[#This Row],[IncomeRange]]&gt;0,tblCustomers[[#This Row],[CustomerID]]&lt;&gt;""),"OK","CHECK"),"CHECK")</f>
        <v>OK</v>
      </c>
    </row>
    <row r="60" spans="1:19" ht="15" customHeight="1" x14ac:dyDescent="0.3">
      <c r="A60" s="19" t="str">
        <f>IFERROR(TRIM(tblCustomers[[#This Row],[CustomerID]]),"")</f>
        <v>C0058</v>
      </c>
      <c r="B60" s="19" t="str">
        <f>IFERROR(PROPER(TRIM(tblCustomers[[#This Row],[Name]])),"")</f>
        <v>Kavita Joshi</v>
      </c>
      <c r="C60" s="19" t="str">
        <f>IFERROR(PROPER(TRIM(tblCustomers[[#This Row],[Gender]])),"")</f>
        <v>Female</v>
      </c>
      <c r="D60" s="19">
        <f>IFERROR(tblCustomers[[#This Row],[Age]],"")</f>
        <v>31</v>
      </c>
      <c r="E60" s="19" t="str">
        <f>IFERROR(PROPER(TRIM(tblCustomers[[#This Row],[City/Region]])),"")</f>
        <v>Gurgaon</v>
      </c>
      <c r="F60" s="19">
        <f>IFERROR(tblCustomers[[#This Row],[IncomeRange]],"")</f>
        <v>23201</v>
      </c>
      <c r="G60" s="19" t="str">
        <f>IFERROR(PROPER(TRIM(tblCustomers[[#This Row],[Occupation]])),"")</f>
        <v>Software Engineer</v>
      </c>
      <c r="H60" s="20">
        <f>IFERROR(tblCustomers[[#This Row],[JoinDate]],"")</f>
        <v>45063</v>
      </c>
      <c r="I60" s="19" t="str">
        <f>IFERROR(PROPER(TRIM(tblCustomers[[#This Row],[PurchaseChannel]])),"")</f>
        <v>Offline</v>
      </c>
      <c r="J60" s="19" t="str">
        <f>IFERROR(PROPER(TRIM(tblCustomers[[#This Row],[CustomerType]])),"")</f>
        <v>Returning</v>
      </c>
      <c r="K60" s="19" t="str">
        <f>IFERROR(PROPER(TRIM(tblCustomers[[#This Row],[EngagementLevel]])),"")</f>
        <v>High</v>
      </c>
      <c r="L60" s="19" t="str">
        <f>IFERROR(PROPER(TRIM(tblCustomers[[#This Row],[DiscountSensitivity]])),"")</f>
        <v>Medium</v>
      </c>
      <c r="M60" s="20">
        <f>IFERROR(tblCustomers[[#This Row],[LastPurchaseDate]],"")</f>
        <v>46080</v>
      </c>
      <c r="N60" s="19" t="str">
        <f>IFERROR(IF(tblCustomers[[#This Row],[Age]]&lt;25,"&lt;25",IF(tblCustomers[[#This Row],[Age]]&lt;40,"25-39",IF(tblCustomers[[#This Row],[Age]]&lt;55,"40-54","55+"))),"N/A")</f>
        <v>25-39</v>
      </c>
      <c r="O60" s="19" t="str">
        <f>IFERROR(IF(tblCustomers[[#This Row],[IncomeRange]]&lt;25000,"Low",IF(tblCustomers[[#This Row],[IncomeRange]]&lt;75000,"Mid","High")),"N/A")</f>
        <v>Low</v>
      </c>
      <c r="P60" s="19" t="str">
        <f>IFERROR(TEXT(tblCustomers[[#This Row],[JoinDate]],"DDDD"),"")</f>
        <v>Wednesday</v>
      </c>
      <c r="Q60" s="21" t="b">
        <f>IFERROR(IF(WEEKDAY(tblCustomers[[#This Row],[JoinDate]],2)&gt;=6,TRUE(),FALSE()),FALSE())</f>
        <v>0</v>
      </c>
      <c r="R60" s="19">
        <f ca="1">IFERROR(DATEDIF(tblCustomers[[#This Row],[JoinDate]],TODAY(),"M"),0)</f>
        <v>34</v>
      </c>
      <c r="S60" s="19" t="str">
        <f>IFERROR(IF(AND(tblCustomers[[#This Row],[Age]]&gt;=18,tblCustomers[[#This Row],[IncomeRange]]&gt;0,tblCustomers[[#This Row],[CustomerID]]&lt;&gt;""),"OK","CHECK"),"CHECK")</f>
        <v>OK</v>
      </c>
    </row>
    <row r="61" spans="1:19" ht="15" customHeight="1" x14ac:dyDescent="0.3">
      <c r="A61" s="16" t="str">
        <f>IFERROR(TRIM(tblCustomers[[#This Row],[CustomerID]]),"")</f>
        <v>C0059</v>
      </c>
      <c r="B61" s="16" t="str">
        <f>IFERROR(PROPER(TRIM(tblCustomers[[#This Row],[Name]])),"")</f>
        <v>Shikha Kapoor</v>
      </c>
      <c r="C61" s="16" t="str">
        <f>IFERROR(PROPER(TRIM(tblCustomers[[#This Row],[Gender]])),"")</f>
        <v>Female</v>
      </c>
      <c r="D61" s="16">
        <f>IFERROR(tblCustomers[[#This Row],[Age]],"")</f>
        <v>59</v>
      </c>
      <c r="E61" s="16" t="str">
        <f>IFERROR(PROPER(TRIM(tblCustomers[[#This Row],[City/Region]])),"")</f>
        <v>Nagpur</v>
      </c>
      <c r="F61" s="16">
        <f>IFERROR(tblCustomers[[#This Row],[IncomeRange]],"")</f>
        <v>45485</v>
      </c>
      <c r="G61" s="16" t="str">
        <f>IFERROR(PROPER(TRIM(tblCustomers[[#This Row],[Occupation]])),"")</f>
        <v>Finance Analyst</v>
      </c>
      <c r="H61" s="17">
        <f>IFERROR(tblCustomers[[#This Row],[JoinDate]],"")</f>
        <v>45348</v>
      </c>
      <c r="I61" s="16" t="str">
        <f>IFERROR(PROPER(TRIM(tblCustomers[[#This Row],[PurchaseChannel]])),"")</f>
        <v>Online</v>
      </c>
      <c r="J61" s="16" t="str">
        <f>IFERROR(PROPER(TRIM(tblCustomers[[#This Row],[CustomerType]])),"")</f>
        <v>New</v>
      </c>
      <c r="K61" s="16" t="str">
        <f>IFERROR(PROPER(TRIM(tblCustomers[[#This Row],[EngagementLevel]])),"")</f>
        <v>Medium</v>
      </c>
      <c r="L61" s="16" t="str">
        <f>IFERROR(PROPER(TRIM(tblCustomers[[#This Row],[DiscountSensitivity]])),"")</f>
        <v>Low</v>
      </c>
      <c r="M61" s="17">
        <f>IFERROR(tblCustomers[[#This Row],[LastPurchaseDate]],"")</f>
        <v>46066</v>
      </c>
      <c r="N61" s="16" t="str">
        <f>IFERROR(IF(tblCustomers[[#This Row],[Age]]&lt;25,"&lt;25",IF(tblCustomers[[#This Row],[Age]]&lt;40,"25-39",IF(tblCustomers[[#This Row],[Age]]&lt;55,"40-54","55+"))),"N/A")</f>
        <v>55+</v>
      </c>
      <c r="O61" s="16" t="str">
        <f>IFERROR(IF(tblCustomers[[#This Row],[IncomeRange]]&lt;25000,"Low",IF(tblCustomers[[#This Row],[IncomeRange]]&lt;75000,"Mid","High")),"N/A")</f>
        <v>Mid</v>
      </c>
      <c r="P61" s="16" t="str">
        <f>IFERROR(TEXT(tblCustomers[[#This Row],[JoinDate]],"DDDD"),"")</f>
        <v>Monday</v>
      </c>
      <c r="Q61" s="18" t="b">
        <f>IFERROR(IF(WEEKDAY(tblCustomers[[#This Row],[JoinDate]],2)&gt;=6,TRUE(),FALSE()),FALSE())</f>
        <v>0</v>
      </c>
      <c r="R61" s="16">
        <f ca="1">IFERROR(DATEDIF(tblCustomers[[#This Row],[JoinDate]],TODAY(),"M"),0)</f>
        <v>25</v>
      </c>
      <c r="S61" s="16" t="str">
        <f>IFERROR(IF(AND(tblCustomers[[#This Row],[Age]]&gt;=18,tblCustomers[[#This Row],[IncomeRange]]&gt;0,tblCustomers[[#This Row],[CustomerID]]&lt;&gt;""),"OK","CHECK"),"CHECK")</f>
        <v>OK</v>
      </c>
    </row>
    <row r="62" spans="1:19" ht="15" customHeight="1" x14ac:dyDescent="0.3">
      <c r="A62" s="19" t="str">
        <f>IFERROR(TRIM(tblCustomers[[#This Row],[CustomerID]]),"")</f>
        <v>C0060</v>
      </c>
      <c r="B62" s="19" t="str">
        <f>IFERROR(PROPER(TRIM(tblCustomers[[#This Row],[Name]])),"")</f>
        <v>Meera Nair</v>
      </c>
      <c r="C62" s="19" t="str">
        <f>IFERROR(PROPER(TRIM(tblCustomers[[#This Row],[Gender]])),"")</f>
        <v>Female</v>
      </c>
      <c r="D62" s="19">
        <f>IFERROR(tblCustomers[[#This Row],[Age]],"")</f>
        <v>25</v>
      </c>
      <c r="E62" s="19" t="str">
        <f>IFERROR(PROPER(TRIM(tblCustomers[[#This Row],[City/Region]])),"")</f>
        <v>Lucknow</v>
      </c>
      <c r="F62" s="19">
        <f>IFERROR(tblCustomers[[#This Row],[IncomeRange]],"")</f>
        <v>48683</v>
      </c>
      <c r="G62" s="19" t="str">
        <f>IFERROR(PROPER(TRIM(tblCustomers[[#This Row],[Occupation]])),"")</f>
        <v>Teacher</v>
      </c>
      <c r="H62" s="20">
        <f>IFERROR(tblCustomers[[#This Row],[JoinDate]],"")</f>
        <v>45622</v>
      </c>
      <c r="I62" s="19" t="str">
        <f>IFERROR(PROPER(TRIM(tblCustomers[[#This Row],[PurchaseChannel]])),"")</f>
        <v>Online</v>
      </c>
      <c r="J62" s="19" t="str">
        <f>IFERROR(PROPER(TRIM(tblCustomers[[#This Row],[CustomerType]])),"")</f>
        <v>Returning</v>
      </c>
      <c r="K62" s="19" t="str">
        <f>IFERROR(PROPER(TRIM(tblCustomers[[#This Row],[EngagementLevel]])),"")</f>
        <v>High</v>
      </c>
      <c r="L62" s="19" t="str">
        <f>IFERROR(PROPER(TRIM(tblCustomers[[#This Row],[DiscountSensitivity]])),"")</f>
        <v>Low</v>
      </c>
      <c r="M62" s="20">
        <f>IFERROR(tblCustomers[[#This Row],[LastPurchaseDate]],"")</f>
        <v>46096</v>
      </c>
      <c r="N62" s="19" t="str">
        <f>IFERROR(IF(tblCustomers[[#This Row],[Age]]&lt;25,"&lt;25",IF(tblCustomers[[#This Row],[Age]]&lt;40,"25-39",IF(tblCustomers[[#This Row],[Age]]&lt;55,"40-54","55+"))),"N/A")</f>
        <v>25-39</v>
      </c>
      <c r="O62" s="19" t="str">
        <f>IFERROR(IF(tblCustomers[[#This Row],[IncomeRange]]&lt;25000,"Low",IF(tblCustomers[[#This Row],[IncomeRange]]&lt;75000,"Mid","High")),"N/A")</f>
        <v>Mid</v>
      </c>
      <c r="P62" s="19" t="str">
        <f>IFERROR(TEXT(tblCustomers[[#This Row],[JoinDate]],"DDDD"),"")</f>
        <v>Tuesday</v>
      </c>
      <c r="Q62" s="21" t="b">
        <f>IFERROR(IF(WEEKDAY(tblCustomers[[#This Row],[JoinDate]],2)&gt;=6,TRUE(),FALSE()),FALSE())</f>
        <v>0</v>
      </c>
      <c r="R62" s="19">
        <f ca="1">IFERROR(DATEDIF(tblCustomers[[#This Row],[JoinDate]],TODAY(),"M"),0)</f>
        <v>16</v>
      </c>
      <c r="S62" s="19" t="str">
        <f>IFERROR(IF(AND(tblCustomers[[#This Row],[Age]]&gt;=18,tblCustomers[[#This Row],[IncomeRange]]&gt;0,tblCustomers[[#This Row],[CustomerID]]&lt;&gt;""),"OK","CHECK"),"CHECK")</f>
        <v>OK</v>
      </c>
    </row>
    <row r="63" spans="1:19" ht="15" customHeight="1" x14ac:dyDescent="0.3">
      <c r="A63" s="16" t="str">
        <f>IFERROR(TRIM(tblCustomers[[#This Row],[CustomerID]]),"")</f>
        <v>C0061</v>
      </c>
      <c r="B63" s="16" t="str">
        <f>IFERROR(PROPER(TRIM(tblCustomers[[#This Row],[Name]])),"")</f>
        <v>Anjali Tiwari</v>
      </c>
      <c r="C63" s="16" t="str">
        <f>IFERROR(PROPER(TRIM(tblCustomers[[#This Row],[Gender]])),"")</f>
        <v>Female</v>
      </c>
      <c r="D63" s="16">
        <f>IFERROR(tblCustomers[[#This Row],[Age]],"")</f>
        <v>27</v>
      </c>
      <c r="E63" s="16" t="str">
        <f>IFERROR(PROPER(TRIM(tblCustomers[[#This Row],[City/Region]])),"")</f>
        <v>Kochi</v>
      </c>
      <c r="F63" s="16">
        <f>IFERROR(tblCustomers[[#This Row],[IncomeRange]],"")</f>
        <v>107500</v>
      </c>
      <c r="G63" s="16" t="str">
        <f>IFERROR(PROPER(TRIM(tblCustomers[[#This Row],[Occupation]])),"")</f>
        <v>Student</v>
      </c>
      <c r="H63" s="17">
        <f>IFERROR(tblCustomers[[#This Row],[JoinDate]],"")</f>
        <v>45706</v>
      </c>
      <c r="I63" s="16" t="str">
        <f>IFERROR(PROPER(TRIM(tblCustomers[[#This Row],[PurchaseChannel]])),"")</f>
        <v>Online</v>
      </c>
      <c r="J63" s="16" t="str">
        <f>IFERROR(PROPER(TRIM(tblCustomers[[#This Row],[CustomerType]])),"")</f>
        <v>Returning</v>
      </c>
      <c r="K63" s="16" t="str">
        <f>IFERROR(PROPER(TRIM(tblCustomers[[#This Row],[EngagementLevel]])),"")</f>
        <v>High</v>
      </c>
      <c r="L63" s="16" t="str">
        <f>IFERROR(PROPER(TRIM(tblCustomers[[#This Row],[DiscountSensitivity]])),"")</f>
        <v>Medium</v>
      </c>
      <c r="M63" s="17">
        <f>IFERROR(tblCustomers[[#This Row],[LastPurchaseDate]],"")</f>
        <v>45773</v>
      </c>
      <c r="N63" s="16" t="str">
        <f>IFERROR(IF(tblCustomers[[#This Row],[Age]]&lt;25,"&lt;25",IF(tblCustomers[[#This Row],[Age]]&lt;40,"25-39",IF(tblCustomers[[#This Row],[Age]]&lt;55,"40-54","55+"))),"N/A")</f>
        <v>25-39</v>
      </c>
      <c r="O63" s="16" t="str">
        <f>IFERROR(IF(tblCustomers[[#This Row],[IncomeRange]]&lt;25000,"Low",IF(tblCustomers[[#This Row],[IncomeRange]]&lt;75000,"Mid","High")),"N/A")</f>
        <v>High</v>
      </c>
      <c r="P63" s="16" t="str">
        <f>IFERROR(TEXT(tblCustomers[[#This Row],[JoinDate]],"DDDD"),"")</f>
        <v>Tuesday</v>
      </c>
      <c r="Q63" s="18" t="b">
        <f>IFERROR(IF(WEEKDAY(tblCustomers[[#This Row],[JoinDate]],2)&gt;=6,TRUE(),FALSE()),FALSE())</f>
        <v>0</v>
      </c>
      <c r="R63" s="16">
        <f ca="1">IFERROR(DATEDIF(tblCustomers[[#This Row],[JoinDate]],TODAY(),"M"),0)</f>
        <v>13</v>
      </c>
      <c r="S63" s="16" t="str">
        <f>IFERROR(IF(AND(tblCustomers[[#This Row],[Age]]&gt;=18,tblCustomers[[#This Row],[IncomeRange]]&gt;0,tblCustomers[[#This Row],[CustomerID]]&lt;&gt;""),"OK","CHECK"),"CHECK")</f>
        <v>OK</v>
      </c>
    </row>
    <row r="64" spans="1:19" ht="15" customHeight="1" x14ac:dyDescent="0.3">
      <c r="A64" s="19" t="str">
        <f>IFERROR(TRIM(tblCustomers[[#This Row],[CustomerID]]),"")</f>
        <v>C0062</v>
      </c>
      <c r="B64" s="19" t="str">
        <f>IFERROR(PROPER(TRIM(tblCustomers[[#This Row],[Name]])),"")</f>
        <v>Swati Saxena</v>
      </c>
      <c r="C64" s="19" t="str">
        <f>IFERROR(PROPER(TRIM(tblCustomers[[#This Row],[Gender]])),"")</f>
        <v>Female</v>
      </c>
      <c r="D64" s="19">
        <f>IFERROR(tblCustomers[[#This Row],[Age]],"")</f>
        <v>51</v>
      </c>
      <c r="E64" s="19" t="str">
        <f>IFERROR(PROPER(TRIM(tblCustomers[[#This Row],[City/Region]])),"")</f>
        <v>Lucknow</v>
      </c>
      <c r="F64" s="19">
        <f>IFERROR(tblCustomers[[#This Row],[IncomeRange]],"")</f>
        <v>128864</v>
      </c>
      <c r="G64" s="19" t="str">
        <f>IFERROR(PROPER(TRIM(tblCustomers[[#This Row],[Occupation]])),"")</f>
        <v>Entrepreneur</v>
      </c>
      <c r="H64" s="20">
        <f>IFERROR(tblCustomers[[#This Row],[JoinDate]],"")</f>
        <v>45684</v>
      </c>
      <c r="I64" s="19" t="str">
        <f>IFERROR(PROPER(TRIM(tblCustomers[[#This Row],[PurchaseChannel]])),"")</f>
        <v>Online</v>
      </c>
      <c r="J64" s="19" t="str">
        <f>IFERROR(PROPER(TRIM(tblCustomers[[#This Row],[CustomerType]])),"")</f>
        <v>New</v>
      </c>
      <c r="K64" s="19" t="str">
        <f>IFERROR(PROPER(TRIM(tblCustomers[[#This Row],[EngagementLevel]])),"")</f>
        <v>High</v>
      </c>
      <c r="L64" s="19" t="str">
        <f>IFERROR(PROPER(TRIM(tblCustomers[[#This Row],[DiscountSensitivity]])),"")</f>
        <v>Medium</v>
      </c>
      <c r="M64" s="20">
        <f>IFERROR(tblCustomers[[#This Row],[LastPurchaseDate]],"")</f>
        <v>45752</v>
      </c>
      <c r="N64" s="19" t="str">
        <f>IFERROR(IF(tblCustomers[[#This Row],[Age]]&lt;25,"&lt;25",IF(tblCustomers[[#This Row],[Age]]&lt;40,"25-39",IF(tblCustomers[[#This Row],[Age]]&lt;55,"40-54","55+"))),"N/A")</f>
        <v>40-54</v>
      </c>
      <c r="O64" s="19" t="str">
        <f>IFERROR(IF(tblCustomers[[#This Row],[IncomeRange]]&lt;25000,"Low",IF(tblCustomers[[#This Row],[IncomeRange]]&lt;75000,"Mid","High")),"N/A")</f>
        <v>High</v>
      </c>
      <c r="P64" s="19" t="str">
        <f>IFERROR(TEXT(tblCustomers[[#This Row],[JoinDate]],"DDDD"),"")</f>
        <v>Monday</v>
      </c>
      <c r="Q64" s="21" t="b">
        <f>IFERROR(IF(WEEKDAY(tblCustomers[[#This Row],[JoinDate]],2)&gt;=6,TRUE(),FALSE()),FALSE())</f>
        <v>0</v>
      </c>
      <c r="R64" s="19">
        <f ca="1">IFERROR(DATEDIF(tblCustomers[[#This Row],[JoinDate]],TODAY(),"M"),0)</f>
        <v>14</v>
      </c>
      <c r="S64" s="19" t="str">
        <f>IFERROR(IF(AND(tblCustomers[[#This Row],[Age]]&gt;=18,tblCustomers[[#This Row],[IncomeRange]]&gt;0,tblCustomers[[#This Row],[CustomerID]]&lt;&gt;""),"OK","CHECK"),"CHECK")</f>
        <v>OK</v>
      </c>
    </row>
    <row r="65" spans="1:19" ht="15" customHeight="1" x14ac:dyDescent="0.3">
      <c r="A65" s="16" t="str">
        <f>IFERROR(TRIM(tblCustomers[[#This Row],[CustomerID]]),"")</f>
        <v>C0063</v>
      </c>
      <c r="B65" s="16" t="str">
        <f>IFERROR(PROPER(TRIM(tblCustomers[[#This Row],[Name]])),"")</f>
        <v>Ritu Yadav</v>
      </c>
      <c r="C65" s="16" t="str">
        <f>IFERROR(PROPER(TRIM(tblCustomers[[#This Row],[Gender]])),"")</f>
        <v>Female</v>
      </c>
      <c r="D65" s="16">
        <f>IFERROR(tblCustomers[[#This Row],[Age]],"")</f>
        <v>34</v>
      </c>
      <c r="E65" s="16" t="str">
        <f>IFERROR(PROPER(TRIM(tblCustomers[[#This Row],[City/Region]])),"")</f>
        <v>Ahmedabad</v>
      </c>
      <c r="F65" s="16">
        <f>IFERROR(tblCustomers[[#This Row],[IncomeRange]],"")</f>
        <v>120376</v>
      </c>
      <c r="G65" s="16" t="str">
        <f>IFERROR(PROPER(TRIM(tblCustomers[[#This Row],[Occupation]])),"")</f>
        <v>Operations Manager</v>
      </c>
      <c r="H65" s="17">
        <f>IFERROR(tblCustomers[[#This Row],[JoinDate]],"")</f>
        <v>45629</v>
      </c>
      <c r="I65" s="16" t="str">
        <f>IFERROR(PROPER(TRIM(tblCustomers[[#This Row],[PurchaseChannel]])),"")</f>
        <v>Online</v>
      </c>
      <c r="J65" s="16" t="str">
        <f>IFERROR(PROPER(TRIM(tblCustomers[[#This Row],[CustomerType]])),"")</f>
        <v>New</v>
      </c>
      <c r="K65" s="16" t="str">
        <f>IFERROR(PROPER(TRIM(tblCustomers[[#This Row],[EngagementLevel]])),"")</f>
        <v>Medium</v>
      </c>
      <c r="L65" s="16" t="str">
        <f>IFERROR(PROPER(TRIM(tblCustomers[[#This Row],[DiscountSensitivity]])),"")</f>
        <v>High</v>
      </c>
      <c r="M65" s="17">
        <f>IFERROR(tblCustomers[[#This Row],[LastPurchaseDate]],"")</f>
        <v>46069</v>
      </c>
      <c r="N65" s="16" t="str">
        <f>IFERROR(IF(tblCustomers[[#This Row],[Age]]&lt;25,"&lt;25",IF(tblCustomers[[#This Row],[Age]]&lt;40,"25-39",IF(tblCustomers[[#This Row],[Age]]&lt;55,"40-54","55+"))),"N/A")</f>
        <v>25-39</v>
      </c>
      <c r="O65" s="16" t="str">
        <f>IFERROR(IF(tblCustomers[[#This Row],[IncomeRange]]&lt;25000,"Low",IF(tblCustomers[[#This Row],[IncomeRange]]&lt;75000,"Mid","High")),"N/A")</f>
        <v>High</v>
      </c>
      <c r="P65" s="16" t="str">
        <f>IFERROR(TEXT(tblCustomers[[#This Row],[JoinDate]],"DDDD"),"")</f>
        <v>Tuesday</v>
      </c>
      <c r="Q65" s="18" t="b">
        <f>IFERROR(IF(WEEKDAY(tblCustomers[[#This Row],[JoinDate]],2)&gt;=6,TRUE(),FALSE()),FALSE())</f>
        <v>0</v>
      </c>
      <c r="R65" s="16">
        <f ca="1">IFERROR(DATEDIF(tblCustomers[[#This Row],[JoinDate]],TODAY(),"M"),0)</f>
        <v>16</v>
      </c>
      <c r="S65" s="16" t="str">
        <f>IFERROR(IF(AND(tblCustomers[[#This Row],[Age]]&gt;=18,tblCustomers[[#This Row],[IncomeRange]]&gt;0,tblCustomers[[#This Row],[CustomerID]]&lt;&gt;""),"OK","CHECK"),"CHECK")</f>
        <v>OK</v>
      </c>
    </row>
    <row r="66" spans="1:19" ht="15" customHeight="1" x14ac:dyDescent="0.3">
      <c r="A66" s="19" t="str">
        <f>IFERROR(TRIM(tblCustomers[[#This Row],[CustomerID]]),"")</f>
        <v>C0064</v>
      </c>
      <c r="B66" s="19" t="str">
        <f>IFERROR(PROPER(TRIM(tblCustomers[[#This Row],[Name]])),"")</f>
        <v>Sneha Mishra</v>
      </c>
      <c r="C66" s="19" t="str">
        <f>IFERROR(PROPER(TRIM(tblCustomers[[#This Row],[Gender]])),"")</f>
        <v>Female</v>
      </c>
      <c r="D66" s="19">
        <f>IFERROR(tblCustomers[[#This Row],[Age]],"")</f>
        <v>34</v>
      </c>
      <c r="E66" s="19" t="str">
        <f>IFERROR(PROPER(TRIM(tblCustomers[[#This Row],[City/Region]])),"")</f>
        <v>Ahmedabad</v>
      </c>
      <c r="F66" s="19">
        <f>IFERROR(tblCustomers[[#This Row],[IncomeRange]],"")</f>
        <v>64020</v>
      </c>
      <c r="G66" s="19" t="str">
        <f>IFERROR(PROPER(TRIM(tblCustomers[[#This Row],[Occupation]])),"")</f>
        <v>Sales Executive</v>
      </c>
      <c r="H66" s="20">
        <f>IFERROR(tblCustomers[[#This Row],[JoinDate]],"")</f>
        <v>45668</v>
      </c>
      <c r="I66" s="19" t="str">
        <f>IFERROR(PROPER(TRIM(tblCustomers[[#This Row],[PurchaseChannel]])),"")</f>
        <v>Online</v>
      </c>
      <c r="J66" s="19" t="str">
        <f>IFERROR(PROPER(TRIM(tblCustomers[[#This Row],[CustomerType]])),"")</f>
        <v>New</v>
      </c>
      <c r="K66" s="19" t="str">
        <f>IFERROR(PROPER(TRIM(tblCustomers[[#This Row],[EngagementLevel]])),"")</f>
        <v>Medium</v>
      </c>
      <c r="L66" s="19" t="str">
        <f>IFERROR(PROPER(TRIM(tblCustomers[[#This Row],[DiscountSensitivity]])),"")</f>
        <v>Low</v>
      </c>
      <c r="M66" s="20">
        <f>IFERROR(tblCustomers[[#This Row],[LastPurchaseDate]],"")</f>
        <v>46069</v>
      </c>
      <c r="N66" s="19" t="str">
        <f>IFERROR(IF(tblCustomers[[#This Row],[Age]]&lt;25,"&lt;25",IF(tblCustomers[[#This Row],[Age]]&lt;40,"25-39",IF(tblCustomers[[#This Row],[Age]]&lt;55,"40-54","55+"))),"N/A")</f>
        <v>25-39</v>
      </c>
      <c r="O66" s="19" t="str">
        <f>IFERROR(IF(tblCustomers[[#This Row],[IncomeRange]]&lt;25000,"Low",IF(tblCustomers[[#This Row],[IncomeRange]]&lt;75000,"Mid","High")),"N/A")</f>
        <v>Mid</v>
      </c>
      <c r="P66" s="19" t="str">
        <f>IFERROR(TEXT(tblCustomers[[#This Row],[JoinDate]],"DDDD"),"")</f>
        <v>Saturday</v>
      </c>
      <c r="Q66" s="21" t="b">
        <f>IFERROR(IF(WEEKDAY(tblCustomers[[#This Row],[JoinDate]],2)&gt;=6,TRUE(),FALSE()),FALSE())</f>
        <v>1</v>
      </c>
      <c r="R66" s="19">
        <f ca="1">IFERROR(DATEDIF(tblCustomers[[#This Row],[JoinDate]],TODAY(),"M"),0)</f>
        <v>15</v>
      </c>
      <c r="S66" s="19" t="str">
        <f>IFERROR(IF(AND(tblCustomers[[#This Row],[Age]]&gt;=18,tblCustomers[[#This Row],[IncomeRange]]&gt;0,tblCustomers[[#This Row],[CustomerID]]&lt;&gt;""),"OK","CHECK"),"CHECK")</f>
        <v>OK</v>
      </c>
    </row>
    <row r="67" spans="1:19" ht="15" customHeight="1" x14ac:dyDescent="0.3">
      <c r="A67" s="16" t="str">
        <f>IFERROR(TRIM(tblCustomers[[#This Row],[CustomerID]]),"")</f>
        <v>C0065</v>
      </c>
      <c r="B67" s="16" t="str">
        <f>IFERROR(PROPER(TRIM(tblCustomers[[#This Row],[Name]])),"")</f>
        <v>Preeti Chopra</v>
      </c>
      <c r="C67" s="16" t="str">
        <f>IFERROR(PROPER(TRIM(tblCustomers[[#This Row],[Gender]])),"")</f>
        <v>Female</v>
      </c>
      <c r="D67" s="16">
        <f>IFERROR(tblCustomers[[#This Row],[Age]],"")</f>
        <v>32</v>
      </c>
      <c r="E67" s="16" t="str">
        <f>IFERROR(PROPER(TRIM(tblCustomers[[#This Row],[City/Region]])),"")</f>
        <v>Bangalore</v>
      </c>
      <c r="F67" s="16">
        <f>IFERROR(tblCustomers[[#This Row],[IncomeRange]],"")</f>
        <v>74377</v>
      </c>
      <c r="G67" s="16" t="str">
        <f>IFERROR(PROPER(TRIM(tblCustomers[[#This Row],[Occupation]])),"")</f>
        <v>Hr Manager</v>
      </c>
      <c r="H67" s="17">
        <f>IFERROR(tblCustomers[[#This Row],[JoinDate]],"")</f>
        <v>45239</v>
      </c>
      <c r="I67" s="16" t="str">
        <f>IFERROR(PROPER(TRIM(tblCustomers[[#This Row],[PurchaseChannel]])),"")</f>
        <v>Online</v>
      </c>
      <c r="J67" s="16" t="str">
        <f>IFERROR(PROPER(TRIM(tblCustomers[[#This Row],[CustomerType]])),"")</f>
        <v>Returning</v>
      </c>
      <c r="K67" s="16" t="str">
        <f>IFERROR(PROPER(TRIM(tblCustomers[[#This Row],[EngagementLevel]])),"")</f>
        <v>Low</v>
      </c>
      <c r="L67" s="16" t="str">
        <f>IFERROR(PROPER(TRIM(tblCustomers[[#This Row],[DiscountSensitivity]])),"")</f>
        <v>Medium</v>
      </c>
      <c r="M67" s="17">
        <f>IFERROR(tblCustomers[[#This Row],[LastPurchaseDate]],"")</f>
        <v>46058</v>
      </c>
      <c r="N67" s="16" t="str">
        <f>IFERROR(IF(tblCustomers[[#This Row],[Age]]&lt;25,"&lt;25",IF(tblCustomers[[#This Row],[Age]]&lt;40,"25-39",IF(tblCustomers[[#This Row],[Age]]&lt;55,"40-54","55+"))),"N/A")</f>
        <v>25-39</v>
      </c>
      <c r="O67" s="16" t="str">
        <f>IFERROR(IF(tblCustomers[[#This Row],[IncomeRange]]&lt;25000,"Low",IF(tblCustomers[[#This Row],[IncomeRange]]&lt;75000,"Mid","High")),"N/A")</f>
        <v>Mid</v>
      </c>
      <c r="P67" s="16" t="str">
        <f>IFERROR(TEXT(tblCustomers[[#This Row],[JoinDate]],"DDDD"),"")</f>
        <v>Thursday</v>
      </c>
      <c r="Q67" s="18" t="b">
        <f>IFERROR(IF(WEEKDAY(tblCustomers[[#This Row],[JoinDate]],2)&gt;=6,TRUE(),FALSE()),FALSE())</f>
        <v>0</v>
      </c>
      <c r="R67" s="16">
        <f ca="1">IFERROR(DATEDIF(tblCustomers[[#This Row],[JoinDate]],TODAY(),"M"),0)</f>
        <v>29</v>
      </c>
      <c r="S67" s="16" t="str">
        <f>IFERROR(IF(AND(tblCustomers[[#This Row],[Age]]&gt;=18,tblCustomers[[#This Row],[IncomeRange]]&gt;0,tblCustomers[[#This Row],[CustomerID]]&lt;&gt;""),"OK","CHECK"),"CHECK")</f>
        <v>OK</v>
      </c>
    </row>
    <row r="68" spans="1:19" ht="15" customHeight="1" x14ac:dyDescent="0.3">
      <c r="A68" s="19" t="str">
        <f>IFERROR(TRIM(tblCustomers[[#This Row],[CustomerID]]),"")</f>
        <v>C0066</v>
      </c>
      <c r="B68" s="19" t="str">
        <f>IFERROR(PROPER(TRIM(tblCustomers[[#This Row],[Name]])),"")</f>
        <v>Nandini Reddy</v>
      </c>
      <c r="C68" s="19" t="str">
        <f>IFERROR(PROPER(TRIM(tblCustomers[[#This Row],[Gender]])),"")</f>
        <v>Female</v>
      </c>
      <c r="D68" s="19">
        <f>IFERROR(tblCustomers[[#This Row],[Age]],"")</f>
        <v>56</v>
      </c>
      <c r="E68" s="19" t="str">
        <f>IFERROR(PROPER(TRIM(tblCustomers[[#This Row],[City/Region]])),"")</f>
        <v>Delhi</v>
      </c>
      <c r="F68" s="19">
        <f>IFERROR(tblCustomers[[#This Row],[IncomeRange]],"")</f>
        <v>132293</v>
      </c>
      <c r="G68" s="19" t="str">
        <f>IFERROR(PROPER(TRIM(tblCustomers[[#This Row],[Occupation]])),"")</f>
        <v>Entrepreneur</v>
      </c>
      <c r="H68" s="20">
        <f>IFERROR(tblCustomers[[#This Row],[JoinDate]],"")</f>
        <v>45741</v>
      </c>
      <c r="I68" s="19" t="str">
        <f>IFERROR(PROPER(TRIM(tblCustomers[[#This Row],[PurchaseChannel]])),"")</f>
        <v>Online</v>
      </c>
      <c r="J68" s="19" t="str">
        <f>IFERROR(PROPER(TRIM(tblCustomers[[#This Row],[CustomerType]])),"")</f>
        <v>New</v>
      </c>
      <c r="K68" s="19" t="str">
        <f>IFERROR(PROPER(TRIM(tblCustomers[[#This Row],[EngagementLevel]])),"")</f>
        <v>Medium</v>
      </c>
      <c r="L68" s="19" t="str">
        <f>IFERROR(PROPER(TRIM(tblCustomers[[#This Row],[DiscountSensitivity]])),"")</f>
        <v>High</v>
      </c>
      <c r="M68" s="20">
        <f>IFERROR(tblCustomers[[#This Row],[LastPurchaseDate]],"")</f>
        <v>46099</v>
      </c>
      <c r="N68" s="19" t="str">
        <f>IFERROR(IF(tblCustomers[[#This Row],[Age]]&lt;25,"&lt;25",IF(tblCustomers[[#This Row],[Age]]&lt;40,"25-39",IF(tblCustomers[[#This Row],[Age]]&lt;55,"40-54","55+"))),"N/A")</f>
        <v>55+</v>
      </c>
      <c r="O68" s="19" t="str">
        <f>IFERROR(IF(tblCustomers[[#This Row],[IncomeRange]]&lt;25000,"Low",IF(tblCustomers[[#This Row],[IncomeRange]]&lt;75000,"Mid","High")),"N/A")</f>
        <v>High</v>
      </c>
      <c r="P68" s="19" t="str">
        <f>IFERROR(TEXT(tblCustomers[[#This Row],[JoinDate]],"DDDD"),"")</f>
        <v>Tuesday</v>
      </c>
      <c r="Q68" s="21" t="b">
        <f>IFERROR(IF(WEEKDAY(tblCustomers[[#This Row],[JoinDate]],2)&gt;=6,TRUE(),FALSE()),FALSE())</f>
        <v>0</v>
      </c>
      <c r="R68" s="19">
        <f ca="1">IFERROR(DATEDIF(tblCustomers[[#This Row],[JoinDate]],TODAY(),"M"),0)</f>
        <v>12</v>
      </c>
      <c r="S68" s="19" t="str">
        <f>IFERROR(IF(AND(tblCustomers[[#This Row],[Age]]&gt;=18,tblCustomers[[#This Row],[IncomeRange]]&gt;0,tblCustomers[[#This Row],[CustomerID]]&lt;&gt;""),"OK","CHECK"),"CHECK")</f>
        <v>OK</v>
      </c>
    </row>
    <row r="69" spans="1:19" ht="15" customHeight="1" x14ac:dyDescent="0.3">
      <c r="A69" s="16" t="str">
        <f>IFERROR(TRIM(tblCustomers[[#This Row],[CustomerID]]),"")</f>
        <v>C0067</v>
      </c>
      <c r="B69" s="16" t="str">
        <f>IFERROR(PROPER(TRIM(tblCustomers[[#This Row],[Name]])),"")</f>
        <v>Uma Iyer</v>
      </c>
      <c r="C69" s="16" t="str">
        <f>IFERROR(PROPER(TRIM(tblCustomers[[#This Row],[Gender]])),"")</f>
        <v>Female</v>
      </c>
      <c r="D69" s="16">
        <f>IFERROR(tblCustomers[[#This Row],[Age]],"")</f>
        <v>45</v>
      </c>
      <c r="E69" s="16" t="str">
        <f>IFERROR(PROPER(TRIM(tblCustomers[[#This Row],[City/Region]])),"")</f>
        <v>Indore</v>
      </c>
      <c r="F69" s="16">
        <f>IFERROR(tblCustomers[[#This Row],[IncomeRange]],"")</f>
        <v>117978</v>
      </c>
      <c r="G69" s="16" t="str">
        <f>IFERROR(PROPER(TRIM(tblCustomers[[#This Row],[Occupation]])),"")</f>
        <v>Finance Analyst</v>
      </c>
      <c r="H69" s="17">
        <f>IFERROR(tblCustomers[[#This Row],[JoinDate]],"")</f>
        <v>45680</v>
      </c>
      <c r="I69" s="16" t="str">
        <f>IFERROR(PROPER(TRIM(tblCustomers[[#This Row],[PurchaseChannel]])),"")</f>
        <v>Offline</v>
      </c>
      <c r="J69" s="16" t="str">
        <f>IFERROR(PROPER(TRIM(tblCustomers[[#This Row],[CustomerType]])),"")</f>
        <v>Returning</v>
      </c>
      <c r="K69" s="16" t="str">
        <f>IFERROR(PROPER(TRIM(tblCustomers[[#This Row],[EngagementLevel]])),"")</f>
        <v>Medium</v>
      </c>
      <c r="L69" s="16" t="str">
        <f>IFERROR(PROPER(TRIM(tblCustomers[[#This Row],[DiscountSensitivity]])),"")</f>
        <v>Medium</v>
      </c>
      <c r="M69" s="17">
        <f>IFERROR(tblCustomers[[#This Row],[LastPurchaseDate]],"")</f>
        <v>46097</v>
      </c>
      <c r="N69" s="16" t="str">
        <f>IFERROR(IF(tblCustomers[[#This Row],[Age]]&lt;25,"&lt;25",IF(tblCustomers[[#This Row],[Age]]&lt;40,"25-39",IF(tblCustomers[[#This Row],[Age]]&lt;55,"40-54","55+"))),"N/A")</f>
        <v>40-54</v>
      </c>
      <c r="O69" s="16" t="str">
        <f>IFERROR(IF(tblCustomers[[#This Row],[IncomeRange]]&lt;25000,"Low",IF(tblCustomers[[#This Row],[IncomeRange]]&lt;75000,"Mid","High")),"N/A")</f>
        <v>High</v>
      </c>
      <c r="P69" s="16" t="str">
        <f>IFERROR(TEXT(tblCustomers[[#This Row],[JoinDate]],"DDDD"),"")</f>
        <v>Thursday</v>
      </c>
      <c r="Q69" s="18" t="b">
        <f>IFERROR(IF(WEEKDAY(tblCustomers[[#This Row],[JoinDate]],2)&gt;=6,TRUE(),FALSE()),FALSE())</f>
        <v>0</v>
      </c>
      <c r="R69" s="16">
        <f ca="1">IFERROR(DATEDIF(tblCustomers[[#This Row],[JoinDate]],TODAY(),"M"),0)</f>
        <v>14</v>
      </c>
      <c r="S69" s="16" t="str">
        <f>IFERROR(IF(AND(tblCustomers[[#This Row],[Age]]&gt;=18,tblCustomers[[#This Row],[IncomeRange]]&gt;0,tblCustomers[[#This Row],[CustomerID]]&lt;&gt;""),"OK","CHECK"),"CHECK")</f>
        <v>OK</v>
      </c>
    </row>
    <row r="70" spans="1:19" ht="15" customHeight="1" x14ac:dyDescent="0.3">
      <c r="A70" s="19" t="str">
        <f>IFERROR(TRIM(tblCustomers[[#This Row],[CustomerID]]),"")</f>
        <v>C0068</v>
      </c>
      <c r="B70" s="19" t="str">
        <f>IFERROR(PROPER(TRIM(tblCustomers[[#This Row],[Name]])),"")</f>
        <v>Deepika Dubey</v>
      </c>
      <c r="C70" s="19" t="str">
        <f>IFERROR(PROPER(TRIM(tblCustomers[[#This Row],[Gender]])),"")</f>
        <v>Female</v>
      </c>
      <c r="D70" s="19">
        <f>IFERROR(tblCustomers[[#This Row],[Age]],"")</f>
        <v>50</v>
      </c>
      <c r="E70" s="19" t="str">
        <f>IFERROR(PROPER(TRIM(tblCustomers[[#This Row],[City/Region]])),"")</f>
        <v>Delhi</v>
      </c>
      <c r="F70" s="19">
        <f>IFERROR(tblCustomers[[#This Row],[IncomeRange]],"")</f>
        <v>70968</v>
      </c>
      <c r="G70" s="19" t="str">
        <f>IFERROR(PROPER(TRIM(tblCustomers[[#This Row],[Occupation]])),"")</f>
        <v>Sales Executive</v>
      </c>
      <c r="H70" s="20">
        <f>IFERROR(tblCustomers[[#This Row],[JoinDate]],"")</f>
        <v>45390</v>
      </c>
      <c r="I70" s="19" t="str">
        <f>IFERROR(PROPER(TRIM(tblCustomers[[#This Row],[PurchaseChannel]])),"")</f>
        <v>Offline</v>
      </c>
      <c r="J70" s="19" t="str">
        <f>IFERROR(PROPER(TRIM(tblCustomers[[#This Row],[CustomerType]])),"")</f>
        <v>Returning</v>
      </c>
      <c r="K70" s="19" t="str">
        <f>IFERROR(PROPER(TRIM(tblCustomers[[#This Row],[EngagementLevel]])),"")</f>
        <v>High</v>
      </c>
      <c r="L70" s="19" t="str">
        <f>IFERROR(PROPER(TRIM(tblCustomers[[#This Row],[DiscountSensitivity]])),"")</f>
        <v>High</v>
      </c>
      <c r="M70" s="20">
        <f>IFERROR(tblCustomers[[#This Row],[LastPurchaseDate]],"")</f>
        <v>45973</v>
      </c>
      <c r="N70" s="19" t="str">
        <f>IFERROR(IF(tblCustomers[[#This Row],[Age]]&lt;25,"&lt;25",IF(tblCustomers[[#This Row],[Age]]&lt;40,"25-39",IF(tblCustomers[[#This Row],[Age]]&lt;55,"40-54","55+"))),"N/A")</f>
        <v>40-54</v>
      </c>
      <c r="O70" s="19" t="str">
        <f>IFERROR(IF(tblCustomers[[#This Row],[IncomeRange]]&lt;25000,"Low",IF(tblCustomers[[#This Row],[IncomeRange]]&lt;75000,"Mid","High")),"N/A")</f>
        <v>Mid</v>
      </c>
      <c r="P70" s="19" t="str">
        <f>IFERROR(TEXT(tblCustomers[[#This Row],[JoinDate]],"DDDD"),"")</f>
        <v>Monday</v>
      </c>
      <c r="Q70" s="21" t="b">
        <f>IFERROR(IF(WEEKDAY(tblCustomers[[#This Row],[JoinDate]],2)&gt;=6,TRUE(),FALSE()),FALSE())</f>
        <v>0</v>
      </c>
      <c r="R70" s="19">
        <f ca="1">IFERROR(DATEDIF(tblCustomers[[#This Row],[JoinDate]],TODAY(),"M"),0)</f>
        <v>24</v>
      </c>
      <c r="S70" s="19" t="str">
        <f>IFERROR(IF(AND(tblCustomers[[#This Row],[Age]]&gt;=18,tblCustomers[[#This Row],[IncomeRange]]&gt;0,tblCustomers[[#This Row],[CustomerID]]&lt;&gt;""),"OK","CHECK"),"CHECK")</f>
        <v>OK</v>
      </c>
    </row>
    <row r="71" spans="1:19" ht="15" customHeight="1" x14ac:dyDescent="0.3">
      <c r="A71" s="16" t="str">
        <f>IFERROR(TRIM(tblCustomers[[#This Row],[CustomerID]]),"")</f>
        <v>C0069</v>
      </c>
      <c r="B71" s="16" t="str">
        <f>IFERROR(PROPER(TRIM(tblCustomers[[#This Row],[Name]])),"")</f>
        <v>Pallavi Pandey</v>
      </c>
      <c r="C71" s="16" t="str">
        <f>IFERROR(PROPER(TRIM(tblCustomers[[#This Row],[Gender]])),"")</f>
        <v>Female</v>
      </c>
      <c r="D71" s="16">
        <f>IFERROR(tblCustomers[[#This Row],[Age]],"")</f>
        <v>53</v>
      </c>
      <c r="E71" s="16" t="str">
        <f>IFERROR(PROPER(TRIM(tblCustomers[[#This Row],[City/Region]])),"")</f>
        <v>Delhi</v>
      </c>
      <c r="F71" s="16">
        <f>IFERROR(tblCustomers[[#This Row],[IncomeRange]],"")</f>
        <v>138872</v>
      </c>
      <c r="G71" s="16" t="str">
        <f>IFERROR(PROPER(TRIM(tblCustomers[[#This Row],[Occupation]])),"")</f>
        <v>Hr Manager</v>
      </c>
      <c r="H71" s="17">
        <f>IFERROR(tblCustomers[[#This Row],[JoinDate]],"")</f>
        <v>45717</v>
      </c>
      <c r="I71" s="16" t="str">
        <f>IFERROR(PROPER(TRIM(tblCustomers[[#This Row],[PurchaseChannel]])),"")</f>
        <v>Offline</v>
      </c>
      <c r="J71" s="16" t="str">
        <f>IFERROR(PROPER(TRIM(tblCustomers[[#This Row],[CustomerType]])),"")</f>
        <v>New</v>
      </c>
      <c r="K71" s="16" t="str">
        <f>IFERROR(PROPER(TRIM(tblCustomers[[#This Row],[EngagementLevel]])),"")</f>
        <v>Medium</v>
      </c>
      <c r="L71" s="16" t="str">
        <f>IFERROR(PROPER(TRIM(tblCustomers[[#This Row],[DiscountSensitivity]])),"")</f>
        <v>High</v>
      </c>
      <c r="M71" s="17">
        <f>IFERROR(tblCustomers[[#This Row],[LastPurchaseDate]],"")</f>
        <v>46056</v>
      </c>
      <c r="N71" s="16" t="str">
        <f>IFERROR(IF(tblCustomers[[#This Row],[Age]]&lt;25,"&lt;25",IF(tblCustomers[[#This Row],[Age]]&lt;40,"25-39",IF(tblCustomers[[#This Row],[Age]]&lt;55,"40-54","55+"))),"N/A")</f>
        <v>40-54</v>
      </c>
      <c r="O71" s="16" t="str">
        <f>IFERROR(IF(tblCustomers[[#This Row],[IncomeRange]]&lt;25000,"Low",IF(tblCustomers[[#This Row],[IncomeRange]]&lt;75000,"Mid","High")),"N/A")</f>
        <v>High</v>
      </c>
      <c r="P71" s="16" t="str">
        <f>IFERROR(TEXT(tblCustomers[[#This Row],[JoinDate]],"DDDD"),"")</f>
        <v>Saturday</v>
      </c>
      <c r="Q71" s="18" t="b">
        <f>IFERROR(IF(WEEKDAY(tblCustomers[[#This Row],[JoinDate]],2)&gt;=6,TRUE(),FALSE()),FALSE())</f>
        <v>1</v>
      </c>
      <c r="R71" s="16">
        <f ca="1">IFERROR(DATEDIF(tblCustomers[[#This Row],[JoinDate]],TODAY(),"M"),0)</f>
        <v>13</v>
      </c>
      <c r="S71" s="16" t="str">
        <f>IFERROR(IF(AND(tblCustomers[[#This Row],[Age]]&gt;=18,tblCustomers[[#This Row],[IncomeRange]]&gt;0,tblCustomers[[#This Row],[CustomerID]]&lt;&gt;""),"OK","CHECK"),"CHECK")</f>
        <v>OK</v>
      </c>
    </row>
    <row r="72" spans="1:19" ht="15" customHeight="1" x14ac:dyDescent="0.3">
      <c r="A72" s="19" t="str">
        <f>IFERROR(TRIM(tblCustomers[[#This Row],[CustomerID]]),"")</f>
        <v>C0070</v>
      </c>
      <c r="B72" s="19" t="str">
        <f>IFERROR(PROPER(TRIM(tblCustomers[[#This Row],[Name]])),"")</f>
        <v>Sonia Bhatia</v>
      </c>
      <c r="C72" s="19" t="str">
        <f>IFERROR(PROPER(TRIM(tblCustomers[[#This Row],[Gender]])),"")</f>
        <v>Female</v>
      </c>
      <c r="D72" s="19">
        <f>IFERROR(tblCustomers[[#This Row],[Age]],"")</f>
        <v>30</v>
      </c>
      <c r="E72" s="19" t="str">
        <f>IFERROR(PROPER(TRIM(tblCustomers[[#This Row],[City/Region]])),"")</f>
        <v>Mumbai</v>
      </c>
      <c r="F72" s="19">
        <f>IFERROR(tblCustomers[[#This Row],[IncomeRange]],"")</f>
        <v>54099</v>
      </c>
      <c r="G72" s="19" t="str">
        <f>IFERROR(PROPER(TRIM(tblCustomers[[#This Row],[Occupation]])),"")</f>
        <v>Hr Manager</v>
      </c>
      <c r="H72" s="20">
        <f>IFERROR(tblCustomers[[#This Row],[JoinDate]],"")</f>
        <v>45232</v>
      </c>
      <c r="I72" s="19" t="str">
        <f>IFERROR(PROPER(TRIM(tblCustomers[[#This Row],[PurchaseChannel]])),"")</f>
        <v>Online</v>
      </c>
      <c r="J72" s="19" t="str">
        <f>IFERROR(PROPER(TRIM(tblCustomers[[#This Row],[CustomerType]])),"")</f>
        <v>New</v>
      </c>
      <c r="K72" s="19" t="str">
        <f>IFERROR(PROPER(TRIM(tblCustomers[[#This Row],[EngagementLevel]])),"")</f>
        <v>High</v>
      </c>
      <c r="L72" s="19" t="str">
        <f>IFERROR(PROPER(TRIM(tblCustomers[[#This Row],[DiscountSensitivity]])),"")</f>
        <v>Medium</v>
      </c>
      <c r="M72" s="20">
        <f>IFERROR(tblCustomers[[#This Row],[LastPurchaseDate]],"")</f>
        <v>46058</v>
      </c>
      <c r="N72" s="19" t="str">
        <f>IFERROR(IF(tblCustomers[[#This Row],[Age]]&lt;25,"&lt;25",IF(tblCustomers[[#This Row],[Age]]&lt;40,"25-39",IF(tblCustomers[[#This Row],[Age]]&lt;55,"40-54","55+"))),"N/A")</f>
        <v>25-39</v>
      </c>
      <c r="O72" s="19" t="str">
        <f>IFERROR(IF(tblCustomers[[#This Row],[IncomeRange]]&lt;25000,"Low",IF(tblCustomers[[#This Row],[IncomeRange]]&lt;75000,"Mid","High")),"N/A")</f>
        <v>Mid</v>
      </c>
      <c r="P72" s="19" t="str">
        <f>IFERROR(TEXT(tblCustomers[[#This Row],[JoinDate]],"DDDD"),"")</f>
        <v>Thursday</v>
      </c>
      <c r="Q72" s="21" t="b">
        <f>IFERROR(IF(WEEKDAY(tblCustomers[[#This Row],[JoinDate]],2)&gt;=6,TRUE(),FALSE()),FALSE())</f>
        <v>0</v>
      </c>
      <c r="R72" s="19">
        <f ca="1">IFERROR(DATEDIF(tblCustomers[[#This Row],[JoinDate]],TODAY(),"M"),0)</f>
        <v>29</v>
      </c>
      <c r="S72" s="19" t="str">
        <f>IFERROR(IF(AND(tblCustomers[[#This Row],[Age]]&gt;=18,tblCustomers[[#This Row],[IncomeRange]]&gt;0,tblCustomers[[#This Row],[CustomerID]]&lt;&gt;""),"OK","CHECK"),"CHECK")</f>
        <v>OK</v>
      </c>
    </row>
    <row r="73" spans="1:19" ht="15" customHeight="1" x14ac:dyDescent="0.3">
      <c r="A73" s="16" t="str">
        <f>IFERROR(TRIM(tblCustomers[[#This Row],[CustomerID]]),"")</f>
        <v>C0071</v>
      </c>
      <c r="B73" s="16" t="str">
        <f>IFERROR(PROPER(TRIM(tblCustomers[[#This Row],[Name]])),"")</f>
        <v>Geeta Rao</v>
      </c>
      <c r="C73" s="16" t="str">
        <f>IFERROR(PROPER(TRIM(tblCustomers[[#This Row],[Gender]])),"")</f>
        <v>Female</v>
      </c>
      <c r="D73" s="16">
        <f>IFERROR(tblCustomers[[#This Row],[Age]],"")</f>
        <v>45</v>
      </c>
      <c r="E73" s="16" t="str">
        <f>IFERROR(PROPER(TRIM(tblCustomers[[#This Row],[City/Region]])),"")</f>
        <v>Ahmedabad</v>
      </c>
      <c r="F73" s="16">
        <f>IFERROR(tblCustomers[[#This Row],[IncomeRange]],"")</f>
        <v>129433</v>
      </c>
      <c r="G73" s="16" t="str">
        <f>IFERROR(PROPER(TRIM(tblCustomers[[#This Row],[Occupation]])),"")</f>
        <v>Marketing Manager</v>
      </c>
      <c r="H73" s="17">
        <f>IFERROR(tblCustomers[[#This Row],[JoinDate]],"")</f>
        <v>45525</v>
      </c>
      <c r="I73" s="16" t="str">
        <f>IFERROR(PROPER(TRIM(tblCustomers[[#This Row],[PurchaseChannel]])),"")</f>
        <v>Online</v>
      </c>
      <c r="J73" s="16" t="str">
        <f>IFERROR(PROPER(TRIM(tblCustomers[[#This Row],[CustomerType]])),"")</f>
        <v>Returning</v>
      </c>
      <c r="K73" s="16" t="str">
        <f>IFERROR(PROPER(TRIM(tblCustomers[[#This Row],[EngagementLevel]])),"")</f>
        <v>High</v>
      </c>
      <c r="L73" s="16" t="str">
        <f>IFERROR(PROPER(TRIM(tblCustomers[[#This Row],[DiscountSensitivity]])),"")</f>
        <v>Medium</v>
      </c>
      <c r="M73" s="17">
        <f>IFERROR(tblCustomers[[#This Row],[LastPurchaseDate]],"")</f>
        <v>46085</v>
      </c>
      <c r="N73" s="16" t="str">
        <f>IFERROR(IF(tblCustomers[[#This Row],[Age]]&lt;25,"&lt;25",IF(tblCustomers[[#This Row],[Age]]&lt;40,"25-39",IF(tblCustomers[[#This Row],[Age]]&lt;55,"40-54","55+"))),"N/A")</f>
        <v>40-54</v>
      </c>
      <c r="O73" s="16" t="str">
        <f>IFERROR(IF(tblCustomers[[#This Row],[IncomeRange]]&lt;25000,"Low",IF(tblCustomers[[#This Row],[IncomeRange]]&lt;75000,"Mid","High")),"N/A")</f>
        <v>High</v>
      </c>
      <c r="P73" s="16" t="str">
        <f>IFERROR(TEXT(tblCustomers[[#This Row],[JoinDate]],"DDDD"),"")</f>
        <v>Wednesday</v>
      </c>
      <c r="Q73" s="18" t="b">
        <f>IFERROR(IF(WEEKDAY(tblCustomers[[#This Row],[JoinDate]],2)&gt;=6,TRUE(),FALSE()),FALSE())</f>
        <v>0</v>
      </c>
      <c r="R73" s="16">
        <f ca="1">IFERROR(DATEDIF(tblCustomers[[#This Row],[JoinDate]],TODAY(),"M"),0)</f>
        <v>19</v>
      </c>
      <c r="S73" s="16" t="str">
        <f>IFERROR(IF(AND(tblCustomers[[#This Row],[Age]]&gt;=18,tblCustomers[[#This Row],[IncomeRange]]&gt;0,tblCustomers[[#This Row],[CustomerID]]&lt;&gt;""),"OK","CHECK"),"CHECK")</f>
        <v>OK</v>
      </c>
    </row>
    <row r="74" spans="1:19" ht="15" customHeight="1" x14ac:dyDescent="0.3">
      <c r="A74" s="19" t="str">
        <f>IFERROR(TRIM(tblCustomers[[#This Row],[CustomerID]]),"")</f>
        <v>C0072</v>
      </c>
      <c r="B74" s="19" t="str">
        <f>IFERROR(PROPER(TRIM(tblCustomers[[#This Row],[Name]])),"")</f>
        <v>Shruti Malhotra</v>
      </c>
      <c r="C74" s="19" t="str">
        <f>IFERROR(PROPER(TRIM(tblCustomers[[#This Row],[Gender]])),"")</f>
        <v>Female</v>
      </c>
      <c r="D74" s="19">
        <f>IFERROR(tblCustomers[[#This Row],[Age]],"")</f>
        <v>60</v>
      </c>
      <c r="E74" s="19" t="str">
        <f>IFERROR(PROPER(TRIM(tblCustomers[[#This Row],[City/Region]])),"")</f>
        <v>Bangalore</v>
      </c>
      <c r="F74" s="19">
        <f>IFERROR(tblCustomers[[#This Row],[IncomeRange]],"")</f>
        <v>122397</v>
      </c>
      <c r="G74" s="19" t="str">
        <f>IFERROR(PROPER(TRIM(tblCustomers[[#This Row],[Occupation]])),"")</f>
        <v>Consultant</v>
      </c>
      <c r="H74" s="20">
        <f>IFERROR(tblCustomers[[#This Row],[JoinDate]],"")</f>
        <v>44644</v>
      </c>
      <c r="I74" s="19" t="str">
        <f>IFERROR(PROPER(TRIM(tblCustomers[[#This Row],[PurchaseChannel]])),"")</f>
        <v>Offline</v>
      </c>
      <c r="J74" s="19" t="str">
        <f>IFERROR(PROPER(TRIM(tblCustomers[[#This Row],[CustomerType]])),"")</f>
        <v>Returning</v>
      </c>
      <c r="K74" s="19" t="str">
        <f>IFERROR(PROPER(TRIM(tblCustomers[[#This Row],[EngagementLevel]])),"")</f>
        <v>Low</v>
      </c>
      <c r="L74" s="19" t="str">
        <f>IFERROR(PROPER(TRIM(tblCustomers[[#This Row],[DiscountSensitivity]])),"")</f>
        <v>Low</v>
      </c>
      <c r="M74" s="20">
        <f>IFERROR(tblCustomers[[#This Row],[LastPurchaseDate]],"")</f>
        <v>46054</v>
      </c>
      <c r="N74" s="19" t="str">
        <f>IFERROR(IF(tblCustomers[[#This Row],[Age]]&lt;25,"&lt;25",IF(tblCustomers[[#This Row],[Age]]&lt;40,"25-39",IF(tblCustomers[[#This Row],[Age]]&lt;55,"40-54","55+"))),"N/A")</f>
        <v>55+</v>
      </c>
      <c r="O74" s="19" t="str">
        <f>IFERROR(IF(tblCustomers[[#This Row],[IncomeRange]]&lt;25000,"Low",IF(tblCustomers[[#This Row],[IncomeRange]]&lt;75000,"Mid","High")),"N/A")</f>
        <v>High</v>
      </c>
      <c r="P74" s="19" t="str">
        <f>IFERROR(TEXT(tblCustomers[[#This Row],[JoinDate]],"DDDD"),"")</f>
        <v>Thursday</v>
      </c>
      <c r="Q74" s="21" t="b">
        <f>IFERROR(IF(WEEKDAY(tblCustomers[[#This Row],[JoinDate]],2)&gt;=6,TRUE(),FALSE()),FALSE())</f>
        <v>0</v>
      </c>
      <c r="R74" s="19">
        <f ca="1">IFERROR(DATEDIF(tblCustomers[[#This Row],[JoinDate]],TODAY(),"M"),0)</f>
        <v>48</v>
      </c>
      <c r="S74" s="19" t="str">
        <f>IFERROR(IF(AND(tblCustomers[[#This Row],[Age]]&gt;=18,tblCustomers[[#This Row],[IncomeRange]]&gt;0,tblCustomers[[#This Row],[CustomerID]]&lt;&gt;""),"OK","CHECK"),"CHECK")</f>
        <v>OK</v>
      </c>
    </row>
    <row r="75" spans="1:19" ht="15" customHeight="1" x14ac:dyDescent="0.3">
      <c r="A75" s="16" t="str">
        <f>IFERROR(TRIM(tblCustomers[[#This Row],[CustomerID]]),"")</f>
        <v>C0073</v>
      </c>
      <c r="B75" s="16" t="str">
        <f>IFERROR(PROPER(TRIM(tblCustomers[[#This Row],[Name]])),"")</f>
        <v>Lakshmi Menon</v>
      </c>
      <c r="C75" s="16" t="str">
        <f>IFERROR(PROPER(TRIM(tblCustomers[[#This Row],[Gender]])),"")</f>
        <v>Female</v>
      </c>
      <c r="D75" s="16">
        <f>IFERROR(tblCustomers[[#This Row],[Age]],"")</f>
        <v>28</v>
      </c>
      <c r="E75" s="16" t="str">
        <f>IFERROR(PROPER(TRIM(tblCustomers[[#This Row],[City/Region]])),"")</f>
        <v>Pune</v>
      </c>
      <c r="F75" s="16">
        <f>IFERROR(tblCustomers[[#This Row],[IncomeRange]],"")</f>
        <v>36544</v>
      </c>
      <c r="G75" s="16" t="str">
        <f>IFERROR(PROPER(TRIM(tblCustomers[[#This Row],[Occupation]])),"")</f>
        <v>Accountant</v>
      </c>
      <c r="H75" s="17">
        <f>IFERROR(tblCustomers[[#This Row],[JoinDate]],"")</f>
        <v>44796</v>
      </c>
      <c r="I75" s="16" t="str">
        <f>IFERROR(PROPER(TRIM(tblCustomers[[#This Row],[PurchaseChannel]])),"")</f>
        <v>Online</v>
      </c>
      <c r="J75" s="16" t="str">
        <f>IFERROR(PROPER(TRIM(tblCustomers[[#This Row],[CustomerType]])),"")</f>
        <v>New</v>
      </c>
      <c r="K75" s="16" t="str">
        <f>IFERROR(PROPER(TRIM(tblCustomers[[#This Row],[EngagementLevel]])),"")</f>
        <v>Medium</v>
      </c>
      <c r="L75" s="16" t="str">
        <f>IFERROR(PROPER(TRIM(tblCustomers[[#This Row],[DiscountSensitivity]])),"")</f>
        <v>High</v>
      </c>
      <c r="M75" s="17">
        <f>IFERROR(tblCustomers[[#This Row],[LastPurchaseDate]],"")</f>
        <v>46104</v>
      </c>
      <c r="N75" s="16" t="str">
        <f>IFERROR(IF(tblCustomers[[#This Row],[Age]]&lt;25,"&lt;25",IF(tblCustomers[[#This Row],[Age]]&lt;40,"25-39",IF(tblCustomers[[#This Row],[Age]]&lt;55,"40-54","55+"))),"N/A")</f>
        <v>25-39</v>
      </c>
      <c r="O75" s="16" t="str">
        <f>IFERROR(IF(tblCustomers[[#This Row],[IncomeRange]]&lt;25000,"Low",IF(tblCustomers[[#This Row],[IncomeRange]]&lt;75000,"Mid","High")),"N/A")</f>
        <v>Mid</v>
      </c>
      <c r="P75" s="16" t="str">
        <f>IFERROR(TEXT(tblCustomers[[#This Row],[JoinDate]],"DDDD"),"")</f>
        <v>Tuesday</v>
      </c>
      <c r="Q75" s="18" t="b">
        <f>IFERROR(IF(WEEKDAY(tblCustomers[[#This Row],[JoinDate]],2)&gt;=6,TRUE(),FALSE()),FALSE())</f>
        <v>0</v>
      </c>
      <c r="R75" s="16">
        <f ca="1">IFERROR(DATEDIF(tblCustomers[[#This Row],[JoinDate]],TODAY(),"M"),0)</f>
        <v>43</v>
      </c>
      <c r="S75" s="16" t="str">
        <f>IFERROR(IF(AND(tblCustomers[[#This Row],[Age]]&gt;=18,tblCustomers[[#This Row],[IncomeRange]]&gt;0,tblCustomers[[#This Row],[CustomerID]]&lt;&gt;""),"OK","CHECK"),"CHECK")</f>
        <v>OK</v>
      </c>
    </row>
    <row r="76" spans="1:19" ht="15" customHeight="1" x14ac:dyDescent="0.3">
      <c r="A76" s="19" t="str">
        <f>IFERROR(TRIM(tblCustomers[[#This Row],[CustomerID]]),"")</f>
        <v>C0074</v>
      </c>
      <c r="B76" s="19" t="str">
        <f>IFERROR(PROPER(TRIM(tblCustomers[[#This Row],[Name]])),"")</f>
        <v>Radha Pillai</v>
      </c>
      <c r="C76" s="19" t="str">
        <f>IFERROR(PROPER(TRIM(tblCustomers[[#This Row],[Gender]])),"")</f>
        <v>Female</v>
      </c>
      <c r="D76" s="19">
        <f>IFERROR(tblCustomers[[#This Row],[Age]],"")</f>
        <v>29</v>
      </c>
      <c r="E76" s="19" t="str">
        <f>IFERROR(PROPER(TRIM(tblCustomers[[#This Row],[City/Region]])),"")</f>
        <v>Bhubaneswar</v>
      </c>
      <c r="F76" s="19">
        <f>IFERROR(tblCustomers[[#This Row],[IncomeRange]],"")</f>
        <v>99593</v>
      </c>
      <c r="G76" s="19" t="str">
        <f>IFERROR(PROPER(TRIM(tblCustomers[[#This Row],[Occupation]])),"")</f>
        <v>Finance Analyst</v>
      </c>
      <c r="H76" s="20">
        <f>IFERROR(tblCustomers[[#This Row],[JoinDate]],"")</f>
        <v>44796</v>
      </c>
      <c r="I76" s="19" t="str">
        <f>IFERROR(PROPER(TRIM(tblCustomers[[#This Row],[PurchaseChannel]])),"")</f>
        <v>Offline</v>
      </c>
      <c r="J76" s="19" t="str">
        <f>IFERROR(PROPER(TRIM(tblCustomers[[#This Row],[CustomerType]])),"")</f>
        <v>New</v>
      </c>
      <c r="K76" s="19" t="str">
        <f>IFERROR(PROPER(TRIM(tblCustomers[[#This Row],[EngagementLevel]])),"")</f>
        <v>Medium</v>
      </c>
      <c r="L76" s="19" t="str">
        <f>IFERROR(PROPER(TRIM(tblCustomers[[#This Row],[DiscountSensitivity]])),"")</f>
        <v>Medium</v>
      </c>
      <c r="M76" s="20">
        <f>IFERROR(tblCustomers[[#This Row],[LastPurchaseDate]],"")</f>
        <v>45818</v>
      </c>
      <c r="N76" s="19" t="str">
        <f>IFERROR(IF(tblCustomers[[#This Row],[Age]]&lt;25,"&lt;25",IF(tblCustomers[[#This Row],[Age]]&lt;40,"25-39",IF(tblCustomers[[#This Row],[Age]]&lt;55,"40-54","55+"))),"N/A")</f>
        <v>25-39</v>
      </c>
      <c r="O76" s="19" t="str">
        <f>IFERROR(IF(tblCustomers[[#This Row],[IncomeRange]]&lt;25000,"Low",IF(tblCustomers[[#This Row],[IncomeRange]]&lt;75000,"Mid","High")),"N/A")</f>
        <v>High</v>
      </c>
      <c r="P76" s="19" t="str">
        <f>IFERROR(TEXT(tblCustomers[[#This Row],[JoinDate]],"DDDD"),"")</f>
        <v>Tuesday</v>
      </c>
      <c r="Q76" s="21" t="b">
        <f>IFERROR(IF(WEEKDAY(tblCustomers[[#This Row],[JoinDate]],2)&gt;=6,TRUE(),FALSE()),FALSE())</f>
        <v>0</v>
      </c>
      <c r="R76" s="19">
        <f ca="1">IFERROR(DATEDIF(tblCustomers[[#This Row],[JoinDate]],TODAY(),"M"),0)</f>
        <v>43</v>
      </c>
      <c r="S76" s="19" t="str">
        <f>IFERROR(IF(AND(tblCustomers[[#This Row],[Age]]&gt;=18,tblCustomers[[#This Row],[IncomeRange]]&gt;0,tblCustomers[[#This Row],[CustomerID]]&lt;&gt;""),"OK","CHECK"),"CHECK")</f>
        <v>OK</v>
      </c>
    </row>
    <row r="77" spans="1:19" ht="15" customHeight="1" x14ac:dyDescent="0.3">
      <c r="A77" s="16" t="str">
        <f>IFERROR(TRIM(tblCustomers[[#This Row],[CustomerID]]),"")</f>
        <v>C0075</v>
      </c>
      <c r="B77" s="16" t="str">
        <f>IFERROR(PROPER(TRIM(tblCustomers[[#This Row],[Name]])),"")</f>
        <v>Madhuri Srivastava</v>
      </c>
      <c r="C77" s="16" t="str">
        <f>IFERROR(PROPER(TRIM(tblCustomers[[#This Row],[Gender]])),"")</f>
        <v>Female</v>
      </c>
      <c r="D77" s="16">
        <f>IFERROR(tblCustomers[[#This Row],[Age]],"")</f>
        <v>38</v>
      </c>
      <c r="E77" s="16" t="str">
        <f>IFERROR(PROPER(TRIM(tblCustomers[[#This Row],[City/Region]])),"")</f>
        <v>Nagpur</v>
      </c>
      <c r="F77" s="16">
        <f>IFERROR(tblCustomers[[#This Row],[IncomeRange]],"")</f>
        <v>108781</v>
      </c>
      <c r="G77" s="16" t="str">
        <f>IFERROR(PROPER(TRIM(tblCustomers[[#This Row],[Occupation]])),"")</f>
        <v>Entrepreneur</v>
      </c>
      <c r="H77" s="17">
        <f>IFERROR(tblCustomers[[#This Row],[JoinDate]],"")</f>
        <v>45330</v>
      </c>
      <c r="I77" s="16" t="str">
        <f>IFERROR(PROPER(TRIM(tblCustomers[[#This Row],[PurchaseChannel]])),"")</f>
        <v>Online</v>
      </c>
      <c r="J77" s="16" t="str">
        <f>IFERROR(PROPER(TRIM(tblCustomers[[#This Row],[CustomerType]])),"")</f>
        <v>Returning</v>
      </c>
      <c r="K77" s="16" t="str">
        <f>IFERROR(PROPER(TRIM(tblCustomers[[#This Row],[EngagementLevel]])),"")</f>
        <v>Low</v>
      </c>
      <c r="L77" s="16" t="str">
        <f>IFERROR(PROPER(TRIM(tblCustomers[[#This Row],[DiscountSensitivity]])),"")</f>
        <v>Medium</v>
      </c>
      <c r="M77" s="17">
        <f>IFERROR(tblCustomers[[#This Row],[LastPurchaseDate]],"")</f>
        <v>45991</v>
      </c>
      <c r="N77" s="16" t="str">
        <f>IFERROR(IF(tblCustomers[[#This Row],[Age]]&lt;25,"&lt;25",IF(tblCustomers[[#This Row],[Age]]&lt;40,"25-39",IF(tblCustomers[[#This Row],[Age]]&lt;55,"40-54","55+"))),"N/A")</f>
        <v>25-39</v>
      </c>
      <c r="O77" s="16" t="str">
        <f>IFERROR(IF(tblCustomers[[#This Row],[IncomeRange]]&lt;25000,"Low",IF(tblCustomers[[#This Row],[IncomeRange]]&lt;75000,"Mid","High")),"N/A")</f>
        <v>High</v>
      </c>
      <c r="P77" s="16" t="str">
        <f>IFERROR(TEXT(tblCustomers[[#This Row],[JoinDate]],"DDDD"),"")</f>
        <v>Thursday</v>
      </c>
      <c r="Q77" s="18" t="b">
        <f>IFERROR(IF(WEEKDAY(tblCustomers[[#This Row],[JoinDate]],2)&gt;=6,TRUE(),FALSE()),FALSE())</f>
        <v>0</v>
      </c>
      <c r="R77" s="16">
        <f ca="1">IFERROR(DATEDIF(tblCustomers[[#This Row],[JoinDate]],TODAY(),"M"),0)</f>
        <v>26</v>
      </c>
      <c r="S77" s="16" t="str">
        <f>IFERROR(IF(AND(tblCustomers[[#This Row],[Age]]&gt;=18,tblCustomers[[#This Row],[IncomeRange]]&gt;0,tblCustomers[[#This Row],[CustomerID]]&lt;&gt;""),"OK","CHECK"),"CHECK")</f>
        <v>OK</v>
      </c>
    </row>
    <row r="78" spans="1:19" ht="15" customHeight="1" x14ac:dyDescent="0.3">
      <c r="A78" s="19" t="str">
        <f>IFERROR(TRIM(tblCustomers[[#This Row],[CustomerID]]),"")</f>
        <v>C0076</v>
      </c>
      <c r="B78" s="19" t="str">
        <f>IFERROR(PROPER(TRIM(tblCustomers[[#This Row],[Name]])),"")</f>
        <v>Bindu Thakur</v>
      </c>
      <c r="C78" s="19" t="str">
        <f>IFERROR(PROPER(TRIM(tblCustomers[[#This Row],[Gender]])),"")</f>
        <v>Female</v>
      </c>
      <c r="D78" s="19">
        <f>IFERROR(tblCustomers[[#This Row],[Age]],"")</f>
        <v>59</v>
      </c>
      <c r="E78" s="19" t="str">
        <f>IFERROR(PROPER(TRIM(tblCustomers[[#This Row],[City/Region]])),"")</f>
        <v>Pune</v>
      </c>
      <c r="F78" s="19">
        <f>IFERROR(tblCustomers[[#This Row],[IncomeRange]],"")</f>
        <v>33356</v>
      </c>
      <c r="G78" s="19" t="str">
        <f>IFERROR(PROPER(TRIM(tblCustomers[[#This Row],[Occupation]])),"")</f>
        <v>Finance Analyst</v>
      </c>
      <c r="H78" s="20">
        <f>IFERROR(tblCustomers[[#This Row],[JoinDate]],"")</f>
        <v>45179</v>
      </c>
      <c r="I78" s="19" t="str">
        <f>IFERROR(PROPER(TRIM(tblCustomers[[#This Row],[PurchaseChannel]])),"")</f>
        <v>Offline</v>
      </c>
      <c r="J78" s="19" t="str">
        <f>IFERROR(PROPER(TRIM(tblCustomers[[#This Row],[CustomerType]])),"")</f>
        <v>Returning</v>
      </c>
      <c r="K78" s="19" t="str">
        <f>IFERROR(PROPER(TRIM(tblCustomers[[#This Row],[EngagementLevel]])),"")</f>
        <v>Low</v>
      </c>
      <c r="L78" s="19" t="str">
        <f>IFERROR(PROPER(TRIM(tblCustomers[[#This Row],[DiscountSensitivity]])),"")</f>
        <v>High</v>
      </c>
      <c r="M78" s="20">
        <f>IFERROR(tblCustomers[[#This Row],[LastPurchaseDate]],"")</f>
        <v>46027</v>
      </c>
      <c r="N78" s="19" t="str">
        <f>IFERROR(IF(tblCustomers[[#This Row],[Age]]&lt;25,"&lt;25",IF(tblCustomers[[#This Row],[Age]]&lt;40,"25-39",IF(tblCustomers[[#This Row],[Age]]&lt;55,"40-54","55+"))),"N/A")</f>
        <v>55+</v>
      </c>
      <c r="O78" s="19" t="str">
        <f>IFERROR(IF(tblCustomers[[#This Row],[IncomeRange]]&lt;25000,"Low",IF(tblCustomers[[#This Row],[IncomeRange]]&lt;75000,"Mid","High")),"N/A")</f>
        <v>Mid</v>
      </c>
      <c r="P78" s="19" t="str">
        <f>IFERROR(TEXT(tblCustomers[[#This Row],[JoinDate]],"DDDD"),"")</f>
        <v>Sunday</v>
      </c>
      <c r="Q78" s="21" t="b">
        <f>IFERROR(IF(WEEKDAY(tblCustomers[[#This Row],[JoinDate]],2)&gt;=6,TRUE(),FALSE()),FALSE())</f>
        <v>1</v>
      </c>
      <c r="R78" s="19">
        <f ca="1">IFERROR(DATEDIF(tblCustomers[[#This Row],[JoinDate]],TODAY(),"M"),0)</f>
        <v>31</v>
      </c>
      <c r="S78" s="19" t="str">
        <f>IFERROR(IF(AND(tblCustomers[[#This Row],[Age]]&gt;=18,tblCustomers[[#This Row],[IncomeRange]]&gt;0,tblCustomers[[#This Row],[CustomerID]]&lt;&gt;""),"OK","CHECK"),"CHECK")</f>
        <v>OK</v>
      </c>
    </row>
    <row r="79" spans="1:19" ht="15" customHeight="1" x14ac:dyDescent="0.3">
      <c r="A79" s="16" t="str">
        <f>IFERROR(TRIM(tblCustomers[[#This Row],[CustomerID]]),"")</f>
        <v>C0077</v>
      </c>
      <c r="B79" s="16" t="str">
        <f>IFERROR(PROPER(TRIM(tblCustomers[[#This Row],[Name]])),"")</f>
        <v>Kamala Bansal</v>
      </c>
      <c r="C79" s="16" t="str">
        <f>IFERROR(PROPER(TRIM(tblCustomers[[#This Row],[Gender]])),"")</f>
        <v>Female</v>
      </c>
      <c r="D79" s="16">
        <f>IFERROR(tblCustomers[[#This Row],[Age]],"")</f>
        <v>21</v>
      </c>
      <c r="E79" s="16" t="str">
        <f>IFERROR(PROPER(TRIM(tblCustomers[[#This Row],[City/Region]])),"")</f>
        <v>Chandigarh</v>
      </c>
      <c r="F79" s="16">
        <f>IFERROR(tblCustomers[[#This Row],[IncomeRange]],"")</f>
        <v>89827</v>
      </c>
      <c r="G79" s="16" t="str">
        <f>IFERROR(PROPER(TRIM(tblCustomers[[#This Row],[Occupation]])),"")</f>
        <v>Hr Manager</v>
      </c>
      <c r="H79" s="17">
        <f>IFERROR(tblCustomers[[#This Row],[JoinDate]],"")</f>
        <v>45320</v>
      </c>
      <c r="I79" s="16" t="str">
        <f>IFERROR(PROPER(TRIM(tblCustomers[[#This Row],[PurchaseChannel]])),"")</f>
        <v>Online</v>
      </c>
      <c r="J79" s="16" t="str">
        <f>IFERROR(PROPER(TRIM(tblCustomers[[#This Row],[CustomerType]])),"")</f>
        <v>Returning</v>
      </c>
      <c r="K79" s="16" t="str">
        <f>IFERROR(PROPER(TRIM(tblCustomers[[#This Row],[EngagementLevel]])),"")</f>
        <v>Low</v>
      </c>
      <c r="L79" s="16" t="str">
        <f>IFERROR(PROPER(TRIM(tblCustomers[[#This Row],[DiscountSensitivity]])),"")</f>
        <v>Medium</v>
      </c>
      <c r="M79" s="17">
        <f>IFERROR(tblCustomers[[#This Row],[LastPurchaseDate]],"")</f>
        <v>46060</v>
      </c>
      <c r="N79" s="16" t="str">
        <f>IFERROR(IF(tblCustomers[[#This Row],[Age]]&lt;25,"&lt;25",IF(tblCustomers[[#This Row],[Age]]&lt;40,"25-39",IF(tblCustomers[[#This Row],[Age]]&lt;55,"40-54","55+"))),"N/A")</f>
        <v>&lt;25</v>
      </c>
      <c r="O79" s="16" t="str">
        <f>IFERROR(IF(tblCustomers[[#This Row],[IncomeRange]]&lt;25000,"Low",IF(tblCustomers[[#This Row],[IncomeRange]]&lt;75000,"Mid","High")),"N/A")</f>
        <v>High</v>
      </c>
      <c r="P79" s="16" t="str">
        <f>IFERROR(TEXT(tblCustomers[[#This Row],[JoinDate]],"DDDD"),"")</f>
        <v>Monday</v>
      </c>
      <c r="Q79" s="18" t="b">
        <f>IFERROR(IF(WEEKDAY(tblCustomers[[#This Row],[JoinDate]],2)&gt;=6,TRUE(),FALSE()),FALSE())</f>
        <v>0</v>
      </c>
      <c r="R79" s="16">
        <f ca="1">IFERROR(DATEDIF(tblCustomers[[#This Row],[JoinDate]],TODAY(),"M"),0)</f>
        <v>26</v>
      </c>
      <c r="S79" s="16" t="str">
        <f>IFERROR(IF(AND(tblCustomers[[#This Row],[Age]]&gt;=18,tblCustomers[[#This Row],[IncomeRange]]&gt;0,tblCustomers[[#This Row],[CustomerID]]&lt;&gt;""),"OK","CHECK"),"CHECK")</f>
        <v>OK</v>
      </c>
    </row>
    <row r="80" spans="1:19" ht="15" customHeight="1" x14ac:dyDescent="0.3">
      <c r="A80" s="19" t="str">
        <f>IFERROR(TRIM(tblCustomers[[#This Row],[CustomerID]]),"")</f>
        <v>C0078</v>
      </c>
      <c r="B80" s="19" t="str">
        <f>IFERROR(PROPER(TRIM(tblCustomers[[#This Row],[Name]])),"")</f>
        <v>Seema Agarwal</v>
      </c>
      <c r="C80" s="19" t="str">
        <f>IFERROR(PROPER(TRIM(tblCustomers[[#This Row],[Gender]])),"")</f>
        <v>Female</v>
      </c>
      <c r="D80" s="19">
        <f>IFERROR(tblCustomers[[#This Row],[Age]],"")</f>
        <v>50</v>
      </c>
      <c r="E80" s="19" t="str">
        <f>IFERROR(PROPER(TRIM(tblCustomers[[#This Row],[City/Region]])),"")</f>
        <v>Noida</v>
      </c>
      <c r="F80" s="19">
        <f>IFERROR(tblCustomers[[#This Row],[IncomeRange]],"")</f>
        <v>76822</v>
      </c>
      <c r="G80" s="19" t="str">
        <f>IFERROR(PROPER(TRIM(tblCustomers[[#This Row],[Occupation]])),"")</f>
        <v>Sales Executive</v>
      </c>
      <c r="H80" s="20">
        <f>IFERROR(tblCustomers[[#This Row],[JoinDate]],"")</f>
        <v>45503</v>
      </c>
      <c r="I80" s="19" t="str">
        <f>IFERROR(PROPER(TRIM(tblCustomers[[#This Row],[PurchaseChannel]])),"")</f>
        <v>Offline</v>
      </c>
      <c r="J80" s="19" t="str">
        <f>IFERROR(PROPER(TRIM(tblCustomers[[#This Row],[CustomerType]])),"")</f>
        <v>Returning</v>
      </c>
      <c r="K80" s="19" t="str">
        <f>IFERROR(PROPER(TRIM(tblCustomers[[#This Row],[EngagementLevel]])),"")</f>
        <v>Medium</v>
      </c>
      <c r="L80" s="19" t="str">
        <f>IFERROR(PROPER(TRIM(tblCustomers[[#This Row],[DiscountSensitivity]])),"")</f>
        <v>High</v>
      </c>
      <c r="M80" s="20">
        <f>IFERROR(tblCustomers[[#This Row],[LastPurchaseDate]],"")</f>
        <v>46016</v>
      </c>
      <c r="N80" s="19" t="str">
        <f>IFERROR(IF(tblCustomers[[#This Row],[Age]]&lt;25,"&lt;25",IF(tblCustomers[[#This Row],[Age]]&lt;40,"25-39",IF(tblCustomers[[#This Row],[Age]]&lt;55,"40-54","55+"))),"N/A")</f>
        <v>40-54</v>
      </c>
      <c r="O80" s="19" t="str">
        <f>IFERROR(IF(tblCustomers[[#This Row],[IncomeRange]]&lt;25000,"Low",IF(tblCustomers[[#This Row],[IncomeRange]]&lt;75000,"Mid","High")),"N/A")</f>
        <v>High</v>
      </c>
      <c r="P80" s="19" t="str">
        <f>IFERROR(TEXT(tblCustomers[[#This Row],[JoinDate]],"DDDD"),"")</f>
        <v>Tuesday</v>
      </c>
      <c r="Q80" s="21" t="b">
        <f>IFERROR(IF(WEEKDAY(tblCustomers[[#This Row],[JoinDate]],2)&gt;=6,TRUE(),FALSE()),FALSE())</f>
        <v>0</v>
      </c>
      <c r="R80" s="19">
        <f ca="1">IFERROR(DATEDIF(tblCustomers[[#This Row],[JoinDate]],TODAY(),"M"),0)</f>
        <v>20</v>
      </c>
      <c r="S80" s="19" t="str">
        <f>IFERROR(IF(AND(tblCustomers[[#This Row],[Age]]&gt;=18,tblCustomers[[#This Row],[IncomeRange]]&gt;0,tblCustomers[[#This Row],[CustomerID]]&lt;&gt;""),"OK","CHECK"),"CHECK")</f>
        <v>OK</v>
      </c>
    </row>
    <row r="81" spans="1:19" ht="15" customHeight="1" x14ac:dyDescent="0.3">
      <c r="A81" s="16" t="str">
        <f>IFERROR(TRIM(tblCustomers[[#This Row],[CustomerID]]),"")</f>
        <v>C0079</v>
      </c>
      <c r="B81" s="16" t="str">
        <f>IFERROR(PROPER(TRIM(tblCustomers[[#This Row],[Name]])),"")</f>
        <v>Asha Dixit</v>
      </c>
      <c r="C81" s="16" t="str">
        <f>IFERROR(PROPER(TRIM(tblCustomers[[#This Row],[Gender]])),"")</f>
        <v>Female</v>
      </c>
      <c r="D81" s="16">
        <f>IFERROR(tblCustomers[[#This Row],[Age]],"")</f>
        <v>36</v>
      </c>
      <c r="E81" s="16" t="str">
        <f>IFERROR(PROPER(TRIM(tblCustomers[[#This Row],[City/Region]])),"")</f>
        <v>Bhubaneswar</v>
      </c>
      <c r="F81" s="16">
        <f>IFERROR(tblCustomers[[#This Row],[IncomeRange]],"")</f>
        <v>125932</v>
      </c>
      <c r="G81" s="16" t="str">
        <f>IFERROR(PROPER(TRIM(tblCustomers[[#This Row],[Occupation]])),"")</f>
        <v>Entrepreneur</v>
      </c>
      <c r="H81" s="17">
        <f>IFERROR(tblCustomers[[#This Row],[JoinDate]],"")</f>
        <v>45664</v>
      </c>
      <c r="I81" s="16" t="str">
        <f>IFERROR(PROPER(TRIM(tblCustomers[[#This Row],[PurchaseChannel]])),"")</f>
        <v>Offline</v>
      </c>
      <c r="J81" s="16" t="str">
        <f>IFERROR(PROPER(TRIM(tblCustomers[[#This Row],[CustomerType]])),"")</f>
        <v>Returning</v>
      </c>
      <c r="K81" s="16" t="str">
        <f>IFERROR(PROPER(TRIM(tblCustomers[[#This Row],[EngagementLevel]])),"")</f>
        <v>High</v>
      </c>
      <c r="L81" s="16" t="str">
        <f>IFERROR(PROPER(TRIM(tblCustomers[[#This Row],[DiscountSensitivity]])),"")</f>
        <v>Medium</v>
      </c>
      <c r="M81" s="17">
        <f>IFERROR(tblCustomers[[#This Row],[LastPurchaseDate]],"")</f>
        <v>46053</v>
      </c>
      <c r="N81" s="16" t="str">
        <f>IFERROR(IF(tblCustomers[[#This Row],[Age]]&lt;25,"&lt;25",IF(tblCustomers[[#This Row],[Age]]&lt;40,"25-39",IF(tblCustomers[[#This Row],[Age]]&lt;55,"40-54","55+"))),"N/A")</f>
        <v>25-39</v>
      </c>
      <c r="O81" s="16" t="str">
        <f>IFERROR(IF(tblCustomers[[#This Row],[IncomeRange]]&lt;25000,"Low",IF(tblCustomers[[#This Row],[IncomeRange]]&lt;75000,"Mid","High")),"N/A")</f>
        <v>High</v>
      </c>
      <c r="P81" s="16" t="str">
        <f>IFERROR(TEXT(tblCustomers[[#This Row],[JoinDate]],"DDDD"),"")</f>
        <v>Tuesday</v>
      </c>
      <c r="Q81" s="18" t="b">
        <f>IFERROR(IF(WEEKDAY(tblCustomers[[#This Row],[JoinDate]],2)&gt;=6,TRUE(),FALSE()),FALSE())</f>
        <v>0</v>
      </c>
      <c r="R81" s="16">
        <f ca="1">IFERROR(DATEDIF(tblCustomers[[#This Row],[JoinDate]],TODAY(),"M"),0)</f>
        <v>15</v>
      </c>
      <c r="S81" s="16" t="str">
        <f>IFERROR(IF(AND(tblCustomers[[#This Row],[Age]]&gt;=18,tblCustomers[[#This Row],[IncomeRange]]&gt;0,tblCustomers[[#This Row],[CustomerID]]&lt;&gt;""),"OK","CHECK"),"CHECK")</f>
        <v>OK</v>
      </c>
    </row>
    <row r="82" spans="1:19" ht="15" customHeight="1" x14ac:dyDescent="0.3">
      <c r="A82" s="19" t="str">
        <f>IFERROR(TRIM(tblCustomers[[#This Row],[CustomerID]]),"")</f>
        <v>C0080</v>
      </c>
      <c r="B82" s="19" t="str">
        <f>IFERROR(PROPER(TRIM(tblCustomers[[#This Row],[Name]])),"")</f>
        <v>Nisha Shah</v>
      </c>
      <c r="C82" s="19" t="str">
        <f>IFERROR(PROPER(TRIM(tblCustomers[[#This Row],[Gender]])),"")</f>
        <v>Female</v>
      </c>
      <c r="D82" s="19">
        <f>IFERROR(tblCustomers[[#This Row],[Age]],"")</f>
        <v>39</v>
      </c>
      <c r="E82" s="19" t="str">
        <f>IFERROR(PROPER(TRIM(tblCustomers[[#This Row],[City/Region]])),"")</f>
        <v>Pune</v>
      </c>
      <c r="F82" s="19">
        <f>IFERROR(tblCustomers[[#This Row],[IncomeRange]],"")</f>
        <v>128885</v>
      </c>
      <c r="G82" s="19" t="str">
        <f>IFERROR(PROPER(TRIM(tblCustomers[[#This Row],[Occupation]])),"")</f>
        <v>Entrepreneur</v>
      </c>
      <c r="H82" s="20">
        <f>IFERROR(tblCustomers[[#This Row],[JoinDate]],"")</f>
        <v>44739</v>
      </c>
      <c r="I82" s="19" t="str">
        <f>IFERROR(PROPER(TRIM(tblCustomers[[#This Row],[PurchaseChannel]])),"")</f>
        <v>Online</v>
      </c>
      <c r="J82" s="19" t="str">
        <f>IFERROR(PROPER(TRIM(tblCustomers[[#This Row],[CustomerType]])),"")</f>
        <v>Returning</v>
      </c>
      <c r="K82" s="19" t="str">
        <f>IFERROR(PROPER(TRIM(tblCustomers[[#This Row],[EngagementLevel]])),"")</f>
        <v>High</v>
      </c>
      <c r="L82" s="19" t="str">
        <f>IFERROR(PROPER(TRIM(tblCustomers[[#This Row],[DiscountSensitivity]])),"")</f>
        <v>Medium</v>
      </c>
      <c r="M82" s="20">
        <f>IFERROR(tblCustomers[[#This Row],[LastPurchaseDate]],"")</f>
        <v>46070</v>
      </c>
      <c r="N82" s="19" t="str">
        <f>IFERROR(IF(tblCustomers[[#This Row],[Age]]&lt;25,"&lt;25",IF(tblCustomers[[#This Row],[Age]]&lt;40,"25-39",IF(tblCustomers[[#This Row],[Age]]&lt;55,"40-54","55+"))),"N/A")</f>
        <v>25-39</v>
      </c>
      <c r="O82" s="19" t="str">
        <f>IFERROR(IF(tblCustomers[[#This Row],[IncomeRange]]&lt;25000,"Low",IF(tblCustomers[[#This Row],[IncomeRange]]&lt;75000,"Mid","High")),"N/A")</f>
        <v>High</v>
      </c>
      <c r="P82" s="19" t="str">
        <f>IFERROR(TEXT(tblCustomers[[#This Row],[JoinDate]],"DDDD"),"")</f>
        <v>Monday</v>
      </c>
      <c r="Q82" s="21" t="b">
        <f>IFERROR(IF(WEEKDAY(tblCustomers[[#This Row],[JoinDate]],2)&gt;=6,TRUE(),FALSE()),FALSE())</f>
        <v>0</v>
      </c>
      <c r="R82" s="19">
        <f ca="1">IFERROR(DATEDIF(tblCustomers[[#This Row],[JoinDate]],TODAY(),"M"),0)</f>
        <v>45</v>
      </c>
      <c r="S82" s="19" t="str">
        <f>IFERROR(IF(AND(tblCustomers[[#This Row],[Age]]&gt;=18,tblCustomers[[#This Row],[IncomeRange]]&gt;0,tblCustomers[[#This Row],[CustomerID]]&lt;&gt;""),"OK","CHECK"),"CHECK")</f>
        <v>OK</v>
      </c>
    </row>
    <row r="83" spans="1:19" ht="15" customHeight="1" x14ac:dyDescent="0.3">
      <c r="A83" s="16" t="str">
        <f>IFERROR(TRIM(tblCustomers[[#This Row],[CustomerID]]),"")</f>
        <v>C0081</v>
      </c>
      <c r="B83" s="16" t="str">
        <f>IFERROR(PROPER(TRIM(tblCustomers[[#This Row],[Name]])),"")</f>
        <v>Lata Jain</v>
      </c>
      <c r="C83" s="16" t="str">
        <f>IFERROR(PROPER(TRIM(tblCustomers[[#This Row],[Gender]])),"")</f>
        <v>Female</v>
      </c>
      <c r="D83" s="16">
        <f>IFERROR(tblCustomers[[#This Row],[Age]],"")</f>
        <v>61</v>
      </c>
      <c r="E83" s="16" t="str">
        <f>IFERROR(PROPER(TRIM(tblCustomers[[#This Row],[City/Region]])),"")</f>
        <v>Faridabad</v>
      </c>
      <c r="F83" s="16">
        <f>IFERROR(tblCustomers[[#This Row],[IncomeRange]],"")</f>
        <v>64092</v>
      </c>
      <c r="G83" s="16" t="str">
        <f>IFERROR(PROPER(TRIM(tblCustomers[[#This Row],[Occupation]])),"")</f>
        <v>Software Engineer</v>
      </c>
      <c r="H83" s="17">
        <f>IFERROR(tblCustomers[[#This Row],[JoinDate]],"")</f>
        <v>45574</v>
      </c>
      <c r="I83" s="16" t="str">
        <f>IFERROR(PROPER(TRIM(tblCustomers[[#This Row],[PurchaseChannel]])),"")</f>
        <v>Offline</v>
      </c>
      <c r="J83" s="16" t="str">
        <f>IFERROR(PROPER(TRIM(tblCustomers[[#This Row],[CustomerType]])),"")</f>
        <v>New</v>
      </c>
      <c r="K83" s="16" t="str">
        <f>IFERROR(PROPER(TRIM(tblCustomers[[#This Row],[EngagementLevel]])),"")</f>
        <v>Low</v>
      </c>
      <c r="L83" s="16" t="str">
        <f>IFERROR(PROPER(TRIM(tblCustomers[[#This Row],[DiscountSensitivity]])),"")</f>
        <v>High</v>
      </c>
      <c r="M83" s="17">
        <f>IFERROR(tblCustomers[[#This Row],[LastPurchaseDate]],"")</f>
        <v>46097</v>
      </c>
      <c r="N83" s="16" t="str">
        <f>IFERROR(IF(tblCustomers[[#This Row],[Age]]&lt;25,"&lt;25",IF(tblCustomers[[#This Row],[Age]]&lt;40,"25-39",IF(tblCustomers[[#This Row],[Age]]&lt;55,"40-54","55+"))),"N/A")</f>
        <v>55+</v>
      </c>
      <c r="O83" s="16" t="str">
        <f>IFERROR(IF(tblCustomers[[#This Row],[IncomeRange]]&lt;25000,"Low",IF(tblCustomers[[#This Row],[IncomeRange]]&lt;75000,"Mid","High")),"N/A")</f>
        <v>Mid</v>
      </c>
      <c r="P83" s="16" t="str">
        <f>IFERROR(TEXT(tblCustomers[[#This Row],[JoinDate]],"DDDD"),"")</f>
        <v>Wednesday</v>
      </c>
      <c r="Q83" s="18" t="b">
        <f>IFERROR(IF(WEEKDAY(tblCustomers[[#This Row],[JoinDate]],2)&gt;=6,TRUE(),FALSE()),FALSE())</f>
        <v>0</v>
      </c>
      <c r="R83" s="16">
        <f ca="1">IFERROR(DATEDIF(tblCustomers[[#This Row],[JoinDate]],TODAY(),"M"),0)</f>
        <v>18</v>
      </c>
      <c r="S83" s="16" t="str">
        <f>IFERROR(IF(AND(tblCustomers[[#This Row],[Age]]&gt;=18,tblCustomers[[#This Row],[IncomeRange]]&gt;0,tblCustomers[[#This Row],[CustomerID]]&lt;&gt;""),"OK","CHECK"),"CHECK")</f>
        <v>OK</v>
      </c>
    </row>
    <row r="84" spans="1:19" ht="15" customHeight="1" x14ac:dyDescent="0.3">
      <c r="A84" s="19" t="str">
        <f>IFERROR(TRIM(tblCustomers[[#This Row],[CustomerID]]),"")</f>
        <v>C0082</v>
      </c>
      <c r="B84" s="19" t="str">
        <f>IFERROR(PROPER(TRIM(tblCustomers[[#This Row],[Name]])),"")</f>
        <v>Tanya Negi</v>
      </c>
      <c r="C84" s="19" t="str">
        <f>IFERROR(PROPER(TRIM(tblCustomers[[#This Row],[Gender]])),"")</f>
        <v>Female</v>
      </c>
      <c r="D84" s="19">
        <f>IFERROR(tblCustomers[[#This Row],[Age]],"")</f>
        <v>40</v>
      </c>
      <c r="E84" s="19" t="str">
        <f>IFERROR(PROPER(TRIM(tblCustomers[[#This Row],[City/Region]])),"")</f>
        <v>Ahmedabad</v>
      </c>
      <c r="F84" s="19">
        <f>IFERROR(tblCustomers[[#This Row],[IncomeRange]],"")</f>
        <v>135385</v>
      </c>
      <c r="G84" s="19" t="str">
        <f>IFERROR(PROPER(TRIM(tblCustomers[[#This Row],[Occupation]])),"")</f>
        <v>Retail Manager</v>
      </c>
      <c r="H84" s="20">
        <f>IFERROR(tblCustomers[[#This Row],[JoinDate]],"")</f>
        <v>45127</v>
      </c>
      <c r="I84" s="19" t="str">
        <f>IFERROR(PROPER(TRIM(tblCustomers[[#This Row],[PurchaseChannel]])),"")</f>
        <v>Online</v>
      </c>
      <c r="J84" s="19" t="str">
        <f>IFERROR(PROPER(TRIM(tblCustomers[[#This Row],[CustomerType]])),"")</f>
        <v>Returning</v>
      </c>
      <c r="K84" s="19" t="str">
        <f>IFERROR(PROPER(TRIM(tblCustomers[[#This Row],[EngagementLevel]])),"")</f>
        <v>Low</v>
      </c>
      <c r="L84" s="19" t="str">
        <f>IFERROR(PROPER(TRIM(tblCustomers[[#This Row],[DiscountSensitivity]])),"")</f>
        <v>Low</v>
      </c>
      <c r="M84" s="20">
        <f>IFERROR(tblCustomers[[#This Row],[LastPurchaseDate]],"")</f>
        <v>46081</v>
      </c>
      <c r="N84" s="19" t="str">
        <f>IFERROR(IF(tblCustomers[[#This Row],[Age]]&lt;25,"&lt;25",IF(tblCustomers[[#This Row],[Age]]&lt;40,"25-39",IF(tblCustomers[[#This Row],[Age]]&lt;55,"40-54","55+"))),"N/A")</f>
        <v>40-54</v>
      </c>
      <c r="O84" s="19" t="str">
        <f>IFERROR(IF(tblCustomers[[#This Row],[IncomeRange]]&lt;25000,"Low",IF(tblCustomers[[#This Row],[IncomeRange]]&lt;75000,"Mid","High")),"N/A")</f>
        <v>High</v>
      </c>
      <c r="P84" s="19" t="str">
        <f>IFERROR(TEXT(tblCustomers[[#This Row],[JoinDate]],"DDDD"),"")</f>
        <v>Thursday</v>
      </c>
      <c r="Q84" s="21" t="b">
        <f>IFERROR(IF(WEEKDAY(tblCustomers[[#This Row],[JoinDate]],2)&gt;=6,TRUE(),FALSE()),FALSE())</f>
        <v>0</v>
      </c>
      <c r="R84" s="19">
        <f ca="1">IFERROR(DATEDIF(tblCustomers[[#This Row],[JoinDate]],TODAY(),"M"),0)</f>
        <v>32</v>
      </c>
      <c r="S84" s="19" t="str">
        <f>IFERROR(IF(AND(tblCustomers[[#This Row],[Age]]&gt;=18,tblCustomers[[#This Row],[IncomeRange]]&gt;0,tblCustomers[[#This Row],[CustomerID]]&lt;&gt;""),"OK","CHECK"),"CHECK")</f>
        <v>OK</v>
      </c>
    </row>
    <row r="85" spans="1:19" ht="15" customHeight="1" x14ac:dyDescent="0.3">
      <c r="A85" s="16" t="str">
        <f>IFERROR(TRIM(tblCustomers[[#This Row],[CustomerID]]),"")</f>
        <v>C0083</v>
      </c>
      <c r="B85" s="16" t="str">
        <f>IFERROR(PROPER(TRIM(tblCustomers[[#This Row],[Name]])),"")</f>
        <v>Roshni Bhatt</v>
      </c>
      <c r="C85" s="16" t="str">
        <f>IFERROR(PROPER(TRIM(tblCustomers[[#This Row],[Gender]])),"")</f>
        <v>Female</v>
      </c>
      <c r="D85" s="16">
        <f>IFERROR(tblCustomers[[#This Row],[Age]],"")</f>
        <v>45</v>
      </c>
      <c r="E85" s="16" t="str">
        <f>IFERROR(PROPER(TRIM(tblCustomers[[#This Row],[City/Region]])),"")</f>
        <v>Bhopal</v>
      </c>
      <c r="F85" s="16">
        <f>IFERROR(tblCustomers[[#This Row],[IncomeRange]],"")</f>
        <v>92768</v>
      </c>
      <c r="G85" s="16" t="str">
        <f>IFERROR(PROPER(TRIM(tblCustomers[[#This Row],[Occupation]])),"")</f>
        <v>Operations Manager</v>
      </c>
      <c r="H85" s="17">
        <f>IFERROR(tblCustomers[[#This Row],[JoinDate]],"")</f>
        <v>45054</v>
      </c>
      <c r="I85" s="16" t="str">
        <f>IFERROR(PROPER(TRIM(tblCustomers[[#This Row],[PurchaseChannel]])),"")</f>
        <v>Offline</v>
      </c>
      <c r="J85" s="16" t="str">
        <f>IFERROR(PROPER(TRIM(tblCustomers[[#This Row],[CustomerType]])),"")</f>
        <v>Returning</v>
      </c>
      <c r="K85" s="16" t="str">
        <f>IFERROR(PROPER(TRIM(tblCustomers[[#This Row],[EngagementLevel]])),"")</f>
        <v>Medium</v>
      </c>
      <c r="L85" s="16" t="str">
        <f>IFERROR(PROPER(TRIM(tblCustomers[[#This Row],[DiscountSensitivity]])),"")</f>
        <v>High</v>
      </c>
      <c r="M85" s="17">
        <f>IFERROR(tblCustomers[[#This Row],[LastPurchaseDate]],"")</f>
        <v>46062</v>
      </c>
      <c r="N85" s="16" t="str">
        <f>IFERROR(IF(tblCustomers[[#This Row],[Age]]&lt;25,"&lt;25",IF(tblCustomers[[#This Row],[Age]]&lt;40,"25-39",IF(tblCustomers[[#This Row],[Age]]&lt;55,"40-54","55+"))),"N/A")</f>
        <v>40-54</v>
      </c>
      <c r="O85" s="16" t="str">
        <f>IFERROR(IF(tblCustomers[[#This Row],[IncomeRange]]&lt;25000,"Low",IF(tblCustomers[[#This Row],[IncomeRange]]&lt;75000,"Mid","High")),"N/A")</f>
        <v>High</v>
      </c>
      <c r="P85" s="16" t="str">
        <f>IFERROR(TEXT(tblCustomers[[#This Row],[JoinDate]],"DDDD"),"")</f>
        <v>Monday</v>
      </c>
      <c r="Q85" s="18" t="b">
        <f>IFERROR(IF(WEEKDAY(tblCustomers[[#This Row],[JoinDate]],2)&gt;=6,TRUE(),FALSE()),FALSE())</f>
        <v>0</v>
      </c>
      <c r="R85" s="16">
        <f ca="1">IFERROR(DATEDIF(tblCustomers[[#This Row],[JoinDate]],TODAY(),"M"),0)</f>
        <v>35</v>
      </c>
      <c r="S85" s="16" t="str">
        <f>IFERROR(IF(AND(tblCustomers[[#This Row],[Age]]&gt;=18,tblCustomers[[#This Row],[IncomeRange]]&gt;0,tblCustomers[[#This Row],[CustomerID]]&lt;&gt;""),"OK","CHECK"),"CHECK")</f>
        <v>OK</v>
      </c>
    </row>
    <row r="86" spans="1:19" ht="15" customHeight="1" x14ac:dyDescent="0.3">
      <c r="A86" s="19" t="str">
        <f>IFERROR(TRIM(tblCustomers[[#This Row],[CustomerID]]),"")</f>
        <v>C0084</v>
      </c>
      <c r="B86" s="19" t="str">
        <f>IFERROR(PROPER(TRIM(tblCustomers[[#This Row],[Name]])),"")</f>
        <v>Simran Goyal</v>
      </c>
      <c r="C86" s="19" t="str">
        <f>IFERROR(PROPER(TRIM(tblCustomers[[#This Row],[Gender]])),"")</f>
        <v>Female</v>
      </c>
      <c r="D86" s="19">
        <f>IFERROR(tblCustomers[[#This Row],[Age]],"")</f>
        <v>24</v>
      </c>
      <c r="E86" s="19" t="str">
        <f>IFERROR(PROPER(TRIM(tblCustomers[[#This Row],[City/Region]])),"")</f>
        <v>Kolkata</v>
      </c>
      <c r="F86" s="19">
        <f>IFERROR(tblCustomers[[#This Row],[IncomeRange]],"")</f>
        <v>49045</v>
      </c>
      <c r="G86" s="19" t="str">
        <f>IFERROR(PROPER(TRIM(tblCustomers[[#This Row],[Occupation]])),"")</f>
        <v>Hr Manager</v>
      </c>
      <c r="H86" s="20">
        <f>IFERROR(tblCustomers[[#This Row],[JoinDate]],"")</f>
        <v>45060</v>
      </c>
      <c r="I86" s="19" t="str">
        <f>IFERROR(PROPER(TRIM(tblCustomers[[#This Row],[PurchaseChannel]])),"")</f>
        <v>Online</v>
      </c>
      <c r="J86" s="19" t="str">
        <f>IFERROR(PROPER(TRIM(tblCustomers[[#This Row],[CustomerType]])),"")</f>
        <v>Returning</v>
      </c>
      <c r="K86" s="19" t="str">
        <f>IFERROR(PROPER(TRIM(tblCustomers[[#This Row],[EngagementLevel]])),"")</f>
        <v>Medium</v>
      </c>
      <c r="L86" s="19" t="str">
        <f>IFERROR(PROPER(TRIM(tblCustomers[[#This Row],[DiscountSensitivity]])),"")</f>
        <v>Medium</v>
      </c>
      <c r="M86" s="20">
        <f>IFERROR(tblCustomers[[#This Row],[LastPurchaseDate]],"")</f>
        <v>46031</v>
      </c>
      <c r="N86" s="19" t="str">
        <f>IFERROR(IF(tblCustomers[[#This Row],[Age]]&lt;25,"&lt;25",IF(tblCustomers[[#This Row],[Age]]&lt;40,"25-39",IF(tblCustomers[[#This Row],[Age]]&lt;55,"40-54","55+"))),"N/A")</f>
        <v>&lt;25</v>
      </c>
      <c r="O86" s="19" t="str">
        <f>IFERROR(IF(tblCustomers[[#This Row],[IncomeRange]]&lt;25000,"Low",IF(tblCustomers[[#This Row],[IncomeRange]]&lt;75000,"Mid","High")),"N/A")</f>
        <v>Mid</v>
      </c>
      <c r="P86" s="19" t="str">
        <f>IFERROR(TEXT(tblCustomers[[#This Row],[JoinDate]],"DDDD"),"")</f>
        <v>Sunday</v>
      </c>
      <c r="Q86" s="21" t="b">
        <f>IFERROR(IF(WEEKDAY(tblCustomers[[#This Row],[JoinDate]],2)&gt;=6,TRUE(),FALSE()),FALSE())</f>
        <v>1</v>
      </c>
      <c r="R86" s="19">
        <f ca="1">IFERROR(DATEDIF(tblCustomers[[#This Row],[JoinDate]],TODAY(),"M"),0)</f>
        <v>34</v>
      </c>
      <c r="S86" s="19" t="str">
        <f>IFERROR(IF(AND(tblCustomers[[#This Row],[Age]]&gt;=18,tblCustomers[[#This Row],[IncomeRange]]&gt;0,tblCustomers[[#This Row],[CustomerID]]&lt;&gt;""),"OK","CHECK"),"CHECK")</f>
        <v>OK</v>
      </c>
    </row>
    <row r="87" spans="1:19" ht="15" customHeight="1" x14ac:dyDescent="0.3">
      <c r="A87" s="16" t="str">
        <f>IFERROR(TRIM(tblCustomers[[#This Row],[CustomerID]]),"")</f>
        <v>C0085</v>
      </c>
      <c r="B87" s="16" t="str">
        <f>IFERROR(PROPER(TRIM(tblCustomers[[#This Row],[Name]])),"")</f>
        <v>Kavya Bajaj</v>
      </c>
      <c r="C87" s="16" t="str">
        <f>IFERROR(PROPER(TRIM(tblCustomers[[#This Row],[Gender]])),"")</f>
        <v>Female</v>
      </c>
      <c r="D87" s="16">
        <f>IFERROR(tblCustomers[[#This Row],[Age]],"")</f>
        <v>46</v>
      </c>
      <c r="E87" s="16" t="str">
        <f>IFERROR(PROPER(TRIM(tblCustomers[[#This Row],[City/Region]])),"")</f>
        <v>Indore</v>
      </c>
      <c r="F87" s="16">
        <f>IFERROR(tblCustomers[[#This Row],[IncomeRange]],"")</f>
        <v>63357</v>
      </c>
      <c r="G87" s="16" t="str">
        <f>IFERROR(PROPER(TRIM(tblCustomers[[#This Row],[Occupation]])),"")</f>
        <v>Sales Executive</v>
      </c>
      <c r="H87" s="17">
        <f>IFERROR(tblCustomers[[#This Row],[JoinDate]],"")</f>
        <v>45491</v>
      </c>
      <c r="I87" s="16" t="str">
        <f>IFERROR(PROPER(TRIM(tblCustomers[[#This Row],[PurchaseChannel]])),"")</f>
        <v>Online</v>
      </c>
      <c r="J87" s="16" t="str">
        <f>IFERROR(PROPER(TRIM(tblCustomers[[#This Row],[CustomerType]])),"")</f>
        <v>New</v>
      </c>
      <c r="K87" s="16" t="str">
        <f>IFERROR(PROPER(TRIM(tblCustomers[[#This Row],[EngagementLevel]])),"")</f>
        <v>Low</v>
      </c>
      <c r="L87" s="16" t="str">
        <f>IFERROR(PROPER(TRIM(tblCustomers[[#This Row],[DiscountSensitivity]])),"")</f>
        <v>Low</v>
      </c>
      <c r="M87" s="17">
        <f>IFERROR(tblCustomers[[#This Row],[LastPurchaseDate]],"")</f>
        <v>46037</v>
      </c>
      <c r="N87" s="16" t="str">
        <f>IFERROR(IF(tblCustomers[[#This Row],[Age]]&lt;25,"&lt;25",IF(tblCustomers[[#This Row],[Age]]&lt;40,"25-39",IF(tblCustomers[[#This Row],[Age]]&lt;55,"40-54","55+"))),"N/A")</f>
        <v>40-54</v>
      </c>
      <c r="O87" s="16" t="str">
        <f>IFERROR(IF(tblCustomers[[#This Row],[IncomeRange]]&lt;25000,"Low",IF(tblCustomers[[#This Row],[IncomeRange]]&lt;75000,"Mid","High")),"N/A")</f>
        <v>Mid</v>
      </c>
      <c r="P87" s="16" t="str">
        <f>IFERROR(TEXT(tblCustomers[[#This Row],[JoinDate]],"DDDD"),"")</f>
        <v>Thursday</v>
      </c>
      <c r="Q87" s="18" t="b">
        <f>IFERROR(IF(WEEKDAY(tblCustomers[[#This Row],[JoinDate]],2)&gt;=6,TRUE(),FALSE()),FALSE())</f>
        <v>0</v>
      </c>
      <c r="R87" s="16">
        <f ca="1">IFERROR(DATEDIF(tblCustomers[[#This Row],[JoinDate]],TODAY(),"M"),0)</f>
        <v>20</v>
      </c>
      <c r="S87" s="16" t="str">
        <f>IFERROR(IF(AND(tblCustomers[[#This Row],[Age]]&gt;=18,tblCustomers[[#This Row],[IncomeRange]]&gt;0,tblCustomers[[#This Row],[CustomerID]]&lt;&gt;""),"OK","CHECK"),"CHECK")</f>
        <v>OK</v>
      </c>
    </row>
    <row r="88" spans="1:19" ht="15" customHeight="1" x14ac:dyDescent="0.3">
      <c r="A88" s="19" t="str">
        <f>IFERROR(TRIM(tblCustomers[[#This Row],[CustomerID]]),"")</f>
        <v>C0086</v>
      </c>
      <c r="B88" s="19" t="str">
        <f>IFERROR(PROPER(TRIM(tblCustomers[[#This Row],[Name]])),"")</f>
        <v>Shalini Choudhury</v>
      </c>
      <c r="C88" s="19" t="str">
        <f>IFERROR(PROPER(TRIM(tblCustomers[[#This Row],[Gender]])),"")</f>
        <v>Female</v>
      </c>
      <c r="D88" s="19">
        <f>IFERROR(tblCustomers[[#This Row],[Age]],"")</f>
        <v>26</v>
      </c>
      <c r="E88" s="19" t="str">
        <f>IFERROR(PROPER(TRIM(tblCustomers[[#This Row],[City/Region]])),"")</f>
        <v>Indore</v>
      </c>
      <c r="F88" s="19">
        <f>IFERROR(tblCustomers[[#This Row],[IncomeRange]],"")</f>
        <v>144633</v>
      </c>
      <c r="G88" s="19" t="str">
        <f>IFERROR(PROPER(TRIM(tblCustomers[[#This Row],[Occupation]])),"")</f>
        <v>Operations Manager</v>
      </c>
      <c r="H88" s="20">
        <f>IFERROR(tblCustomers[[#This Row],[JoinDate]],"")</f>
        <v>44941</v>
      </c>
      <c r="I88" s="19" t="str">
        <f>IFERROR(PROPER(TRIM(tblCustomers[[#This Row],[PurchaseChannel]])),"")</f>
        <v>Online</v>
      </c>
      <c r="J88" s="19" t="str">
        <f>IFERROR(PROPER(TRIM(tblCustomers[[#This Row],[CustomerType]])),"")</f>
        <v>Returning</v>
      </c>
      <c r="K88" s="19" t="str">
        <f>IFERROR(PROPER(TRIM(tblCustomers[[#This Row],[EngagementLevel]])),"")</f>
        <v>Medium</v>
      </c>
      <c r="L88" s="19" t="str">
        <f>IFERROR(PROPER(TRIM(tblCustomers[[#This Row],[DiscountSensitivity]])),"")</f>
        <v>Medium</v>
      </c>
      <c r="M88" s="20">
        <f>IFERROR(tblCustomers[[#This Row],[LastPurchaseDate]],"")</f>
        <v>45765</v>
      </c>
      <c r="N88" s="19" t="str">
        <f>IFERROR(IF(tblCustomers[[#This Row],[Age]]&lt;25,"&lt;25",IF(tblCustomers[[#This Row],[Age]]&lt;40,"25-39",IF(tblCustomers[[#This Row],[Age]]&lt;55,"40-54","55+"))),"N/A")</f>
        <v>25-39</v>
      </c>
      <c r="O88" s="19" t="str">
        <f>IFERROR(IF(tblCustomers[[#This Row],[IncomeRange]]&lt;25000,"Low",IF(tblCustomers[[#This Row],[IncomeRange]]&lt;75000,"Mid","High")),"N/A")</f>
        <v>High</v>
      </c>
      <c r="P88" s="19" t="str">
        <f>IFERROR(TEXT(tblCustomers[[#This Row],[JoinDate]],"DDDD"),"")</f>
        <v>Sunday</v>
      </c>
      <c r="Q88" s="21" t="b">
        <f>IFERROR(IF(WEEKDAY(tblCustomers[[#This Row],[JoinDate]],2)&gt;=6,TRUE(),FALSE()),FALSE())</f>
        <v>1</v>
      </c>
      <c r="R88" s="19">
        <f ca="1">IFERROR(DATEDIF(tblCustomers[[#This Row],[JoinDate]],TODAY(),"M"),0)</f>
        <v>38</v>
      </c>
      <c r="S88" s="19" t="str">
        <f>IFERROR(IF(AND(tblCustomers[[#This Row],[Age]]&gt;=18,tblCustomers[[#This Row],[IncomeRange]]&gt;0,tblCustomers[[#This Row],[CustomerID]]&lt;&gt;""),"OK","CHECK"),"CHECK")</f>
        <v>OK</v>
      </c>
    </row>
    <row r="89" spans="1:19" ht="15" customHeight="1" x14ac:dyDescent="0.3">
      <c r="A89" s="16" t="str">
        <f>IFERROR(TRIM(tblCustomers[[#This Row],[CustomerID]]),"")</f>
        <v>C0087</v>
      </c>
      <c r="B89" s="16" t="str">
        <f>IFERROR(PROPER(TRIM(tblCustomers[[#This Row],[Name]])),"")</f>
        <v>Rashmi Wagh</v>
      </c>
      <c r="C89" s="16" t="str">
        <f>IFERROR(PROPER(TRIM(tblCustomers[[#This Row],[Gender]])),"")</f>
        <v>Female</v>
      </c>
      <c r="D89" s="16">
        <f>IFERROR(tblCustomers[[#This Row],[Age]],"")</f>
        <v>52</v>
      </c>
      <c r="E89" s="16" t="str">
        <f>IFERROR(PROPER(TRIM(tblCustomers[[#This Row],[City/Region]])),"")</f>
        <v>Bhubaneswar</v>
      </c>
      <c r="F89" s="16">
        <f>IFERROR(tblCustomers[[#This Row],[IncomeRange]],"")</f>
        <v>57093</v>
      </c>
      <c r="G89" s="16" t="str">
        <f>IFERROR(PROPER(TRIM(tblCustomers[[#This Row],[Occupation]])),"")</f>
        <v>Marketing Manager</v>
      </c>
      <c r="H89" s="17">
        <f>IFERROR(tblCustomers[[#This Row],[JoinDate]],"")</f>
        <v>44959</v>
      </c>
      <c r="I89" s="16" t="str">
        <f>IFERROR(PROPER(TRIM(tblCustomers[[#This Row],[PurchaseChannel]])),"")</f>
        <v>Online</v>
      </c>
      <c r="J89" s="16" t="str">
        <f>IFERROR(PROPER(TRIM(tblCustomers[[#This Row],[CustomerType]])),"")</f>
        <v>Returning</v>
      </c>
      <c r="K89" s="16" t="str">
        <f>IFERROR(PROPER(TRIM(tblCustomers[[#This Row],[EngagementLevel]])),"")</f>
        <v>Medium</v>
      </c>
      <c r="L89" s="16" t="str">
        <f>IFERROR(PROPER(TRIM(tblCustomers[[#This Row],[DiscountSensitivity]])),"")</f>
        <v>High</v>
      </c>
      <c r="M89" s="17">
        <f>IFERROR(tblCustomers[[#This Row],[LastPurchaseDate]],"")</f>
        <v>45859</v>
      </c>
      <c r="N89" s="16" t="str">
        <f>IFERROR(IF(tblCustomers[[#This Row],[Age]]&lt;25,"&lt;25",IF(tblCustomers[[#This Row],[Age]]&lt;40,"25-39",IF(tblCustomers[[#This Row],[Age]]&lt;55,"40-54","55+"))),"N/A")</f>
        <v>40-54</v>
      </c>
      <c r="O89" s="16" t="str">
        <f>IFERROR(IF(tblCustomers[[#This Row],[IncomeRange]]&lt;25000,"Low",IF(tblCustomers[[#This Row],[IncomeRange]]&lt;75000,"Mid","High")),"N/A")</f>
        <v>Mid</v>
      </c>
      <c r="P89" s="16" t="str">
        <f>IFERROR(TEXT(tblCustomers[[#This Row],[JoinDate]],"DDDD"),"")</f>
        <v>Thursday</v>
      </c>
      <c r="Q89" s="18" t="b">
        <f>IFERROR(IF(WEEKDAY(tblCustomers[[#This Row],[JoinDate]],2)&gt;=6,TRUE(),FALSE()),FALSE())</f>
        <v>0</v>
      </c>
      <c r="R89" s="16">
        <f ca="1">IFERROR(DATEDIF(tblCustomers[[#This Row],[JoinDate]],TODAY(),"M"),0)</f>
        <v>38</v>
      </c>
      <c r="S89" s="16" t="str">
        <f>IFERROR(IF(AND(tblCustomers[[#This Row],[Age]]&gt;=18,tblCustomers[[#This Row],[IncomeRange]]&gt;0,tblCustomers[[#This Row],[CustomerID]]&lt;&gt;""),"OK","CHECK"),"CHECK")</f>
        <v>OK</v>
      </c>
    </row>
    <row r="90" spans="1:19" ht="15" customHeight="1" x14ac:dyDescent="0.3">
      <c r="A90" s="19" t="str">
        <f>IFERROR(TRIM(tblCustomers[[#This Row],[CustomerID]]),"")</f>
        <v>C0088</v>
      </c>
      <c r="B90" s="19" t="str">
        <f>IFERROR(PROPER(TRIM(tblCustomers[[#This Row],[Name]])),"")</f>
        <v>Manju Mahajan</v>
      </c>
      <c r="C90" s="19" t="str">
        <f>IFERROR(PROPER(TRIM(tblCustomers[[#This Row],[Gender]])),"")</f>
        <v>Female</v>
      </c>
      <c r="D90" s="19">
        <f>IFERROR(tblCustomers[[#This Row],[Age]],"")</f>
        <v>27</v>
      </c>
      <c r="E90" s="19" t="str">
        <f>IFERROR(PROPER(TRIM(tblCustomers[[#This Row],[City/Region]])),"")</f>
        <v>Ahmedabad</v>
      </c>
      <c r="F90" s="19">
        <f>IFERROR(tblCustomers[[#This Row],[IncomeRange]],"")</f>
        <v>25965</v>
      </c>
      <c r="G90" s="19" t="str">
        <f>IFERROR(PROPER(TRIM(tblCustomers[[#This Row],[Occupation]])),"")</f>
        <v>Software Engineer</v>
      </c>
      <c r="H90" s="20">
        <f>IFERROR(tblCustomers[[#This Row],[JoinDate]],"")</f>
        <v>45695</v>
      </c>
      <c r="I90" s="19" t="str">
        <f>IFERROR(PROPER(TRIM(tblCustomers[[#This Row],[PurchaseChannel]])),"")</f>
        <v>Online</v>
      </c>
      <c r="J90" s="19" t="str">
        <f>IFERROR(PROPER(TRIM(tblCustomers[[#This Row],[CustomerType]])),"")</f>
        <v>Returning</v>
      </c>
      <c r="K90" s="19" t="str">
        <f>IFERROR(PROPER(TRIM(tblCustomers[[#This Row],[EngagementLevel]])),"")</f>
        <v>Medium</v>
      </c>
      <c r="L90" s="19" t="str">
        <f>IFERROR(PROPER(TRIM(tblCustomers[[#This Row],[DiscountSensitivity]])),"")</f>
        <v>High</v>
      </c>
      <c r="M90" s="20">
        <f>IFERROR(tblCustomers[[#This Row],[LastPurchaseDate]],"")</f>
        <v>45985</v>
      </c>
      <c r="N90" s="19" t="str">
        <f>IFERROR(IF(tblCustomers[[#This Row],[Age]]&lt;25,"&lt;25",IF(tblCustomers[[#This Row],[Age]]&lt;40,"25-39",IF(tblCustomers[[#This Row],[Age]]&lt;55,"40-54","55+"))),"N/A")</f>
        <v>25-39</v>
      </c>
      <c r="O90" s="19" t="str">
        <f>IFERROR(IF(tblCustomers[[#This Row],[IncomeRange]]&lt;25000,"Low",IF(tblCustomers[[#This Row],[IncomeRange]]&lt;75000,"Mid","High")),"N/A")</f>
        <v>Mid</v>
      </c>
      <c r="P90" s="19" t="str">
        <f>IFERROR(TEXT(tblCustomers[[#This Row],[JoinDate]],"DDDD"),"")</f>
        <v>Friday</v>
      </c>
      <c r="Q90" s="21" t="b">
        <f>IFERROR(IF(WEEKDAY(tblCustomers[[#This Row],[JoinDate]],2)&gt;=6,TRUE(),FALSE()),FALSE())</f>
        <v>0</v>
      </c>
      <c r="R90" s="19">
        <f ca="1">IFERROR(DATEDIF(tblCustomers[[#This Row],[JoinDate]],TODAY(),"M"),0)</f>
        <v>14</v>
      </c>
      <c r="S90" s="19" t="str">
        <f>IFERROR(IF(AND(tblCustomers[[#This Row],[Age]]&gt;=18,tblCustomers[[#This Row],[IncomeRange]]&gt;0,tblCustomers[[#This Row],[CustomerID]]&lt;&gt;""),"OK","CHECK"),"CHECK")</f>
        <v>OK</v>
      </c>
    </row>
    <row r="91" spans="1:19" ht="15" customHeight="1" x14ac:dyDescent="0.3">
      <c r="A91" s="16" t="str">
        <f>IFERROR(TRIM(tblCustomers[[#This Row],[CustomerID]]),"")</f>
        <v>C0089</v>
      </c>
      <c r="B91" s="16" t="str">
        <f>IFERROR(PROPER(TRIM(tblCustomers[[#This Row],[Name]])),"")</f>
        <v>Gauri Deshpande</v>
      </c>
      <c r="C91" s="16" t="str">
        <f>IFERROR(PROPER(TRIM(tblCustomers[[#This Row],[Gender]])),"")</f>
        <v>Female</v>
      </c>
      <c r="D91" s="16">
        <f>IFERROR(tblCustomers[[#This Row],[Age]],"")</f>
        <v>25</v>
      </c>
      <c r="E91" s="16" t="str">
        <f>IFERROR(PROPER(TRIM(tblCustomers[[#This Row],[City/Region]])),"")</f>
        <v>Delhi</v>
      </c>
      <c r="F91" s="16">
        <f>IFERROR(tblCustomers[[#This Row],[IncomeRange]],"")</f>
        <v>95243</v>
      </c>
      <c r="G91" s="16" t="str">
        <f>IFERROR(PROPER(TRIM(tblCustomers[[#This Row],[Occupation]])),"")</f>
        <v>Business Owner</v>
      </c>
      <c r="H91" s="17">
        <f>IFERROR(tblCustomers[[#This Row],[JoinDate]],"")</f>
        <v>45523</v>
      </c>
      <c r="I91" s="16" t="str">
        <f>IFERROR(PROPER(TRIM(tblCustomers[[#This Row],[PurchaseChannel]])),"")</f>
        <v>Online</v>
      </c>
      <c r="J91" s="16" t="str">
        <f>IFERROR(PROPER(TRIM(tblCustomers[[#This Row],[CustomerType]])),"")</f>
        <v>New</v>
      </c>
      <c r="K91" s="16" t="str">
        <f>IFERROR(PROPER(TRIM(tblCustomers[[#This Row],[EngagementLevel]])),"")</f>
        <v>High</v>
      </c>
      <c r="L91" s="16" t="str">
        <f>IFERROR(PROPER(TRIM(tblCustomers[[#This Row],[DiscountSensitivity]])),"")</f>
        <v>Medium</v>
      </c>
      <c r="M91" s="17">
        <f>IFERROR(tblCustomers[[#This Row],[LastPurchaseDate]],"")</f>
        <v>46070</v>
      </c>
      <c r="N91" s="16" t="str">
        <f>IFERROR(IF(tblCustomers[[#This Row],[Age]]&lt;25,"&lt;25",IF(tblCustomers[[#This Row],[Age]]&lt;40,"25-39",IF(tblCustomers[[#This Row],[Age]]&lt;55,"40-54","55+"))),"N/A")</f>
        <v>25-39</v>
      </c>
      <c r="O91" s="16" t="str">
        <f>IFERROR(IF(tblCustomers[[#This Row],[IncomeRange]]&lt;25000,"Low",IF(tblCustomers[[#This Row],[IncomeRange]]&lt;75000,"Mid","High")),"N/A")</f>
        <v>High</v>
      </c>
      <c r="P91" s="16" t="str">
        <f>IFERROR(TEXT(tblCustomers[[#This Row],[JoinDate]],"DDDD"),"")</f>
        <v>Monday</v>
      </c>
      <c r="Q91" s="18" t="b">
        <f>IFERROR(IF(WEEKDAY(tblCustomers[[#This Row],[JoinDate]],2)&gt;=6,TRUE(),FALSE()),FALSE())</f>
        <v>0</v>
      </c>
      <c r="R91" s="16">
        <f ca="1">IFERROR(DATEDIF(tblCustomers[[#This Row],[JoinDate]],TODAY(),"M"),0)</f>
        <v>19</v>
      </c>
      <c r="S91" s="16" t="str">
        <f>IFERROR(IF(AND(tblCustomers[[#This Row],[Age]]&gt;=18,tblCustomers[[#This Row],[IncomeRange]]&gt;0,tblCustomers[[#This Row],[CustomerID]]&lt;&gt;""),"OK","CHECK"),"CHECK")</f>
        <v>OK</v>
      </c>
    </row>
    <row r="92" spans="1:19" ht="15" customHeight="1" x14ac:dyDescent="0.3">
      <c r="A92" s="19" t="str">
        <f>IFERROR(TRIM(tblCustomers[[#This Row],[CustomerID]]),"")</f>
        <v>C0090</v>
      </c>
      <c r="B92" s="19" t="str">
        <f>IFERROR(PROPER(TRIM(tblCustomers[[#This Row],[Name]])),"")</f>
        <v>Shraddha Kulkarni</v>
      </c>
      <c r="C92" s="19" t="str">
        <f>IFERROR(PROPER(TRIM(tblCustomers[[#This Row],[Gender]])),"")</f>
        <v>Female</v>
      </c>
      <c r="D92" s="19">
        <f>IFERROR(tblCustomers[[#This Row],[Age]],"")</f>
        <v>49</v>
      </c>
      <c r="E92" s="19" t="str">
        <f>IFERROR(PROPER(TRIM(tblCustomers[[#This Row],[City/Region]])),"")</f>
        <v>Noida</v>
      </c>
      <c r="F92" s="19">
        <f>IFERROR(tblCustomers[[#This Row],[IncomeRange]],"")</f>
        <v>127756</v>
      </c>
      <c r="G92" s="19" t="str">
        <f>IFERROR(PROPER(TRIM(tblCustomers[[#This Row],[Occupation]])),"")</f>
        <v>Marketing Manager</v>
      </c>
      <c r="H92" s="20">
        <f>IFERROR(tblCustomers[[#This Row],[JoinDate]],"")</f>
        <v>45382</v>
      </c>
      <c r="I92" s="19" t="str">
        <f>IFERROR(PROPER(TRIM(tblCustomers[[#This Row],[PurchaseChannel]])),"")</f>
        <v>Online</v>
      </c>
      <c r="J92" s="19" t="str">
        <f>IFERROR(PROPER(TRIM(tblCustomers[[#This Row],[CustomerType]])),"")</f>
        <v>Returning</v>
      </c>
      <c r="K92" s="19" t="str">
        <f>IFERROR(PROPER(TRIM(tblCustomers[[#This Row],[EngagementLevel]])),"")</f>
        <v>Medium</v>
      </c>
      <c r="L92" s="19" t="str">
        <f>IFERROR(PROPER(TRIM(tblCustomers[[#This Row],[DiscountSensitivity]])),"")</f>
        <v>Low</v>
      </c>
      <c r="M92" s="20">
        <f>IFERROR(tblCustomers[[#This Row],[LastPurchaseDate]],"")</f>
        <v>46100</v>
      </c>
      <c r="N92" s="19" t="str">
        <f>IFERROR(IF(tblCustomers[[#This Row],[Age]]&lt;25,"&lt;25",IF(tblCustomers[[#This Row],[Age]]&lt;40,"25-39",IF(tblCustomers[[#This Row],[Age]]&lt;55,"40-54","55+"))),"N/A")</f>
        <v>40-54</v>
      </c>
      <c r="O92" s="19" t="str">
        <f>IFERROR(IF(tblCustomers[[#This Row],[IncomeRange]]&lt;25000,"Low",IF(tblCustomers[[#This Row],[IncomeRange]]&lt;75000,"Mid","High")),"N/A")</f>
        <v>High</v>
      </c>
      <c r="P92" s="19" t="str">
        <f>IFERROR(TEXT(tblCustomers[[#This Row],[JoinDate]],"DDDD"),"")</f>
        <v>Sunday</v>
      </c>
      <c r="Q92" s="21" t="b">
        <f>IFERROR(IF(WEEKDAY(tblCustomers[[#This Row],[JoinDate]],2)&gt;=6,TRUE(),FALSE()),FALSE())</f>
        <v>1</v>
      </c>
      <c r="R92" s="19">
        <f ca="1">IFERROR(DATEDIF(tblCustomers[[#This Row],[JoinDate]],TODAY(),"M"),0)</f>
        <v>24</v>
      </c>
      <c r="S92" s="19" t="str">
        <f>IFERROR(IF(AND(tblCustomers[[#This Row],[Age]]&gt;=18,tblCustomers[[#This Row],[IncomeRange]]&gt;0,tblCustomers[[#This Row],[CustomerID]]&lt;&gt;""),"OK","CHECK"),"CHECK")</f>
        <v>OK</v>
      </c>
    </row>
    <row r="93" spans="1:19" ht="15" customHeight="1" x14ac:dyDescent="0.3">
      <c r="A93" s="16" t="str">
        <f>IFERROR(TRIM(tblCustomers[[#This Row],[CustomerID]]),"")</f>
        <v>C0091</v>
      </c>
      <c r="B93" s="16" t="str">
        <f>IFERROR(PROPER(TRIM(tblCustomers[[#This Row],[Name]])),"")</f>
        <v>Sapna Garg</v>
      </c>
      <c r="C93" s="16" t="str">
        <f>IFERROR(PROPER(TRIM(tblCustomers[[#This Row],[Gender]])),"")</f>
        <v>Female</v>
      </c>
      <c r="D93" s="16">
        <f>IFERROR(tblCustomers[[#This Row],[Age]],"")</f>
        <v>55</v>
      </c>
      <c r="E93" s="16" t="str">
        <f>IFERROR(PROPER(TRIM(tblCustomers[[#This Row],[City/Region]])),"")</f>
        <v>Kolkata</v>
      </c>
      <c r="F93" s="16">
        <f>IFERROR(tblCustomers[[#This Row],[IncomeRange]],"")</f>
        <v>31164</v>
      </c>
      <c r="G93" s="16" t="str">
        <f>IFERROR(PROPER(TRIM(tblCustomers[[#This Row],[Occupation]])),"")</f>
        <v>Doctor</v>
      </c>
      <c r="H93" s="17">
        <f>IFERROR(tblCustomers[[#This Row],[JoinDate]],"")</f>
        <v>44804</v>
      </c>
      <c r="I93" s="16" t="str">
        <f>IFERROR(PROPER(TRIM(tblCustomers[[#This Row],[PurchaseChannel]])),"")</f>
        <v>Online</v>
      </c>
      <c r="J93" s="16" t="str">
        <f>IFERROR(PROPER(TRIM(tblCustomers[[#This Row],[CustomerType]])),"")</f>
        <v>Returning</v>
      </c>
      <c r="K93" s="16" t="str">
        <f>IFERROR(PROPER(TRIM(tblCustomers[[#This Row],[EngagementLevel]])),"")</f>
        <v>Medium</v>
      </c>
      <c r="L93" s="16" t="str">
        <f>IFERROR(PROPER(TRIM(tblCustomers[[#This Row],[DiscountSensitivity]])),"")</f>
        <v>Medium</v>
      </c>
      <c r="M93" s="17">
        <f>IFERROR(tblCustomers[[#This Row],[LastPurchaseDate]],"")</f>
        <v>46065</v>
      </c>
      <c r="N93" s="16" t="str">
        <f>IFERROR(IF(tblCustomers[[#This Row],[Age]]&lt;25,"&lt;25",IF(tblCustomers[[#This Row],[Age]]&lt;40,"25-39",IF(tblCustomers[[#This Row],[Age]]&lt;55,"40-54","55+"))),"N/A")</f>
        <v>55+</v>
      </c>
      <c r="O93" s="16" t="str">
        <f>IFERROR(IF(tblCustomers[[#This Row],[IncomeRange]]&lt;25000,"Low",IF(tblCustomers[[#This Row],[IncomeRange]]&lt;75000,"Mid","High")),"N/A")</f>
        <v>Mid</v>
      </c>
      <c r="P93" s="16" t="str">
        <f>IFERROR(TEXT(tblCustomers[[#This Row],[JoinDate]],"DDDD"),"")</f>
        <v>Wednesday</v>
      </c>
      <c r="Q93" s="18" t="b">
        <f>IFERROR(IF(WEEKDAY(tblCustomers[[#This Row],[JoinDate]],2)&gt;=6,TRUE(),FALSE()),FALSE())</f>
        <v>0</v>
      </c>
      <c r="R93" s="16">
        <f ca="1">IFERROR(DATEDIF(tblCustomers[[#This Row],[JoinDate]],TODAY(),"M"),0)</f>
        <v>43</v>
      </c>
      <c r="S93" s="16" t="str">
        <f>IFERROR(IF(AND(tblCustomers[[#This Row],[Age]]&gt;=18,tblCustomers[[#This Row],[IncomeRange]]&gt;0,tblCustomers[[#This Row],[CustomerID]]&lt;&gt;""),"OK","CHECK"),"CHECK")</f>
        <v>OK</v>
      </c>
    </row>
    <row r="94" spans="1:19" ht="15" customHeight="1" x14ac:dyDescent="0.3">
      <c r="A94" s="19" t="str">
        <f>IFERROR(TRIM(tblCustomers[[#This Row],[CustomerID]]),"")</f>
        <v>C0092</v>
      </c>
      <c r="B94" s="19" t="str">
        <f>IFERROR(PROPER(TRIM(tblCustomers[[#This Row],[Name]])),"")</f>
        <v>Vaishali Shukla</v>
      </c>
      <c r="C94" s="19" t="str">
        <f>IFERROR(PROPER(TRIM(tblCustomers[[#This Row],[Gender]])),"")</f>
        <v>Female</v>
      </c>
      <c r="D94" s="19">
        <f>IFERROR(tblCustomers[[#This Row],[Age]],"")</f>
        <v>52</v>
      </c>
      <c r="E94" s="19" t="str">
        <f>IFERROR(PROPER(TRIM(tblCustomers[[#This Row],[City/Region]])),"")</f>
        <v>Faridabad</v>
      </c>
      <c r="F94" s="19">
        <f>IFERROR(tblCustomers[[#This Row],[IncomeRange]],"")</f>
        <v>79049</v>
      </c>
      <c r="G94" s="19" t="str">
        <f>IFERROR(PROPER(TRIM(tblCustomers[[#This Row],[Occupation]])),"")</f>
        <v>Entrepreneur</v>
      </c>
      <c r="H94" s="20">
        <f>IFERROR(tblCustomers[[#This Row],[JoinDate]],"")</f>
        <v>45468</v>
      </c>
      <c r="I94" s="19" t="str">
        <f>IFERROR(PROPER(TRIM(tblCustomers[[#This Row],[PurchaseChannel]])),"")</f>
        <v>Online</v>
      </c>
      <c r="J94" s="19" t="str">
        <f>IFERROR(PROPER(TRIM(tblCustomers[[#This Row],[CustomerType]])),"")</f>
        <v>Returning</v>
      </c>
      <c r="K94" s="19" t="str">
        <f>IFERROR(PROPER(TRIM(tblCustomers[[#This Row],[EngagementLevel]])),"")</f>
        <v>Medium</v>
      </c>
      <c r="L94" s="19" t="str">
        <f>IFERROR(PROPER(TRIM(tblCustomers[[#This Row],[DiscountSensitivity]])),"")</f>
        <v>Medium</v>
      </c>
      <c r="M94" s="20">
        <f>IFERROR(tblCustomers[[#This Row],[LastPurchaseDate]],"")</f>
        <v>46082</v>
      </c>
      <c r="N94" s="19" t="str">
        <f>IFERROR(IF(tblCustomers[[#This Row],[Age]]&lt;25,"&lt;25",IF(tblCustomers[[#This Row],[Age]]&lt;40,"25-39",IF(tblCustomers[[#This Row],[Age]]&lt;55,"40-54","55+"))),"N/A")</f>
        <v>40-54</v>
      </c>
      <c r="O94" s="19" t="str">
        <f>IFERROR(IF(tblCustomers[[#This Row],[IncomeRange]]&lt;25000,"Low",IF(tblCustomers[[#This Row],[IncomeRange]]&lt;75000,"Mid","High")),"N/A")</f>
        <v>High</v>
      </c>
      <c r="P94" s="19" t="str">
        <f>IFERROR(TEXT(tblCustomers[[#This Row],[JoinDate]],"DDDD"),"")</f>
        <v>Tuesday</v>
      </c>
      <c r="Q94" s="21" t="b">
        <f>IFERROR(IF(WEEKDAY(tblCustomers[[#This Row],[JoinDate]],2)&gt;=6,TRUE(),FALSE()),FALSE())</f>
        <v>0</v>
      </c>
      <c r="R94" s="19">
        <f ca="1">IFERROR(DATEDIF(tblCustomers[[#This Row],[JoinDate]],TODAY(),"M"),0)</f>
        <v>21</v>
      </c>
      <c r="S94" s="19" t="str">
        <f>IFERROR(IF(AND(tblCustomers[[#This Row],[Age]]&gt;=18,tblCustomers[[#This Row],[IncomeRange]]&gt;0,tblCustomers[[#This Row],[CustomerID]]&lt;&gt;""),"OK","CHECK"),"CHECK")</f>
        <v>OK</v>
      </c>
    </row>
    <row r="95" spans="1:19" ht="15" customHeight="1" x14ac:dyDescent="0.3">
      <c r="A95" s="16" t="str">
        <f>IFERROR(TRIM(tblCustomers[[#This Row],[CustomerID]]),"")</f>
        <v>C0093</v>
      </c>
      <c r="B95" s="16" t="str">
        <f>IFERROR(PROPER(TRIM(tblCustomers[[#This Row],[Name]])),"")</f>
        <v>Tejal Patil</v>
      </c>
      <c r="C95" s="16" t="str">
        <f>IFERROR(PROPER(TRIM(tblCustomers[[#This Row],[Gender]])),"")</f>
        <v>Female</v>
      </c>
      <c r="D95" s="16">
        <f>IFERROR(tblCustomers[[#This Row],[Age]],"")</f>
        <v>22</v>
      </c>
      <c r="E95" s="16" t="str">
        <f>IFERROR(PROPER(TRIM(tblCustomers[[#This Row],[City/Region]])),"")</f>
        <v>Bhubaneswar</v>
      </c>
      <c r="F95" s="16">
        <f>IFERROR(tblCustomers[[#This Row],[IncomeRange]],"")</f>
        <v>145843</v>
      </c>
      <c r="G95" s="16" t="str">
        <f>IFERROR(PROPER(TRIM(tblCustomers[[#This Row],[Occupation]])),"")</f>
        <v>Finance Analyst</v>
      </c>
      <c r="H95" s="17">
        <f>IFERROR(tblCustomers[[#This Row],[JoinDate]],"")</f>
        <v>44765</v>
      </c>
      <c r="I95" s="16" t="str">
        <f>IFERROR(PROPER(TRIM(tblCustomers[[#This Row],[PurchaseChannel]])),"")</f>
        <v>Offline</v>
      </c>
      <c r="J95" s="16" t="str">
        <f>IFERROR(PROPER(TRIM(tblCustomers[[#This Row],[CustomerType]])),"")</f>
        <v>New</v>
      </c>
      <c r="K95" s="16" t="str">
        <f>IFERROR(PROPER(TRIM(tblCustomers[[#This Row],[EngagementLevel]])),"")</f>
        <v>Low</v>
      </c>
      <c r="L95" s="16" t="str">
        <f>IFERROR(PROPER(TRIM(tblCustomers[[#This Row],[DiscountSensitivity]])),"")</f>
        <v>Medium</v>
      </c>
      <c r="M95" s="17">
        <f>IFERROR(tblCustomers[[#This Row],[LastPurchaseDate]],"")</f>
        <v>45961</v>
      </c>
      <c r="N95" s="16" t="str">
        <f>IFERROR(IF(tblCustomers[[#This Row],[Age]]&lt;25,"&lt;25",IF(tblCustomers[[#This Row],[Age]]&lt;40,"25-39",IF(tblCustomers[[#This Row],[Age]]&lt;55,"40-54","55+"))),"N/A")</f>
        <v>&lt;25</v>
      </c>
      <c r="O95" s="16" t="str">
        <f>IFERROR(IF(tblCustomers[[#This Row],[IncomeRange]]&lt;25000,"Low",IF(tblCustomers[[#This Row],[IncomeRange]]&lt;75000,"Mid","High")),"N/A")</f>
        <v>High</v>
      </c>
      <c r="P95" s="16" t="str">
        <f>IFERROR(TEXT(tblCustomers[[#This Row],[JoinDate]],"DDDD"),"")</f>
        <v>Saturday</v>
      </c>
      <c r="Q95" s="18" t="b">
        <f>IFERROR(IF(WEEKDAY(tblCustomers[[#This Row],[JoinDate]],2)&gt;=6,TRUE(),FALSE()),FALSE())</f>
        <v>1</v>
      </c>
      <c r="R95" s="16">
        <f ca="1">IFERROR(DATEDIF(tblCustomers[[#This Row],[JoinDate]],TODAY(),"M"),0)</f>
        <v>44</v>
      </c>
      <c r="S95" s="16" t="str">
        <f>IFERROR(IF(AND(tblCustomers[[#This Row],[Age]]&gt;=18,tblCustomers[[#This Row],[IncomeRange]]&gt;0,tblCustomers[[#This Row],[CustomerID]]&lt;&gt;""),"OK","CHECK"),"CHECK")</f>
        <v>OK</v>
      </c>
    </row>
    <row r="96" spans="1:19" ht="15" customHeight="1" x14ac:dyDescent="0.3">
      <c r="A96" s="19" t="str">
        <f>IFERROR(TRIM(tblCustomers[[#This Row],[CustomerID]]),"")</f>
        <v>C0094</v>
      </c>
      <c r="B96" s="19" t="str">
        <f>IFERROR(PROPER(TRIM(tblCustomers[[#This Row],[Name]])),"")</f>
        <v>Jyoti Parekh</v>
      </c>
      <c r="C96" s="19" t="str">
        <f>IFERROR(PROPER(TRIM(tblCustomers[[#This Row],[Gender]])),"")</f>
        <v>Female</v>
      </c>
      <c r="D96" s="19">
        <f>IFERROR(tblCustomers[[#This Row],[Age]],"")</f>
        <v>29</v>
      </c>
      <c r="E96" s="19" t="str">
        <f>IFERROR(PROPER(TRIM(tblCustomers[[#This Row],[City/Region]])),"")</f>
        <v>Pune</v>
      </c>
      <c r="F96" s="19">
        <f>IFERROR(tblCustomers[[#This Row],[IncomeRange]],"")</f>
        <v>42782</v>
      </c>
      <c r="G96" s="19" t="str">
        <f>IFERROR(PROPER(TRIM(tblCustomers[[#This Row],[Occupation]])),"")</f>
        <v>Student</v>
      </c>
      <c r="H96" s="20">
        <f>IFERROR(tblCustomers[[#This Row],[JoinDate]],"")</f>
        <v>44715</v>
      </c>
      <c r="I96" s="19" t="str">
        <f>IFERROR(PROPER(TRIM(tblCustomers[[#This Row],[PurchaseChannel]])),"")</f>
        <v>Online</v>
      </c>
      <c r="J96" s="19" t="str">
        <f>IFERROR(PROPER(TRIM(tblCustomers[[#This Row],[CustomerType]])),"")</f>
        <v>Returning</v>
      </c>
      <c r="K96" s="19" t="str">
        <f>IFERROR(PROPER(TRIM(tblCustomers[[#This Row],[EngagementLevel]])),"")</f>
        <v>Medium</v>
      </c>
      <c r="L96" s="19" t="str">
        <f>IFERROR(PROPER(TRIM(tblCustomers[[#This Row],[DiscountSensitivity]])),"")</f>
        <v>Medium</v>
      </c>
      <c r="M96" s="20">
        <f>IFERROR(tblCustomers[[#This Row],[LastPurchaseDate]],"")</f>
        <v>45920</v>
      </c>
      <c r="N96" s="19" t="str">
        <f>IFERROR(IF(tblCustomers[[#This Row],[Age]]&lt;25,"&lt;25",IF(tblCustomers[[#This Row],[Age]]&lt;40,"25-39",IF(tblCustomers[[#This Row],[Age]]&lt;55,"40-54","55+"))),"N/A")</f>
        <v>25-39</v>
      </c>
      <c r="O96" s="19" t="str">
        <f>IFERROR(IF(tblCustomers[[#This Row],[IncomeRange]]&lt;25000,"Low",IF(tblCustomers[[#This Row],[IncomeRange]]&lt;75000,"Mid","High")),"N/A")</f>
        <v>Mid</v>
      </c>
      <c r="P96" s="19" t="str">
        <f>IFERROR(TEXT(tblCustomers[[#This Row],[JoinDate]],"DDDD"),"")</f>
        <v>Friday</v>
      </c>
      <c r="Q96" s="21" t="b">
        <f>IFERROR(IF(WEEKDAY(tblCustomers[[#This Row],[JoinDate]],2)&gt;=6,TRUE(),FALSE()),FALSE())</f>
        <v>0</v>
      </c>
      <c r="R96" s="19">
        <f ca="1">IFERROR(DATEDIF(tblCustomers[[#This Row],[JoinDate]],TODAY(),"M"),0)</f>
        <v>46</v>
      </c>
      <c r="S96" s="19" t="str">
        <f>IFERROR(IF(AND(tblCustomers[[#This Row],[Age]]&gt;=18,tblCustomers[[#This Row],[IncomeRange]]&gt;0,tblCustomers[[#This Row],[CustomerID]]&lt;&gt;""),"OK","CHECK"),"CHECK")</f>
        <v>OK</v>
      </c>
    </row>
    <row r="97" spans="1:19" ht="15" customHeight="1" x14ac:dyDescent="0.3">
      <c r="A97" s="16" t="str">
        <f>IFERROR(TRIM(tblCustomers[[#This Row],[CustomerID]]),"")</f>
        <v>C0095</v>
      </c>
      <c r="B97" s="16" t="str">
        <f>IFERROR(PROPER(TRIM(tblCustomers[[#This Row],[Name]])),"")</f>
        <v>Ridhi Oberoi</v>
      </c>
      <c r="C97" s="16" t="str">
        <f>IFERROR(PROPER(TRIM(tblCustomers[[#This Row],[Gender]])),"")</f>
        <v>Female</v>
      </c>
      <c r="D97" s="16">
        <f>IFERROR(tblCustomers[[#This Row],[Age]],"")</f>
        <v>21</v>
      </c>
      <c r="E97" s="16" t="str">
        <f>IFERROR(PROPER(TRIM(tblCustomers[[#This Row],[City/Region]])),"")</f>
        <v>Pune</v>
      </c>
      <c r="F97" s="16">
        <f>IFERROR(tblCustomers[[#This Row],[IncomeRange]],"")</f>
        <v>57762</v>
      </c>
      <c r="G97" s="16" t="str">
        <f>IFERROR(PROPER(TRIM(tblCustomers[[#This Row],[Occupation]])),"")</f>
        <v>Finance Analyst</v>
      </c>
      <c r="H97" s="17">
        <f>IFERROR(tblCustomers[[#This Row],[JoinDate]],"")</f>
        <v>45141</v>
      </c>
      <c r="I97" s="16" t="str">
        <f>IFERROR(PROPER(TRIM(tblCustomers[[#This Row],[PurchaseChannel]])),"")</f>
        <v>Offline</v>
      </c>
      <c r="J97" s="16" t="str">
        <f>IFERROR(PROPER(TRIM(tblCustomers[[#This Row],[CustomerType]])),"")</f>
        <v>Returning</v>
      </c>
      <c r="K97" s="16" t="str">
        <f>IFERROR(PROPER(TRIM(tblCustomers[[#This Row],[EngagementLevel]])),"")</f>
        <v>Medium</v>
      </c>
      <c r="L97" s="16" t="str">
        <f>IFERROR(PROPER(TRIM(tblCustomers[[#This Row],[DiscountSensitivity]])),"")</f>
        <v>High</v>
      </c>
      <c r="M97" s="17">
        <f>IFERROR(tblCustomers[[#This Row],[LastPurchaseDate]],"")</f>
        <v>46032</v>
      </c>
      <c r="N97" s="16" t="str">
        <f>IFERROR(IF(tblCustomers[[#This Row],[Age]]&lt;25,"&lt;25",IF(tblCustomers[[#This Row],[Age]]&lt;40,"25-39",IF(tblCustomers[[#This Row],[Age]]&lt;55,"40-54","55+"))),"N/A")</f>
        <v>&lt;25</v>
      </c>
      <c r="O97" s="16" t="str">
        <f>IFERROR(IF(tblCustomers[[#This Row],[IncomeRange]]&lt;25000,"Low",IF(tblCustomers[[#This Row],[IncomeRange]]&lt;75000,"Mid","High")),"N/A")</f>
        <v>Mid</v>
      </c>
      <c r="P97" s="16" t="str">
        <f>IFERROR(TEXT(tblCustomers[[#This Row],[JoinDate]],"DDDD"),"")</f>
        <v>Thursday</v>
      </c>
      <c r="Q97" s="18" t="b">
        <f>IFERROR(IF(WEEKDAY(tblCustomers[[#This Row],[JoinDate]],2)&gt;=6,TRUE(),FALSE()),FALSE())</f>
        <v>0</v>
      </c>
      <c r="R97" s="16">
        <f ca="1">IFERROR(DATEDIF(tblCustomers[[#This Row],[JoinDate]],TODAY(),"M"),0)</f>
        <v>32</v>
      </c>
      <c r="S97" s="16" t="str">
        <f>IFERROR(IF(AND(tblCustomers[[#This Row],[Age]]&gt;=18,tblCustomers[[#This Row],[IncomeRange]]&gt;0,tblCustomers[[#This Row],[CustomerID]]&lt;&gt;""),"OK","CHECK"),"CHECK")</f>
        <v>OK</v>
      </c>
    </row>
    <row r="98" spans="1:19" ht="15" customHeight="1" x14ac:dyDescent="0.3">
      <c r="A98" s="19" t="str">
        <f>IFERROR(TRIM(tblCustomers[[#This Row],[CustomerID]]),"")</f>
        <v>C0096</v>
      </c>
      <c r="B98" s="19" t="str">
        <f>IFERROR(PROPER(TRIM(tblCustomers[[#This Row],[Name]])),"")</f>
        <v>Varsha Mitra</v>
      </c>
      <c r="C98" s="19" t="str">
        <f>IFERROR(PROPER(TRIM(tblCustomers[[#This Row],[Gender]])),"")</f>
        <v>Female</v>
      </c>
      <c r="D98" s="19">
        <f>IFERROR(tblCustomers[[#This Row],[Age]],"")</f>
        <v>59</v>
      </c>
      <c r="E98" s="19" t="str">
        <f>IFERROR(PROPER(TRIM(tblCustomers[[#This Row],[City/Region]])),"")</f>
        <v>Nagpur</v>
      </c>
      <c r="F98" s="19">
        <f>IFERROR(tblCustomers[[#This Row],[IncomeRange]],"")</f>
        <v>106662</v>
      </c>
      <c r="G98" s="19" t="str">
        <f>IFERROR(PROPER(TRIM(tblCustomers[[#This Row],[Occupation]])),"")</f>
        <v>Operations Manager</v>
      </c>
      <c r="H98" s="20">
        <f>IFERROR(tblCustomers[[#This Row],[JoinDate]],"")</f>
        <v>44967</v>
      </c>
      <c r="I98" s="19" t="str">
        <f>IFERROR(PROPER(TRIM(tblCustomers[[#This Row],[PurchaseChannel]])),"")</f>
        <v>Online</v>
      </c>
      <c r="J98" s="19" t="str">
        <f>IFERROR(PROPER(TRIM(tblCustomers[[#This Row],[CustomerType]])),"")</f>
        <v>Returning</v>
      </c>
      <c r="K98" s="19" t="str">
        <f>IFERROR(PROPER(TRIM(tblCustomers[[#This Row],[EngagementLevel]])),"")</f>
        <v>Medium</v>
      </c>
      <c r="L98" s="19" t="str">
        <f>IFERROR(PROPER(TRIM(tblCustomers[[#This Row],[DiscountSensitivity]])),"")</f>
        <v>High</v>
      </c>
      <c r="M98" s="20">
        <f>IFERROR(tblCustomers[[#This Row],[LastPurchaseDate]],"")</f>
        <v>46006</v>
      </c>
      <c r="N98" s="19" t="str">
        <f>IFERROR(IF(tblCustomers[[#This Row],[Age]]&lt;25,"&lt;25",IF(tblCustomers[[#This Row],[Age]]&lt;40,"25-39",IF(tblCustomers[[#This Row],[Age]]&lt;55,"40-54","55+"))),"N/A")</f>
        <v>55+</v>
      </c>
      <c r="O98" s="19" t="str">
        <f>IFERROR(IF(tblCustomers[[#This Row],[IncomeRange]]&lt;25000,"Low",IF(tblCustomers[[#This Row],[IncomeRange]]&lt;75000,"Mid","High")),"N/A")</f>
        <v>High</v>
      </c>
      <c r="P98" s="19" t="str">
        <f>IFERROR(TEXT(tblCustomers[[#This Row],[JoinDate]],"DDDD"),"")</f>
        <v>Friday</v>
      </c>
      <c r="Q98" s="21" t="b">
        <f>IFERROR(IF(WEEKDAY(tblCustomers[[#This Row],[JoinDate]],2)&gt;=6,TRUE(),FALSE()),FALSE())</f>
        <v>0</v>
      </c>
      <c r="R98" s="19">
        <f ca="1">IFERROR(DATEDIF(tblCustomers[[#This Row],[JoinDate]],TODAY(),"M"),0)</f>
        <v>38</v>
      </c>
      <c r="S98" s="19" t="str">
        <f>IFERROR(IF(AND(tblCustomers[[#This Row],[Age]]&gt;=18,tblCustomers[[#This Row],[IncomeRange]]&gt;0,tblCustomers[[#This Row],[CustomerID]]&lt;&gt;""),"OK","CHECK"),"CHECK")</f>
        <v>OK</v>
      </c>
    </row>
    <row r="99" spans="1:19" ht="15" customHeight="1" x14ac:dyDescent="0.3">
      <c r="A99" s="16" t="str">
        <f>IFERROR(TRIM(tblCustomers[[#This Row],[CustomerID]]),"")</f>
        <v>C0097</v>
      </c>
      <c r="B99" s="16" t="str">
        <f>IFERROR(PROPER(TRIM(tblCustomers[[#This Row],[Name]])),"")</f>
        <v>Rupal Sinha</v>
      </c>
      <c r="C99" s="16" t="str">
        <f>IFERROR(PROPER(TRIM(tblCustomers[[#This Row],[Gender]])),"")</f>
        <v>Female</v>
      </c>
      <c r="D99" s="16">
        <f>IFERROR(tblCustomers[[#This Row],[Age]],"")</f>
        <v>28</v>
      </c>
      <c r="E99" s="16" t="str">
        <f>IFERROR(PROPER(TRIM(tblCustomers[[#This Row],[City/Region]])),"")</f>
        <v>Bangalore</v>
      </c>
      <c r="F99" s="16">
        <f>IFERROR(tblCustomers[[#This Row],[IncomeRange]],"")</f>
        <v>27816</v>
      </c>
      <c r="G99" s="16" t="str">
        <f>IFERROR(PROPER(TRIM(tblCustomers[[#This Row],[Occupation]])),"")</f>
        <v>Teacher</v>
      </c>
      <c r="H99" s="17">
        <f>IFERROR(tblCustomers[[#This Row],[JoinDate]],"")</f>
        <v>45191</v>
      </c>
      <c r="I99" s="16" t="str">
        <f>IFERROR(PROPER(TRIM(tblCustomers[[#This Row],[PurchaseChannel]])),"")</f>
        <v>Online</v>
      </c>
      <c r="J99" s="16" t="str">
        <f>IFERROR(PROPER(TRIM(tblCustomers[[#This Row],[CustomerType]])),"")</f>
        <v>Returning</v>
      </c>
      <c r="K99" s="16" t="str">
        <f>IFERROR(PROPER(TRIM(tblCustomers[[#This Row],[EngagementLevel]])),"")</f>
        <v>High</v>
      </c>
      <c r="L99" s="16" t="str">
        <f>IFERROR(PROPER(TRIM(tblCustomers[[#This Row],[DiscountSensitivity]])),"")</f>
        <v>Medium</v>
      </c>
      <c r="M99" s="17">
        <f>IFERROR(tblCustomers[[#This Row],[LastPurchaseDate]],"")</f>
        <v>46020</v>
      </c>
      <c r="N99" s="16" t="str">
        <f>IFERROR(IF(tblCustomers[[#This Row],[Age]]&lt;25,"&lt;25",IF(tblCustomers[[#This Row],[Age]]&lt;40,"25-39",IF(tblCustomers[[#This Row],[Age]]&lt;55,"40-54","55+"))),"N/A")</f>
        <v>25-39</v>
      </c>
      <c r="O99" s="16" t="str">
        <f>IFERROR(IF(tblCustomers[[#This Row],[IncomeRange]]&lt;25000,"Low",IF(tblCustomers[[#This Row],[IncomeRange]]&lt;75000,"Mid","High")),"N/A")</f>
        <v>Mid</v>
      </c>
      <c r="P99" s="16" t="str">
        <f>IFERROR(TEXT(tblCustomers[[#This Row],[JoinDate]],"DDDD"),"")</f>
        <v>Friday</v>
      </c>
      <c r="Q99" s="18" t="b">
        <f>IFERROR(IF(WEEKDAY(tblCustomers[[#This Row],[JoinDate]],2)&gt;=6,TRUE(),FALSE()),FALSE())</f>
        <v>0</v>
      </c>
      <c r="R99" s="16">
        <f ca="1">IFERROR(DATEDIF(tblCustomers[[#This Row],[JoinDate]],TODAY(),"M"),0)</f>
        <v>30</v>
      </c>
      <c r="S99" s="16" t="str">
        <f>IFERROR(IF(AND(tblCustomers[[#This Row],[Age]]&gt;=18,tblCustomers[[#This Row],[IncomeRange]]&gt;0,tblCustomers[[#This Row],[CustomerID]]&lt;&gt;""),"OK","CHECK"),"CHECK")</f>
        <v>OK</v>
      </c>
    </row>
    <row r="100" spans="1:19" ht="15" customHeight="1" x14ac:dyDescent="0.3">
      <c r="A100" s="19" t="str">
        <f>IFERROR(TRIM(tblCustomers[[#This Row],[CustomerID]]),"")</f>
        <v>C0098</v>
      </c>
      <c r="B100" s="19" t="str">
        <f>IFERROR(PROPER(TRIM(tblCustomers[[#This Row],[Name]])),"")</f>
        <v>Prerna Rastogi</v>
      </c>
      <c r="C100" s="19" t="str">
        <f>IFERROR(PROPER(TRIM(tblCustomers[[#This Row],[Gender]])),"")</f>
        <v>Female</v>
      </c>
      <c r="D100" s="19">
        <f>IFERROR(tblCustomers[[#This Row],[Age]],"")</f>
        <v>48</v>
      </c>
      <c r="E100" s="19" t="str">
        <f>IFERROR(PROPER(TRIM(tblCustomers[[#This Row],[City/Region]])),"")</f>
        <v>Kolkata</v>
      </c>
      <c r="F100" s="19">
        <f>IFERROR(tblCustomers[[#This Row],[IncomeRange]],"")</f>
        <v>111715</v>
      </c>
      <c r="G100" s="19" t="str">
        <f>IFERROR(PROPER(TRIM(tblCustomers[[#This Row],[Occupation]])),"")</f>
        <v>Hr Manager</v>
      </c>
      <c r="H100" s="20">
        <f>IFERROR(tblCustomers[[#This Row],[JoinDate]],"")</f>
        <v>45119</v>
      </c>
      <c r="I100" s="19" t="str">
        <f>IFERROR(PROPER(TRIM(tblCustomers[[#This Row],[PurchaseChannel]])),"")</f>
        <v>Online</v>
      </c>
      <c r="J100" s="19" t="str">
        <f>IFERROR(PROPER(TRIM(tblCustomers[[#This Row],[CustomerType]])),"")</f>
        <v>Returning</v>
      </c>
      <c r="K100" s="19" t="str">
        <f>IFERROR(PROPER(TRIM(tblCustomers[[#This Row],[EngagementLevel]])),"")</f>
        <v>Low</v>
      </c>
      <c r="L100" s="19" t="str">
        <f>IFERROR(PROPER(TRIM(tblCustomers[[#This Row],[DiscountSensitivity]])),"")</f>
        <v>Low</v>
      </c>
      <c r="M100" s="20">
        <f>IFERROR(tblCustomers[[#This Row],[LastPurchaseDate]],"")</f>
        <v>46065</v>
      </c>
      <c r="N100" s="19" t="str">
        <f>IFERROR(IF(tblCustomers[[#This Row],[Age]]&lt;25,"&lt;25",IF(tblCustomers[[#This Row],[Age]]&lt;40,"25-39",IF(tblCustomers[[#This Row],[Age]]&lt;55,"40-54","55+"))),"N/A")</f>
        <v>40-54</v>
      </c>
      <c r="O100" s="19" t="str">
        <f>IFERROR(IF(tblCustomers[[#This Row],[IncomeRange]]&lt;25000,"Low",IF(tblCustomers[[#This Row],[IncomeRange]]&lt;75000,"Mid","High")),"N/A")</f>
        <v>High</v>
      </c>
      <c r="P100" s="19" t="str">
        <f>IFERROR(TEXT(tblCustomers[[#This Row],[JoinDate]],"DDDD"),"")</f>
        <v>Wednesday</v>
      </c>
      <c r="Q100" s="21" t="b">
        <f>IFERROR(IF(WEEKDAY(tblCustomers[[#This Row],[JoinDate]],2)&gt;=6,TRUE(),FALSE()),FALSE())</f>
        <v>0</v>
      </c>
      <c r="R100" s="19">
        <f ca="1">IFERROR(DATEDIF(tblCustomers[[#This Row],[JoinDate]],TODAY(),"M"),0)</f>
        <v>33</v>
      </c>
      <c r="S100" s="19" t="str">
        <f>IFERROR(IF(AND(tblCustomers[[#This Row],[Age]]&gt;=18,tblCustomers[[#This Row],[IncomeRange]]&gt;0,tblCustomers[[#This Row],[CustomerID]]&lt;&gt;""),"OK","CHECK"),"CHECK")</f>
        <v>OK</v>
      </c>
    </row>
    <row r="101" spans="1:19" ht="15" customHeight="1" x14ac:dyDescent="0.3">
      <c r="A101" s="16" t="str">
        <f>IFERROR(TRIM(tblCustomers[[#This Row],[CustomerID]]),"")</f>
        <v>C0099</v>
      </c>
      <c r="B101" s="16" t="str">
        <f>IFERROR(PROPER(TRIM(tblCustomers[[#This Row],[Name]])),"")</f>
        <v>Aditi Tomar</v>
      </c>
      <c r="C101" s="16" t="str">
        <f>IFERROR(PROPER(TRIM(tblCustomers[[#This Row],[Gender]])),"")</f>
        <v>Female</v>
      </c>
      <c r="D101" s="16">
        <f>IFERROR(tblCustomers[[#This Row],[Age]],"")</f>
        <v>46</v>
      </c>
      <c r="E101" s="16" t="str">
        <f>IFERROR(PROPER(TRIM(tblCustomers[[#This Row],[City/Region]])),"")</f>
        <v>Jaipur</v>
      </c>
      <c r="F101" s="16">
        <f>IFERROR(tblCustomers[[#This Row],[IncomeRange]],"")</f>
        <v>99129</v>
      </c>
      <c r="G101" s="16" t="str">
        <f>IFERROR(PROPER(TRIM(tblCustomers[[#This Row],[Occupation]])),"")</f>
        <v>Business Owner</v>
      </c>
      <c r="H101" s="17">
        <f>IFERROR(tblCustomers[[#This Row],[JoinDate]],"")</f>
        <v>44614</v>
      </c>
      <c r="I101" s="16" t="str">
        <f>IFERROR(PROPER(TRIM(tblCustomers[[#This Row],[PurchaseChannel]])),"")</f>
        <v>Online</v>
      </c>
      <c r="J101" s="16" t="str">
        <f>IFERROR(PROPER(TRIM(tblCustomers[[#This Row],[CustomerType]])),"")</f>
        <v>Returning</v>
      </c>
      <c r="K101" s="16" t="str">
        <f>IFERROR(PROPER(TRIM(tblCustomers[[#This Row],[EngagementLevel]])),"")</f>
        <v>High</v>
      </c>
      <c r="L101" s="16" t="str">
        <f>IFERROR(PROPER(TRIM(tblCustomers[[#This Row],[DiscountSensitivity]])),"")</f>
        <v>Medium</v>
      </c>
      <c r="M101" s="17">
        <f>IFERROR(tblCustomers[[#This Row],[LastPurchaseDate]],"")</f>
        <v>46095</v>
      </c>
      <c r="N101" s="16" t="str">
        <f>IFERROR(IF(tblCustomers[[#This Row],[Age]]&lt;25,"&lt;25",IF(tblCustomers[[#This Row],[Age]]&lt;40,"25-39",IF(tblCustomers[[#This Row],[Age]]&lt;55,"40-54","55+"))),"N/A")</f>
        <v>40-54</v>
      </c>
      <c r="O101" s="16" t="str">
        <f>IFERROR(IF(tblCustomers[[#This Row],[IncomeRange]]&lt;25000,"Low",IF(tblCustomers[[#This Row],[IncomeRange]]&lt;75000,"Mid","High")),"N/A")</f>
        <v>High</v>
      </c>
      <c r="P101" s="16" t="str">
        <f>IFERROR(TEXT(tblCustomers[[#This Row],[JoinDate]],"DDDD"),"")</f>
        <v>Tuesday</v>
      </c>
      <c r="Q101" s="18" t="b">
        <f>IFERROR(IF(WEEKDAY(tblCustomers[[#This Row],[JoinDate]],2)&gt;=6,TRUE(),FALSE()),FALSE())</f>
        <v>0</v>
      </c>
      <c r="R101" s="16">
        <f ca="1">IFERROR(DATEDIF(tblCustomers[[#This Row],[JoinDate]],TODAY(),"M"),0)</f>
        <v>49</v>
      </c>
      <c r="S101" s="16" t="str">
        <f>IFERROR(IF(AND(tblCustomers[[#This Row],[Age]]&gt;=18,tblCustomers[[#This Row],[IncomeRange]]&gt;0,tblCustomers[[#This Row],[CustomerID]]&lt;&gt;""),"OK","CHECK"),"CHECK")</f>
        <v>OK</v>
      </c>
    </row>
    <row r="102" spans="1:19" ht="15" customHeight="1" x14ac:dyDescent="0.3">
      <c r="A102" s="19" t="str">
        <f>IFERROR(TRIM(tblCustomers[[#This Row],[CustomerID]]),"")</f>
        <v>C0100</v>
      </c>
      <c r="B102" s="19" t="str">
        <f>IFERROR(PROPER(TRIM(tblCustomers[[#This Row],[Name]])),"")</f>
        <v>Poonam Solanki</v>
      </c>
      <c r="C102" s="19" t="str">
        <f>IFERROR(PROPER(TRIM(tblCustomers[[#This Row],[Gender]])),"")</f>
        <v>Female</v>
      </c>
      <c r="D102" s="19">
        <f>IFERROR(tblCustomers[[#This Row],[Age]],"")</f>
        <v>20</v>
      </c>
      <c r="E102" s="19" t="str">
        <f>IFERROR(PROPER(TRIM(tblCustomers[[#This Row],[City/Region]])),"")</f>
        <v>Ahmedabad</v>
      </c>
      <c r="F102" s="19">
        <f>IFERROR(tblCustomers[[#This Row],[IncomeRange]],"")</f>
        <v>95529</v>
      </c>
      <c r="G102" s="19" t="str">
        <f>IFERROR(PROPER(TRIM(tblCustomers[[#This Row],[Occupation]])),"")</f>
        <v>Software Engineer</v>
      </c>
      <c r="H102" s="20">
        <f>IFERROR(tblCustomers[[#This Row],[JoinDate]],"")</f>
        <v>44920</v>
      </c>
      <c r="I102" s="19" t="str">
        <f>IFERROR(PROPER(TRIM(tblCustomers[[#This Row],[PurchaseChannel]])),"")</f>
        <v>Online</v>
      </c>
      <c r="J102" s="19" t="str">
        <f>IFERROR(PROPER(TRIM(tblCustomers[[#This Row],[CustomerType]])),"")</f>
        <v>Returning</v>
      </c>
      <c r="K102" s="19" t="str">
        <f>IFERROR(PROPER(TRIM(tblCustomers[[#This Row],[EngagementLevel]])),"")</f>
        <v>High</v>
      </c>
      <c r="L102" s="19" t="str">
        <f>IFERROR(PROPER(TRIM(tblCustomers[[#This Row],[DiscountSensitivity]])),"")</f>
        <v>Low</v>
      </c>
      <c r="M102" s="20">
        <f>IFERROR(tblCustomers[[#This Row],[LastPurchaseDate]],"")</f>
        <v>46040</v>
      </c>
      <c r="N102" s="19" t="str">
        <f>IFERROR(IF(tblCustomers[[#This Row],[Age]]&lt;25,"&lt;25",IF(tblCustomers[[#This Row],[Age]]&lt;40,"25-39",IF(tblCustomers[[#This Row],[Age]]&lt;55,"40-54","55+"))),"N/A")</f>
        <v>&lt;25</v>
      </c>
      <c r="O102" s="19" t="str">
        <f>IFERROR(IF(tblCustomers[[#This Row],[IncomeRange]]&lt;25000,"Low",IF(tblCustomers[[#This Row],[IncomeRange]]&lt;75000,"Mid","High")),"N/A")</f>
        <v>High</v>
      </c>
      <c r="P102" s="19" t="str">
        <f>IFERROR(TEXT(tblCustomers[[#This Row],[JoinDate]],"DDDD"),"")</f>
        <v>Sunday</v>
      </c>
      <c r="Q102" s="21" t="b">
        <f>IFERROR(IF(WEEKDAY(tblCustomers[[#This Row],[JoinDate]],2)&gt;=6,TRUE(),FALSE()),FALSE())</f>
        <v>1</v>
      </c>
      <c r="R102" s="19">
        <f ca="1">IFERROR(DATEDIF(tblCustomers[[#This Row],[JoinDate]],TODAY(),"M"),0)</f>
        <v>39</v>
      </c>
      <c r="S102" s="19" t="str">
        <f>IFERROR(IF(AND(tblCustomers[[#This Row],[Age]]&gt;=18,tblCustomers[[#This Row],[IncomeRange]]&gt;0,tblCustomers[[#This Row],[CustomerID]]&lt;&gt;""),"OK","CHECK"),"CHECK")</f>
        <v>OK</v>
      </c>
    </row>
    <row r="103" spans="1:19" ht="15" customHeight="1" x14ac:dyDescent="0.3">
      <c r="A103" s="16" t="str">
        <f>IFERROR(TRIM(tblCustomers[[#This Row],[CustomerID]]),"")</f>
        <v>C0101</v>
      </c>
      <c r="B103" s="16" t="str">
        <f>IFERROR(PROPER(TRIM(tblCustomers[[#This Row],[Name]])),"")</f>
        <v>Rahul Verma</v>
      </c>
      <c r="C103" s="16" t="str">
        <f>IFERROR(PROPER(TRIM(tblCustomers[[#This Row],[Gender]])),"")</f>
        <v>Male</v>
      </c>
      <c r="D103" s="16">
        <f>IFERROR(tblCustomers[[#This Row],[Age]],"")</f>
        <v>23</v>
      </c>
      <c r="E103" s="16" t="str">
        <f>IFERROR(PROPER(TRIM(tblCustomers[[#This Row],[City/Region]])),"")</f>
        <v>Jaipur</v>
      </c>
      <c r="F103" s="16">
        <f>IFERROR(tblCustomers[[#This Row],[IncomeRange]],"")</f>
        <v>82196</v>
      </c>
      <c r="G103" s="16" t="str">
        <f>IFERROR(PROPER(TRIM(tblCustomers[[#This Row],[Occupation]])),"")</f>
        <v>Business Owner</v>
      </c>
      <c r="H103" s="17">
        <f>IFERROR(tblCustomers[[#This Row],[JoinDate]],"")</f>
        <v>45576</v>
      </c>
      <c r="I103" s="16" t="str">
        <f>IFERROR(PROPER(TRIM(tblCustomers[[#This Row],[PurchaseChannel]])),"")</f>
        <v>Online</v>
      </c>
      <c r="J103" s="16" t="str">
        <f>IFERROR(PROPER(TRIM(tblCustomers[[#This Row],[CustomerType]])),"")</f>
        <v>New</v>
      </c>
      <c r="K103" s="16" t="str">
        <f>IFERROR(PROPER(TRIM(tblCustomers[[#This Row],[EngagementLevel]])),"")</f>
        <v>High</v>
      </c>
      <c r="L103" s="16" t="str">
        <f>IFERROR(PROPER(TRIM(tblCustomers[[#This Row],[DiscountSensitivity]])),"")</f>
        <v>Medium</v>
      </c>
      <c r="M103" s="17">
        <f>IFERROR(tblCustomers[[#This Row],[LastPurchaseDate]],"")</f>
        <v>45764</v>
      </c>
      <c r="N103" s="16" t="str">
        <f>IFERROR(IF(tblCustomers[[#This Row],[Age]]&lt;25,"&lt;25",IF(tblCustomers[[#This Row],[Age]]&lt;40,"25-39",IF(tblCustomers[[#This Row],[Age]]&lt;55,"40-54","55+"))),"N/A")</f>
        <v>&lt;25</v>
      </c>
      <c r="O103" s="16" t="str">
        <f>IFERROR(IF(tblCustomers[[#This Row],[IncomeRange]]&lt;25000,"Low",IF(tblCustomers[[#This Row],[IncomeRange]]&lt;75000,"Mid","High")),"N/A")</f>
        <v>High</v>
      </c>
      <c r="P103" s="16" t="str">
        <f>IFERROR(TEXT(tblCustomers[[#This Row],[JoinDate]],"DDDD"),"")</f>
        <v>Friday</v>
      </c>
      <c r="Q103" s="18" t="b">
        <f>IFERROR(IF(WEEKDAY(tblCustomers[[#This Row],[JoinDate]],2)&gt;=6,TRUE(),FALSE()),FALSE())</f>
        <v>0</v>
      </c>
      <c r="R103" s="16">
        <f ca="1">IFERROR(DATEDIF(tblCustomers[[#This Row],[JoinDate]],TODAY(),"M"),0)</f>
        <v>18</v>
      </c>
      <c r="S103" s="16" t="str">
        <f>IFERROR(IF(AND(tblCustomers[[#This Row],[Age]]&gt;=18,tblCustomers[[#This Row],[IncomeRange]]&gt;0,tblCustomers[[#This Row],[CustomerID]]&lt;&gt;""),"OK","CHECK"),"CHECK")</f>
        <v>OK</v>
      </c>
    </row>
    <row r="104" spans="1:19" ht="15" customHeight="1" x14ac:dyDescent="0.3">
      <c r="A104" s="19" t="str">
        <f>IFERROR(TRIM(tblCustomers[[#This Row],[CustomerID]]),"")</f>
        <v>C0102</v>
      </c>
      <c r="B104" s="19" t="str">
        <f>IFERROR(PROPER(TRIM(tblCustomers[[#This Row],[Name]])),"")</f>
        <v>Ravi Kumar</v>
      </c>
      <c r="C104" s="19" t="str">
        <f>IFERROR(PROPER(TRIM(tblCustomers[[#This Row],[Gender]])),"")</f>
        <v>Male</v>
      </c>
      <c r="D104" s="19">
        <f>IFERROR(tblCustomers[[#This Row],[Age]],"")</f>
        <v>57</v>
      </c>
      <c r="E104" s="19" t="str">
        <f>IFERROR(PROPER(TRIM(tblCustomers[[#This Row],[City/Region]])),"")</f>
        <v>Pune</v>
      </c>
      <c r="F104" s="19">
        <f>IFERROR(tblCustomers[[#This Row],[IncomeRange]],"")</f>
        <v>127974</v>
      </c>
      <c r="G104" s="19" t="str">
        <f>IFERROR(PROPER(TRIM(tblCustomers[[#This Row],[Occupation]])),"")</f>
        <v>Business Owner</v>
      </c>
      <c r="H104" s="20">
        <f>IFERROR(tblCustomers[[#This Row],[JoinDate]],"")</f>
        <v>45259</v>
      </c>
      <c r="I104" s="19" t="str">
        <f>IFERROR(PROPER(TRIM(tblCustomers[[#This Row],[PurchaseChannel]])),"")</f>
        <v>Offline</v>
      </c>
      <c r="J104" s="19" t="str">
        <f>IFERROR(PROPER(TRIM(tblCustomers[[#This Row],[CustomerType]])),"")</f>
        <v>New</v>
      </c>
      <c r="K104" s="19" t="str">
        <f>IFERROR(PROPER(TRIM(tblCustomers[[#This Row],[EngagementLevel]])),"")</f>
        <v>Low</v>
      </c>
      <c r="L104" s="19" t="str">
        <f>IFERROR(PROPER(TRIM(tblCustomers[[#This Row],[DiscountSensitivity]])),"")</f>
        <v>High</v>
      </c>
      <c r="M104" s="20">
        <f>IFERROR(tblCustomers[[#This Row],[LastPurchaseDate]],"")</f>
        <v>45964</v>
      </c>
      <c r="N104" s="19" t="str">
        <f>IFERROR(IF(tblCustomers[[#This Row],[Age]]&lt;25,"&lt;25",IF(tblCustomers[[#This Row],[Age]]&lt;40,"25-39",IF(tblCustomers[[#This Row],[Age]]&lt;55,"40-54","55+"))),"N/A")</f>
        <v>55+</v>
      </c>
      <c r="O104" s="19" t="str">
        <f>IFERROR(IF(tblCustomers[[#This Row],[IncomeRange]]&lt;25000,"Low",IF(tblCustomers[[#This Row],[IncomeRange]]&lt;75000,"Mid","High")),"N/A")</f>
        <v>High</v>
      </c>
      <c r="P104" s="19" t="str">
        <f>IFERROR(TEXT(tblCustomers[[#This Row],[JoinDate]],"DDDD"),"")</f>
        <v>Wednesday</v>
      </c>
      <c r="Q104" s="21" t="b">
        <f>IFERROR(IF(WEEKDAY(tblCustomers[[#This Row],[JoinDate]],2)&gt;=6,TRUE(),FALSE()),FALSE())</f>
        <v>0</v>
      </c>
      <c r="R104" s="19">
        <f ca="1">IFERROR(DATEDIF(tblCustomers[[#This Row],[JoinDate]],TODAY(),"M"),0)</f>
        <v>28</v>
      </c>
      <c r="S104" s="19" t="str">
        <f>IFERROR(IF(AND(tblCustomers[[#This Row],[Age]]&gt;=18,tblCustomers[[#This Row],[IncomeRange]]&gt;0,tblCustomers[[#This Row],[CustomerID]]&lt;&gt;""),"OK","CHECK"),"CHECK")</f>
        <v>OK</v>
      </c>
    </row>
    <row r="105" spans="1:19" ht="15" customHeight="1" x14ac:dyDescent="0.3">
      <c r="A105" s="16" t="str">
        <f>IFERROR(TRIM(tblCustomers[[#This Row],[CustomerID]]),"")</f>
        <v>C0103</v>
      </c>
      <c r="B105" s="16" t="str">
        <f>IFERROR(PROPER(TRIM(tblCustomers[[#This Row],[Name]])),"")</f>
        <v>Geeta Verma</v>
      </c>
      <c r="C105" s="16" t="str">
        <f>IFERROR(PROPER(TRIM(tblCustomers[[#This Row],[Gender]])),"")</f>
        <v>Female</v>
      </c>
      <c r="D105" s="16">
        <f>IFERROR(tblCustomers[[#This Row],[Age]],"")</f>
        <v>28</v>
      </c>
      <c r="E105" s="16" t="str">
        <f>IFERROR(PROPER(TRIM(tblCustomers[[#This Row],[City/Region]])),"")</f>
        <v>Bangalore</v>
      </c>
      <c r="F105" s="16">
        <f>IFERROR(tblCustomers[[#This Row],[IncomeRange]],"")</f>
        <v>117595</v>
      </c>
      <c r="G105" s="16" t="str">
        <f>IFERROR(PROPER(TRIM(tblCustomers[[#This Row],[Occupation]])),"")</f>
        <v>Doctor</v>
      </c>
      <c r="H105" s="17">
        <f>IFERROR(tblCustomers[[#This Row],[JoinDate]],"")</f>
        <v>45351</v>
      </c>
      <c r="I105" s="16" t="str">
        <f>IFERROR(PROPER(TRIM(tblCustomers[[#This Row],[PurchaseChannel]])),"")</f>
        <v>Offline</v>
      </c>
      <c r="J105" s="16" t="str">
        <f>IFERROR(PROPER(TRIM(tblCustomers[[#This Row],[CustomerType]])),"")</f>
        <v>Returning</v>
      </c>
      <c r="K105" s="16" t="str">
        <f>IFERROR(PROPER(TRIM(tblCustomers[[#This Row],[EngagementLevel]])),"")</f>
        <v>Low</v>
      </c>
      <c r="L105" s="16" t="str">
        <f>IFERROR(PROPER(TRIM(tblCustomers[[#This Row],[DiscountSensitivity]])),"")</f>
        <v>High</v>
      </c>
      <c r="M105" s="17">
        <f>IFERROR(tblCustomers[[#This Row],[LastPurchaseDate]],"")</f>
        <v>45983</v>
      </c>
      <c r="N105" s="16" t="str">
        <f>IFERROR(IF(tblCustomers[[#This Row],[Age]]&lt;25,"&lt;25",IF(tblCustomers[[#This Row],[Age]]&lt;40,"25-39",IF(tblCustomers[[#This Row],[Age]]&lt;55,"40-54","55+"))),"N/A")</f>
        <v>25-39</v>
      </c>
      <c r="O105" s="16" t="str">
        <f>IFERROR(IF(tblCustomers[[#This Row],[IncomeRange]]&lt;25000,"Low",IF(tblCustomers[[#This Row],[IncomeRange]]&lt;75000,"Mid","High")),"N/A")</f>
        <v>High</v>
      </c>
      <c r="P105" s="16" t="str">
        <f>IFERROR(TEXT(tblCustomers[[#This Row],[JoinDate]],"DDDD"),"")</f>
        <v>Thursday</v>
      </c>
      <c r="Q105" s="18" t="b">
        <f>IFERROR(IF(WEEKDAY(tblCustomers[[#This Row],[JoinDate]],2)&gt;=6,TRUE(),FALSE()),FALSE())</f>
        <v>0</v>
      </c>
      <c r="R105" s="16">
        <f ca="1">IFERROR(DATEDIF(tblCustomers[[#This Row],[JoinDate]],TODAY(),"M"),0)</f>
        <v>25</v>
      </c>
      <c r="S105" s="16" t="str">
        <f>IFERROR(IF(AND(tblCustomers[[#This Row],[Age]]&gt;=18,tblCustomers[[#This Row],[IncomeRange]]&gt;0,tblCustomers[[#This Row],[CustomerID]]&lt;&gt;""),"OK","CHECK"),"CHECK")</f>
        <v>OK</v>
      </c>
    </row>
    <row r="106" spans="1:19" ht="15" customHeight="1" x14ac:dyDescent="0.3">
      <c r="A106" s="19" t="str">
        <f>IFERROR(TRIM(tblCustomers[[#This Row],[CustomerID]]),"")</f>
        <v>C0104</v>
      </c>
      <c r="B106" s="19" t="str">
        <f>IFERROR(PROPER(TRIM(tblCustomers[[#This Row],[Name]])),"")</f>
        <v>Sneha Jain</v>
      </c>
      <c r="C106" s="19" t="str">
        <f>IFERROR(PROPER(TRIM(tblCustomers[[#This Row],[Gender]])),"")</f>
        <v>Female</v>
      </c>
      <c r="D106" s="19">
        <f>IFERROR(tblCustomers[[#This Row],[Age]],"")</f>
        <v>62</v>
      </c>
      <c r="E106" s="19" t="str">
        <f>IFERROR(PROPER(TRIM(tblCustomers[[#This Row],[City/Region]])),"")</f>
        <v>Coimbatore</v>
      </c>
      <c r="F106" s="19">
        <f>IFERROR(tblCustomers[[#This Row],[IncomeRange]],"")</f>
        <v>112800</v>
      </c>
      <c r="G106" s="19" t="str">
        <f>IFERROR(PROPER(TRIM(tblCustomers[[#This Row],[Occupation]])),"")</f>
        <v>Accountant</v>
      </c>
      <c r="H106" s="20">
        <f>IFERROR(tblCustomers[[#This Row],[JoinDate]],"")</f>
        <v>45522</v>
      </c>
      <c r="I106" s="19" t="str">
        <f>IFERROR(PROPER(TRIM(tblCustomers[[#This Row],[PurchaseChannel]])),"")</f>
        <v>Online</v>
      </c>
      <c r="J106" s="19" t="str">
        <f>IFERROR(PROPER(TRIM(tblCustomers[[#This Row],[CustomerType]])),"")</f>
        <v>New</v>
      </c>
      <c r="K106" s="19" t="str">
        <f>IFERROR(PROPER(TRIM(tblCustomers[[#This Row],[EngagementLevel]])),"")</f>
        <v>High</v>
      </c>
      <c r="L106" s="19" t="str">
        <f>IFERROR(PROPER(TRIM(tblCustomers[[#This Row],[DiscountSensitivity]])),"")</f>
        <v>Low</v>
      </c>
      <c r="M106" s="20">
        <f>IFERROR(tblCustomers[[#This Row],[LastPurchaseDate]],"")</f>
        <v>45896</v>
      </c>
      <c r="N106" s="19" t="str">
        <f>IFERROR(IF(tblCustomers[[#This Row],[Age]]&lt;25,"&lt;25",IF(tblCustomers[[#This Row],[Age]]&lt;40,"25-39",IF(tblCustomers[[#This Row],[Age]]&lt;55,"40-54","55+"))),"N/A")</f>
        <v>55+</v>
      </c>
      <c r="O106" s="19" t="str">
        <f>IFERROR(IF(tblCustomers[[#This Row],[IncomeRange]]&lt;25000,"Low",IF(tblCustomers[[#This Row],[IncomeRange]]&lt;75000,"Mid","High")),"N/A")</f>
        <v>High</v>
      </c>
      <c r="P106" s="19" t="str">
        <f>IFERROR(TEXT(tblCustomers[[#This Row],[JoinDate]],"DDDD"),"")</f>
        <v>Sunday</v>
      </c>
      <c r="Q106" s="21" t="b">
        <f>IFERROR(IF(WEEKDAY(tblCustomers[[#This Row],[JoinDate]],2)&gt;=6,TRUE(),FALSE()),FALSE())</f>
        <v>1</v>
      </c>
      <c r="R106" s="19">
        <f ca="1">IFERROR(DATEDIF(tblCustomers[[#This Row],[JoinDate]],TODAY(),"M"),0)</f>
        <v>19</v>
      </c>
      <c r="S106" s="19" t="str">
        <f>IFERROR(IF(AND(tblCustomers[[#This Row],[Age]]&gt;=18,tblCustomers[[#This Row],[IncomeRange]]&gt;0,tblCustomers[[#This Row],[CustomerID]]&lt;&gt;""),"OK","CHECK"),"CHECK")</f>
        <v>OK</v>
      </c>
    </row>
    <row r="107" spans="1:19" ht="15" customHeight="1" x14ac:dyDescent="0.3">
      <c r="A107" s="16" t="str">
        <f>IFERROR(TRIM(tblCustomers[[#This Row],[CustomerID]]),"")</f>
        <v>C0105</v>
      </c>
      <c r="B107" s="16" t="str">
        <f>IFERROR(PROPER(TRIM(tblCustomers[[#This Row],[Name]])),"")</f>
        <v>Sneha Nair</v>
      </c>
      <c r="C107" s="16" t="str">
        <f>IFERROR(PROPER(TRIM(tblCustomers[[#This Row],[Gender]])),"")</f>
        <v>Female</v>
      </c>
      <c r="D107" s="16">
        <f>IFERROR(tblCustomers[[#This Row],[Age]],"")</f>
        <v>51</v>
      </c>
      <c r="E107" s="16" t="str">
        <f>IFERROR(PROPER(TRIM(tblCustomers[[#This Row],[City/Region]])),"")</f>
        <v>Indore</v>
      </c>
      <c r="F107" s="16">
        <f>IFERROR(tblCustomers[[#This Row],[IncomeRange]],"")</f>
        <v>60638</v>
      </c>
      <c r="G107" s="16" t="str">
        <f>IFERROR(PROPER(TRIM(tblCustomers[[#This Row],[Occupation]])),"")</f>
        <v>Hr Manager</v>
      </c>
      <c r="H107" s="17">
        <f>IFERROR(tblCustomers[[#This Row],[JoinDate]],"")</f>
        <v>45355</v>
      </c>
      <c r="I107" s="16" t="str">
        <f>IFERROR(PROPER(TRIM(tblCustomers[[#This Row],[PurchaseChannel]])),"")</f>
        <v>Online</v>
      </c>
      <c r="J107" s="16" t="str">
        <f>IFERROR(PROPER(TRIM(tblCustomers[[#This Row],[CustomerType]])),"")</f>
        <v>Returning</v>
      </c>
      <c r="K107" s="16" t="str">
        <f>IFERROR(PROPER(TRIM(tblCustomers[[#This Row],[EngagementLevel]])),"")</f>
        <v>High</v>
      </c>
      <c r="L107" s="16" t="str">
        <f>IFERROR(PROPER(TRIM(tblCustomers[[#This Row],[DiscountSensitivity]])),"")</f>
        <v>High</v>
      </c>
      <c r="M107" s="17">
        <f>IFERROR(tblCustomers[[#This Row],[LastPurchaseDate]],"")</f>
        <v>46079</v>
      </c>
      <c r="N107" s="16" t="str">
        <f>IFERROR(IF(tblCustomers[[#This Row],[Age]]&lt;25,"&lt;25",IF(tblCustomers[[#This Row],[Age]]&lt;40,"25-39",IF(tblCustomers[[#This Row],[Age]]&lt;55,"40-54","55+"))),"N/A")</f>
        <v>40-54</v>
      </c>
      <c r="O107" s="16" t="str">
        <f>IFERROR(IF(tblCustomers[[#This Row],[IncomeRange]]&lt;25000,"Low",IF(tblCustomers[[#This Row],[IncomeRange]]&lt;75000,"Mid","High")),"N/A")</f>
        <v>Mid</v>
      </c>
      <c r="P107" s="16" t="str">
        <f>IFERROR(TEXT(tblCustomers[[#This Row],[JoinDate]],"DDDD"),"")</f>
        <v>Monday</v>
      </c>
      <c r="Q107" s="18" t="b">
        <f>IFERROR(IF(WEEKDAY(tblCustomers[[#This Row],[JoinDate]],2)&gt;=6,TRUE(),FALSE()),FALSE())</f>
        <v>0</v>
      </c>
      <c r="R107" s="16">
        <f ca="1">IFERROR(DATEDIF(tblCustomers[[#This Row],[JoinDate]],TODAY(),"M"),0)</f>
        <v>25</v>
      </c>
      <c r="S107" s="16" t="str">
        <f>IFERROR(IF(AND(tblCustomers[[#This Row],[Age]]&gt;=18,tblCustomers[[#This Row],[IncomeRange]]&gt;0,tblCustomers[[#This Row],[CustomerID]]&lt;&gt;""),"OK","CHECK"),"CHECK")</f>
        <v>OK</v>
      </c>
    </row>
    <row r="108" spans="1:19" ht="15" customHeight="1" x14ac:dyDescent="0.3">
      <c r="A108" s="19" t="str">
        <f>IFERROR(TRIM(tblCustomers[[#This Row],[CustomerID]]),"")</f>
        <v>C0106</v>
      </c>
      <c r="B108" s="19" t="str">
        <f>IFERROR(PROPER(TRIM(tblCustomers[[#This Row],[Name]])),"")</f>
        <v>Kunal Gupta</v>
      </c>
      <c r="C108" s="19" t="str">
        <f>IFERROR(PROPER(TRIM(tblCustomers[[#This Row],[Gender]])),"")</f>
        <v>Male</v>
      </c>
      <c r="D108" s="19">
        <f>IFERROR(tblCustomers[[#This Row],[Age]],"")</f>
        <v>32</v>
      </c>
      <c r="E108" s="19" t="str">
        <f>IFERROR(PROPER(TRIM(tblCustomers[[#This Row],[City/Region]])),"")</f>
        <v>Nagpur</v>
      </c>
      <c r="F108" s="19">
        <f>IFERROR(tblCustomers[[#This Row],[IncomeRange]],"")</f>
        <v>117471</v>
      </c>
      <c r="G108" s="19" t="str">
        <f>IFERROR(PROPER(TRIM(tblCustomers[[#This Row],[Occupation]])),"")</f>
        <v>Finance Analyst</v>
      </c>
      <c r="H108" s="20">
        <f>IFERROR(tblCustomers[[#This Row],[JoinDate]],"")</f>
        <v>45063</v>
      </c>
      <c r="I108" s="19" t="str">
        <f>IFERROR(PROPER(TRIM(tblCustomers[[#This Row],[PurchaseChannel]])),"")</f>
        <v>Online</v>
      </c>
      <c r="J108" s="19" t="str">
        <f>IFERROR(PROPER(TRIM(tblCustomers[[#This Row],[CustomerType]])),"")</f>
        <v>Returning</v>
      </c>
      <c r="K108" s="19" t="str">
        <f>IFERROR(PROPER(TRIM(tblCustomers[[#This Row],[EngagementLevel]])),"")</f>
        <v>Low</v>
      </c>
      <c r="L108" s="19" t="str">
        <f>IFERROR(PROPER(TRIM(tblCustomers[[#This Row],[DiscountSensitivity]])),"")</f>
        <v>Low</v>
      </c>
      <c r="M108" s="20">
        <f>IFERROR(tblCustomers[[#This Row],[LastPurchaseDate]],"")</f>
        <v>45764</v>
      </c>
      <c r="N108" s="19" t="str">
        <f>IFERROR(IF(tblCustomers[[#This Row],[Age]]&lt;25,"&lt;25",IF(tblCustomers[[#This Row],[Age]]&lt;40,"25-39",IF(tblCustomers[[#This Row],[Age]]&lt;55,"40-54","55+"))),"N/A")</f>
        <v>25-39</v>
      </c>
      <c r="O108" s="19" t="str">
        <f>IFERROR(IF(tblCustomers[[#This Row],[IncomeRange]]&lt;25000,"Low",IF(tblCustomers[[#This Row],[IncomeRange]]&lt;75000,"Mid","High")),"N/A")</f>
        <v>High</v>
      </c>
      <c r="P108" s="19" t="str">
        <f>IFERROR(TEXT(tblCustomers[[#This Row],[JoinDate]],"DDDD"),"")</f>
        <v>Wednesday</v>
      </c>
      <c r="Q108" s="21" t="b">
        <f>IFERROR(IF(WEEKDAY(tblCustomers[[#This Row],[JoinDate]],2)&gt;=6,TRUE(),FALSE()),FALSE())</f>
        <v>0</v>
      </c>
      <c r="R108" s="19">
        <f ca="1">IFERROR(DATEDIF(tblCustomers[[#This Row],[JoinDate]],TODAY(),"M"),0)</f>
        <v>34</v>
      </c>
      <c r="S108" s="19" t="str">
        <f>IFERROR(IF(AND(tblCustomers[[#This Row],[Age]]&gt;=18,tblCustomers[[#This Row],[IncomeRange]]&gt;0,tblCustomers[[#This Row],[CustomerID]]&lt;&gt;""),"OK","CHECK"),"CHECK")</f>
        <v>OK</v>
      </c>
    </row>
    <row r="109" spans="1:19" ht="15" customHeight="1" x14ac:dyDescent="0.3">
      <c r="A109" s="16" t="str">
        <f>IFERROR(TRIM(tblCustomers[[#This Row],[CustomerID]]),"")</f>
        <v>C0107</v>
      </c>
      <c r="B109" s="16" t="str">
        <f>IFERROR(PROPER(TRIM(tblCustomers[[#This Row],[Name]])),"")</f>
        <v>Aarti Reddy</v>
      </c>
      <c r="C109" s="16" t="str">
        <f>IFERROR(PROPER(TRIM(tblCustomers[[#This Row],[Gender]])),"")</f>
        <v>Female</v>
      </c>
      <c r="D109" s="16">
        <f>IFERROR(tblCustomers[[#This Row],[Age]],"")</f>
        <v>35</v>
      </c>
      <c r="E109" s="16" t="str">
        <f>IFERROR(PROPER(TRIM(tblCustomers[[#This Row],[City/Region]])),"")</f>
        <v>Patna</v>
      </c>
      <c r="F109" s="16">
        <f>IFERROR(tblCustomers[[#This Row],[IncomeRange]],"")</f>
        <v>121712</v>
      </c>
      <c r="G109" s="16" t="str">
        <f>IFERROR(PROPER(TRIM(tblCustomers[[#This Row],[Occupation]])),"")</f>
        <v>Professor</v>
      </c>
      <c r="H109" s="17">
        <f>IFERROR(tblCustomers[[#This Row],[JoinDate]],"")</f>
        <v>45060</v>
      </c>
      <c r="I109" s="16" t="str">
        <f>IFERROR(PROPER(TRIM(tblCustomers[[#This Row],[PurchaseChannel]])),"")</f>
        <v>Offline</v>
      </c>
      <c r="J109" s="16" t="str">
        <f>IFERROR(PROPER(TRIM(tblCustomers[[#This Row],[CustomerType]])),"")</f>
        <v>New</v>
      </c>
      <c r="K109" s="16" t="str">
        <f>IFERROR(PROPER(TRIM(tblCustomers[[#This Row],[EngagementLevel]])),"")</f>
        <v>Medium</v>
      </c>
      <c r="L109" s="16" t="str">
        <f>IFERROR(PROPER(TRIM(tblCustomers[[#This Row],[DiscountSensitivity]])),"")</f>
        <v>Low</v>
      </c>
      <c r="M109" s="17">
        <f>IFERROR(tblCustomers[[#This Row],[LastPurchaseDate]],"")</f>
        <v>45874</v>
      </c>
      <c r="N109" s="16" t="str">
        <f>IFERROR(IF(tblCustomers[[#This Row],[Age]]&lt;25,"&lt;25",IF(tblCustomers[[#This Row],[Age]]&lt;40,"25-39",IF(tblCustomers[[#This Row],[Age]]&lt;55,"40-54","55+"))),"N/A")</f>
        <v>25-39</v>
      </c>
      <c r="O109" s="16" t="str">
        <f>IFERROR(IF(tblCustomers[[#This Row],[IncomeRange]]&lt;25000,"Low",IF(tblCustomers[[#This Row],[IncomeRange]]&lt;75000,"Mid","High")),"N/A")</f>
        <v>High</v>
      </c>
      <c r="P109" s="16" t="str">
        <f>IFERROR(TEXT(tblCustomers[[#This Row],[JoinDate]],"DDDD"),"")</f>
        <v>Sunday</v>
      </c>
      <c r="Q109" s="18" t="b">
        <f>IFERROR(IF(WEEKDAY(tblCustomers[[#This Row],[JoinDate]],2)&gt;=6,TRUE(),FALSE()),FALSE())</f>
        <v>1</v>
      </c>
      <c r="R109" s="16">
        <f ca="1">IFERROR(DATEDIF(tblCustomers[[#This Row],[JoinDate]],TODAY(),"M"),0)</f>
        <v>34</v>
      </c>
      <c r="S109" s="16" t="str">
        <f>IFERROR(IF(AND(tblCustomers[[#This Row],[Age]]&gt;=18,tblCustomers[[#This Row],[IncomeRange]]&gt;0,tblCustomers[[#This Row],[CustomerID]]&lt;&gt;""),"OK","CHECK"),"CHECK")</f>
        <v>OK</v>
      </c>
    </row>
    <row r="110" spans="1:19" ht="15" customHeight="1" x14ac:dyDescent="0.3">
      <c r="A110" s="19" t="str">
        <f>IFERROR(TRIM(tblCustomers[[#This Row],[CustomerID]]),"")</f>
        <v>C0108</v>
      </c>
      <c r="B110" s="19" t="str">
        <f>IFERROR(PROPER(TRIM(tblCustomers[[#This Row],[Name]])),"")</f>
        <v>Divya Singh</v>
      </c>
      <c r="C110" s="19" t="str">
        <f>IFERROR(PROPER(TRIM(tblCustomers[[#This Row],[Gender]])),"")</f>
        <v>Female</v>
      </c>
      <c r="D110" s="19">
        <f>IFERROR(tblCustomers[[#This Row],[Age]],"")</f>
        <v>59</v>
      </c>
      <c r="E110" s="19" t="str">
        <f>IFERROR(PROPER(TRIM(tblCustomers[[#This Row],[City/Region]])),"")</f>
        <v>Bhopal</v>
      </c>
      <c r="F110" s="19">
        <f>IFERROR(tblCustomers[[#This Row],[IncomeRange]],"")</f>
        <v>112895</v>
      </c>
      <c r="G110" s="19" t="str">
        <f>IFERROR(PROPER(TRIM(tblCustomers[[#This Row],[Occupation]])),"")</f>
        <v>Business Owner</v>
      </c>
      <c r="H110" s="20">
        <f>IFERROR(tblCustomers[[#This Row],[JoinDate]],"")</f>
        <v>45577</v>
      </c>
      <c r="I110" s="19" t="str">
        <f>IFERROR(PROPER(TRIM(tblCustomers[[#This Row],[PurchaseChannel]])),"")</f>
        <v>Offline</v>
      </c>
      <c r="J110" s="19" t="str">
        <f>IFERROR(PROPER(TRIM(tblCustomers[[#This Row],[CustomerType]])),"")</f>
        <v>New</v>
      </c>
      <c r="K110" s="19" t="str">
        <f>IFERROR(PROPER(TRIM(tblCustomers[[#This Row],[EngagementLevel]])),"")</f>
        <v>Low</v>
      </c>
      <c r="L110" s="19" t="str">
        <f>IFERROR(PROPER(TRIM(tblCustomers[[#This Row],[DiscountSensitivity]])),"")</f>
        <v>Low</v>
      </c>
      <c r="M110" s="20">
        <f>IFERROR(tblCustomers[[#This Row],[LastPurchaseDate]],"")</f>
        <v>45826</v>
      </c>
      <c r="N110" s="19" t="str">
        <f>IFERROR(IF(tblCustomers[[#This Row],[Age]]&lt;25,"&lt;25",IF(tblCustomers[[#This Row],[Age]]&lt;40,"25-39",IF(tblCustomers[[#This Row],[Age]]&lt;55,"40-54","55+"))),"N/A")</f>
        <v>55+</v>
      </c>
      <c r="O110" s="19" t="str">
        <f>IFERROR(IF(tblCustomers[[#This Row],[IncomeRange]]&lt;25000,"Low",IF(tblCustomers[[#This Row],[IncomeRange]]&lt;75000,"Mid","High")),"N/A")</f>
        <v>High</v>
      </c>
      <c r="P110" s="19" t="str">
        <f>IFERROR(TEXT(tblCustomers[[#This Row],[JoinDate]],"DDDD"),"")</f>
        <v>Saturday</v>
      </c>
      <c r="Q110" s="21" t="b">
        <f>IFERROR(IF(WEEKDAY(tblCustomers[[#This Row],[JoinDate]],2)&gt;=6,TRUE(),FALSE()),FALSE())</f>
        <v>1</v>
      </c>
      <c r="R110" s="19">
        <f ca="1">IFERROR(DATEDIF(tblCustomers[[#This Row],[JoinDate]],TODAY(),"M"),0)</f>
        <v>18</v>
      </c>
      <c r="S110" s="19" t="str">
        <f>IFERROR(IF(AND(tblCustomers[[#This Row],[Age]]&gt;=18,tblCustomers[[#This Row],[IncomeRange]]&gt;0,tblCustomers[[#This Row],[CustomerID]]&lt;&gt;""),"OK","CHECK"),"CHECK")</f>
        <v>OK</v>
      </c>
    </row>
    <row r="111" spans="1:19" ht="15" customHeight="1" x14ac:dyDescent="0.3">
      <c r="A111" s="16" t="str">
        <f>IFERROR(TRIM(tblCustomers[[#This Row],[CustomerID]]),"")</f>
        <v>C0109</v>
      </c>
      <c r="B111" s="16" t="str">
        <f>IFERROR(PROPER(TRIM(tblCustomers[[#This Row],[Name]])),"")</f>
        <v>Kunal Iyer</v>
      </c>
      <c r="C111" s="16" t="str">
        <f>IFERROR(PROPER(TRIM(tblCustomers[[#This Row],[Gender]])),"")</f>
        <v>Male</v>
      </c>
      <c r="D111" s="16">
        <f>IFERROR(tblCustomers[[#This Row],[Age]],"")</f>
        <v>46</v>
      </c>
      <c r="E111" s="16" t="str">
        <f>IFERROR(PROPER(TRIM(tblCustomers[[#This Row],[City/Region]])),"")</f>
        <v>Bhopal</v>
      </c>
      <c r="F111" s="16">
        <f>IFERROR(tblCustomers[[#This Row],[IncomeRange]],"")</f>
        <v>140696</v>
      </c>
      <c r="G111" s="16" t="str">
        <f>IFERROR(PROPER(TRIM(tblCustomers[[#This Row],[Occupation]])),"")</f>
        <v>Lawyer</v>
      </c>
      <c r="H111" s="17">
        <f>IFERROR(tblCustomers[[#This Row],[JoinDate]],"")</f>
        <v>45461</v>
      </c>
      <c r="I111" s="16" t="str">
        <f>IFERROR(PROPER(TRIM(tblCustomers[[#This Row],[PurchaseChannel]])),"")</f>
        <v>Online</v>
      </c>
      <c r="J111" s="16" t="str">
        <f>IFERROR(PROPER(TRIM(tblCustomers[[#This Row],[CustomerType]])),"")</f>
        <v>New</v>
      </c>
      <c r="K111" s="16" t="str">
        <f>IFERROR(PROPER(TRIM(tblCustomers[[#This Row],[EngagementLevel]])),"")</f>
        <v>High</v>
      </c>
      <c r="L111" s="16" t="str">
        <f>IFERROR(PROPER(TRIM(tblCustomers[[#This Row],[DiscountSensitivity]])),"")</f>
        <v>High</v>
      </c>
      <c r="M111" s="17">
        <f>IFERROR(tblCustomers[[#This Row],[LastPurchaseDate]],"")</f>
        <v>45884</v>
      </c>
      <c r="N111" s="16" t="str">
        <f>IFERROR(IF(tblCustomers[[#This Row],[Age]]&lt;25,"&lt;25",IF(tblCustomers[[#This Row],[Age]]&lt;40,"25-39",IF(tblCustomers[[#This Row],[Age]]&lt;55,"40-54","55+"))),"N/A")</f>
        <v>40-54</v>
      </c>
      <c r="O111" s="16" t="str">
        <f>IFERROR(IF(tblCustomers[[#This Row],[IncomeRange]]&lt;25000,"Low",IF(tblCustomers[[#This Row],[IncomeRange]]&lt;75000,"Mid","High")),"N/A")</f>
        <v>High</v>
      </c>
      <c r="P111" s="16" t="str">
        <f>IFERROR(TEXT(tblCustomers[[#This Row],[JoinDate]],"DDDD"),"")</f>
        <v>Tuesday</v>
      </c>
      <c r="Q111" s="18" t="b">
        <f>IFERROR(IF(WEEKDAY(tblCustomers[[#This Row],[JoinDate]],2)&gt;=6,TRUE(),FALSE()),FALSE())</f>
        <v>0</v>
      </c>
      <c r="R111" s="16">
        <f ca="1">IFERROR(DATEDIF(tblCustomers[[#This Row],[JoinDate]],TODAY(),"M"),0)</f>
        <v>21</v>
      </c>
      <c r="S111" s="16" t="str">
        <f>IFERROR(IF(AND(tblCustomers[[#This Row],[Age]]&gt;=18,tblCustomers[[#This Row],[IncomeRange]]&gt;0,tblCustomers[[#This Row],[CustomerID]]&lt;&gt;""),"OK","CHECK"),"CHECK")</f>
        <v>OK</v>
      </c>
    </row>
    <row r="112" spans="1:19" ht="15" customHeight="1" x14ac:dyDescent="0.3">
      <c r="A112" s="19" t="str">
        <f>IFERROR(TRIM(tblCustomers[[#This Row],[CustomerID]]),"")</f>
        <v>C0110</v>
      </c>
      <c r="B112" s="19" t="str">
        <f>IFERROR(PROPER(TRIM(tblCustomers[[#This Row],[Name]])),"")</f>
        <v>Anil Nair</v>
      </c>
      <c r="C112" s="19" t="str">
        <f>IFERROR(PROPER(TRIM(tblCustomers[[#This Row],[Gender]])),"")</f>
        <v>Male</v>
      </c>
      <c r="D112" s="19">
        <f>IFERROR(tblCustomers[[#This Row],[Age]],"")</f>
        <v>51</v>
      </c>
      <c r="E112" s="19" t="str">
        <f>IFERROR(PROPER(TRIM(tblCustomers[[#This Row],[City/Region]])),"")</f>
        <v>Mumbai</v>
      </c>
      <c r="F112" s="19">
        <f>IFERROR(tblCustomers[[#This Row],[IncomeRange]],"")</f>
        <v>87045</v>
      </c>
      <c r="G112" s="19" t="str">
        <f>IFERROR(PROPER(TRIM(tblCustomers[[#This Row],[Occupation]])),"")</f>
        <v>Lawyer</v>
      </c>
      <c r="H112" s="20">
        <f>IFERROR(tblCustomers[[#This Row],[JoinDate]],"")</f>
        <v>44938</v>
      </c>
      <c r="I112" s="19" t="str">
        <f>IFERROR(PROPER(TRIM(tblCustomers[[#This Row],[PurchaseChannel]])),"")</f>
        <v>Online</v>
      </c>
      <c r="J112" s="19" t="str">
        <f>IFERROR(PROPER(TRIM(tblCustomers[[#This Row],[CustomerType]])),"")</f>
        <v>New</v>
      </c>
      <c r="K112" s="19" t="str">
        <f>IFERROR(PROPER(TRIM(tblCustomers[[#This Row],[EngagementLevel]])),"")</f>
        <v>High</v>
      </c>
      <c r="L112" s="19" t="str">
        <f>IFERROR(PROPER(TRIM(tblCustomers[[#This Row],[DiscountSensitivity]])),"")</f>
        <v>Medium</v>
      </c>
      <c r="M112" s="20">
        <f>IFERROR(tblCustomers[[#This Row],[LastPurchaseDate]],"")</f>
        <v>46075</v>
      </c>
      <c r="N112" s="19" t="str">
        <f>IFERROR(IF(tblCustomers[[#This Row],[Age]]&lt;25,"&lt;25",IF(tblCustomers[[#This Row],[Age]]&lt;40,"25-39",IF(tblCustomers[[#This Row],[Age]]&lt;55,"40-54","55+"))),"N/A")</f>
        <v>40-54</v>
      </c>
      <c r="O112" s="19" t="str">
        <f>IFERROR(IF(tblCustomers[[#This Row],[IncomeRange]]&lt;25000,"Low",IF(tblCustomers[[#This Row],[IncomeRange]]&lt;75000,"Mid","High")),"N/A")</f>
        <v>High</v>
      </c>
      <c r="P112" s="19" t="str">
        <f>IFERROR(TEXT(tblCustomers[[#This Row],[JoinDate]],"DDDD"),"")</f>
        <v>Thursday</v>
      </c>
      <c r="Q112" s="21" t="b">
        <f>IFERROR(IF(WEEKDAY(tblCustomers[[#This Row],[JoinDate]],2)&gt;=6,TRUE(),FALSE()),FALSE())</f>
        <v>0</v>
      </c>
      <c r="R112" s="19">
        <f ca="1">IFERROR(DATEDIF(tblCustomers[[#This Row],[JoinDate]],TODAY(),"M"),0)</f>
        <v>39</v>
      </c>
      <c r="S112" s="19" t="str">
        <f>IFERROR(IF(AND(tblCustomers[[#This Row],[Age]]&gt;=18,tblCustomers[[#This Row],[IncomeRange]]&gt;0,tblCustomers[[#This Row],[CustomerID]]&lt;&gt;""),"OK","CHECK"),"CHECK")</f>
        <v>OK</v>
      </c>
    </row>
    <row r="113" spans="1:19" ht="15" customHeight="1" x14ac:dyDescent="0.3">
      <c r="A113" s="16" t="str">
        <f>IFERROR(TRIM(tblCustomers[[#This Row],[CustomerID]]),"")</f>
        <v>C0111</v>
      </c>
      <c r="B113" s="16" t="str">
        <f>IFERROR(PROPER(TRIM(tblCustomers[[#This Row],[Name]])),"")</f>
        <v>Deepak Sharma</v>
      </c>
      <c r="C113" s="16" t="str">
        <f>IFERROR(PROPER(TRIM(tblCustomers[[#This Row],[Gender]])),"")</f>
        <v>Male</v>
      </c>
      <c r="D113" s="16">
        <f>IFERROR(tblCustomers[[#This Row],[Age]],"")</f>
        <v>56</v>
      </c>
      <c r="E113" s="16" t="str">
        <f>IFERROR(PROPER(TRIM(tblCustomers[[#This Row],[City/Region]])),"")</f>
        <v>Bhubaneswar</v>
      </c>
      <c r="F113" s="16">
        <f>IFERROR(tblCustomers[[#This Row],[IncomeRange]],"")</f>
        <v>18149</v>
      </c>
      <c r="G113" s="16" t="str">
        <f>IFERROR(PROPER(TRIM(tblCustomers[[#This Row],[Occupation]])),"")</f>
        <v>Accountant</v>
      </c>
      <c r="H113" s="17">
        <f>IFERROR(tblCustomers[[#This Row],[JoinDate]],"")</f>
        <v>45387</v>
      </c>
      <c r="I113" s="16" t="str">
        <f>IFERROR(PROPER(TRIM(tblCustomers[[#This Row],[PurchaseChannel]])),"")</f>
        <v>Offline</v>
      </c>
      <c r="J113" s="16" t="str">
        <f>IFERROR(PROPER(TRIM(tblCustomers[[#This Row],[CustomerType]])),"")</f>
        <v>New</v>
      </c>
      <c r="K113" s="16" t="str">
        <f>IFERROR(PROPER(TRIM(tblCustomers[[#This Row],[EngagementLevel]])),"")</f>
        <v>Low</v>
      </c>
      <c r="L113" s="16" t="str">
        <f>IFERROR(PROPER(TRIM(tblCustomers[[#This Row],[DiscountSensitivity]])),"")</f>
        <v>Medium</v>
      </c>
      <c r="M113" s="17">
        <f>IFERROR(tblCustomers[[#This Row],[LastPurchaseDate]],"")</f>
        <v>45905</v>
      </c>
      <c r="N113" s="16" t="str">
        <f>IFERROR(IF(tblCustomers[[#This Row],[Age]]&lt;25,"&lt;25",IF(tblCustomers[[#This Row],[Age]]&lt;40,"25-39",IF(tblCustomers[[#This Row],[Age]]&lt;55,"40-54","55+"))),"N/A")</f>
        <v>55+</v>
      </c>
      <c r="O113" s="16" t="str">
        <f>IFERROR(IF(tblCustomers[[#This Row],[IncomeRange]]&lt;25000,"Low",IF(tblCustomers[[#This Row],[IncomeRange]]&lt;75000,"Mid","High")),"N/A")</f>
        <v>Low</v>
      </c>
      <c r="P113" s="16" t="str">
        <f>IFERROR(TEXT(tblCustomers[[#This Row],[JoinDate]],"DDDD"),"")</f>
        <v>Friday</v>
      </c>
      <c r="Q113" s="18" t="b">
        <f>IFERROR(IF(WEEKDAY(tblCustomers[[#This Row],[JoinDate]],2)&gt;=6,TRUE(),FALSE()),FALSE())</f>
        <v>0</v>
      </c>
      <c r="R113" s="16">
        <f ca="1">IFERROR(DATEDIF(tblCustomers[[#This Row],[JoinDate]],TODAY(),"M"),0)</f>
        <v>24</v>
      </c>
      <c r="S113" s="16" t="str">
        <f>IFERROR(IF(AND(tblCustomers[[#This Row],[Age]]&gt;=18,tblCustomers[[#This Row],[IncomeRange]]&gt;0,tblCustomers[[#This Row],[CustomerID]]&lt;&gt;""),"OK","CHECK"),"CHECK")</f>
        <v>OK</v>
      </c>
    </row>
    <row r="114" spans="1:19" ht="15" customHeight="1" x14ac:dyDescent="0.3">
      <c r="A114" s="19" t="str">
        <f>IFERROR(TRIM(tblCustomers[[#This Row],[CustomerID]]),"")</f>
        <v>C0112</v>
      </c>
      <c r="B114" s="19" t="str">
        <f>IFERROR(PROPER(TRIM(tblCustomers[[#This Row],[Name]])),"")</f>
        <v>Suresh Kumar</v>
      </c>
      <c r="C114" s="19" t="str">
        <f>IFERROR(PROPER(TRIM(tblCustomers[[#This Row],[Gender]])),"")</f>
        <v>Male</v>
      </c>
      <c r="D114" s="19">
        <f>IFERROR(tblCustomers[[#This Row],[Age]],"")</f>
        <v>27</v>
      </c>
      <c r="E114" s="19" t="str">
        <f>IFERROR(PROPER(TRIM(tblCustomers[[#This Row],[City/Region]])),"")</f>
        <v>Patna</v>
      </c>
      <c r="F114" s="19">
        <f>IFERROR(tblCustomers[[#This Row],[IncomeRange]],"")</f>
        <v>36143</v>
      </c>
      <c r="G114" s="19" t="str">
        <f>IFERROR(PROPER(TRIM(tblCustomers[[#This Row],[Occupation]])),"")</f>
        <v>Consultant</v>
      </c>
      <c r="H114" s="20">
        <f>IFERROR(tblCustomers[[#This Row],[JoinDate]],"")</f>
        <v>45173</v>
      </c>
      <c r="I114" s="19" t="str">
        <f>IFERROR(PROPER(TRIM(tblCustomers[[#This Row],[PurchaseChannel]])),"")</f>
        <v>Online</v>
      </c>
      <c r="J114" s="19" t="str">
        <f>IFERROR(PROPER(TRIM(tblCustomers[[#This Row],[CustomerType]])),"")</f>
        <v>New</v>
      </c>
      <c r="K114" s="19" t="str">
        <f>IFERROR(PROPER(TRIM(tblCustomers[[#This Row],[EngagementLevel]])),"")</f>
        <v>High</v>
      </c>
      <c r="L114" s="19" t="str">
        <f>IFERROR(PROPER(TRIM(tblCustomers[[#This Row],[DiscountSensitivity]])),"")</f>
        <v>Medium</v>
      </c>
      <c r="M114" s="20">
        <f>IFERROR(tblCustomers[[#This Row],[LastPurchaseDate]],"")</f>
        <v>46029</v>
      </c>
      <c r="N114" s="19" t="str">
        <f>IFERROR(IF(tblCustomers[[#This Row],[Age]]&lt;25,"&lt;25",IF(tblCustomers[[#This Row],[Age]]&lt;40,"25-39",IF(tblCustomers[[#This Row],[Age]]&lt;55,"40-54","55+"))),"N/A")</f>
        <v>25-39</v>
      </c>
      <c r="O114" s="19" t="str">
        <f>IFERROR(IF(tblCustomers[[#This Row],[IncomeRange]]&lt;25000,"Low",IF(tblCustomers[[#This Row],[IncomeRange]]&lt;75000,"Mid","High")),"N/A")</f>
        <v>Mid</v>
      </c>
      <c r="P114" s="19" t="str">
        <f>IFERROR(TEXT(tblCustomers[[#This Row],[JoinDate]],"DDDD"),"")</f>
        <v>Monday</v>
      </c>
      <c r="Q114" s="21" t="b">
        <f>IFERROR(IF(WEEKDAY(tblCustomers[[#This Row],[JoinDate]],2)&gt;=6,TRUE(),FALSE()),FALSE())</f>
        <v>0</v>
      </c>
      <c r="R114" s="19">
        <f ca="1">IFERROR(DATEDIF(tblCustomers[[#This Row],[JoinDate]],TODAY(),"M"),0)</f>
        <v>31</v>
      </c>
      <c r="S114" s="19" t="str">
        <f>IFERROR(IF(AND(tblCustomers[[#This Row],[Age]]&gt;=18,tblCustomers[[#This Row],[IncomeRange]]&gt;0,tblCustomers[[#This Row],[CustomerID]]&lt;&gt;""),"OK","CHECK"),"CHECK")</f>
        <v>OK</v>
      </c>
    </row>
    <row r="115" spans="1:19" ht="15" customHeight="1" x14ac:dyDescent="0.3">
      <c r="A115" s="16" t="str">
        <f>IFERROR(TRIM(tblCustomers[[#This Row],[CustomerID]]),"")</f>
        <v>C0113</v>
      </c>
      <c r="B115" s="16" t="str">
        <f>IFERROR(PROPER(TRIM(tblCustomers[[#This Row],[Name]])),"")</f>
        <v>Deepak Patel</v>
      </c>
      <c r="C115" s="16" t="str">
        <f>IFERROR(PROPER(TRIM(tblCustomers[[#This Row],[Gender]])),"")</f>
        <v>Male</v>
      </c>
      <c r="D115" s="16">
        <f>IFERROR(tblCustomers[[#This Row],[Age]],"")</f>
        <v>56</v>
      </c>
      <c r="E115" s="16" t="str">
        <f>IFERROR(PROPER(TRIM(tblCustomers[[#This Row],[City/Region]])),"")</f>
        <v>Pune</v>
      </c>
      <c r="F115" s="16">
        <f>IFERROR(tblCustomers[[#This Row],[IncomeRange]],"")</f>
        <v>99714</v>
      </c>
      <c r="G115" s="16" t="str">
        <f>IFERROR(PROPER(TRIM(tblCustomers[[#This Row],[Occupation]])),"")</f>
        <v>Marketing Manager</v>
      </c>
      <c r="H115" s="17">
        <f>IFERROR(tblCustomers[[#This Row],[JoinDate]],"")</f>
        <v>45031</v>
      </c>
      <c r="I115" s="16" t="str">
        <f>IFERROR(PROPER(TRIM(tblCustomers[[#This Row],[PurchaseChannel]])),"")</f>
        <v>Offline</v>
      </c>
      <c r="J115" s="16" t="str">
        <f>IFERROR(PROPER(TRIM(tblCustomers[[#This Row],[CustomerType]])),"")</f>
        <v>Returning</v>
      </c>
      <c r="K115" s="16" t="str">
        <f>IFERROR(PROPER(TRIM(tblCustomers[[#This Row],[EngagementLevel]])),"")</f>
        <v>High</v>
      </c>
      <c r="L115" s="16" t="str">
        <f>IFERROR(PROPER(TRIM(tblCustomers[[#This Row],[DiscountSensitivity]])),"")</f>
        <v>Medium</v>
      </c>
      <c r="M115" s="17">
        <f>IFERROR(tblCustomers[[#This Row],[LastPurchaseDate]],"")</f>
        <v>45809</v>
      </c>
      <c r="N115" s="16" t="str">
        <f>IFERROR(IF(tblCustomers[[#This Row],[Age]]&lt;25,"&lt;25",IF(tblCustomers[[#This Row],[Age]]&lt;40,"25-39",IF(tblCustomers[[#This Row],[Age]]&lt;55,"40-54","55+"))),"N/A")</f>
        <v>55+</v>
      </c>
      <c r="O115" s="16" t="str">
        <f>IFERROR(IF(tblCustomers[[#This Row],[IncomeRange]]&lt;25000,"Low",IF(tblCustomers[[#This Row],[IncomeRange]]&lt;75000,"Mid","High")),"N/A")</f>
        <v>High</v>
      </c>
      <c r="P115" s="16" t="str">
        <f>IFERROR(TEXT(tblCustomers[[#This Row],[JoinDate]],"DDDD"),"")</f>
        <v>Saturday</v>
      </c>
      <c r="Q115" s="18" t="b">
        <f>IFERROR(IF(WEEKDAY(tblCustomers[[#This Row],[JoinDate]],2)&gt;=6,TRUE(),FALSE()),FALSE())</f>
        <v>1</v>
      </c>
      <c r="R115" s="16">
        <f ca="1">IFERROR(DATEDIF(tblCustomers[[#This Row],[JoinDate]],TODAY(),"M"),0)</f>
        <v>35</v>
      </c>
      <c r="S115" s="16" t="str">
        <f>IFERROR(IF(AND(tblCustomers[[#This Row],[Age]]&gt;=18,tblCustomers[[#This Row],[IncomeRange]]&gt;0,tblCustomers[[#This Row],[CustomerID]]&lt;&gt;""),"OK","CHECK"),"CHECK")</f>
        <v>OK</v>
      </c>
    </row>
    <row r="116" spans="1:19" ht="15" customHeight="1" x14ac:dyDescent="0.3">
      <c r="A116" s="19" t="str">
        <f>IFERROR(TRIM(tblCustomers[[#This Row],[CustomerID]]),"")</f>
        <v>C0114</v>
      </c>
      <c r="B116" s="19" t="str">
        <f>IFERROR(PROPER(TRIM(tblCustomers[[#This Row],[Name]])),"")</f>
        <v>Amit Reddy</v>
      </c>
      <c r="C116" s="19" t="str">
        <f>IFERROR(PROPER(TRIM(tblCustomers[[#This Row],[Gender]])),"")</f>
        <v>Male</v>
      </c>
      <c r="D116" s="19">
        <f>IFERROR(tblCustomers[[#This Row],[Age]],"")</f>
        <v>59</v>
      </c>
      <c r="E116" s="19" t="str">
        <f>IFERROR(PROPER(TRIM(tblCustomers[[#This Row],[City/Region]])),"")</f>
        <v>Ahmedabad</v>
      </c>
      <c r="F116" s="19">
        <f>IFERROR(tblCustomers[[#This Row],[IncomeRange]],"")</f>
        <v>19885</v>
      </c>
      <c r="G116" s="19" t="str">
        <f>IFERROR(PROPER(TRIM(tblCustomers[[#This Row],[Occupation]])),"")</f>
        <v>Doctor</v>
      </c>
      <c r="H116" s="20">
        <f>IFERROR(tblCustomers[[#This Row],[JoinDate]],"")</f>
        <v>44994</v>
      </c>
      <c r="I116" s="19" t="str">
        <f>IFERROR(PROPER(TRIM(tblCustomers[[#This Row],[PurchaseChannel]])),"")</f>
        <v>Online</v>
      </c>
      <c r="J116" s="19" t="str">
        <f>IFERROR(PROPER(TRIM(tblCustomers[[#This Row],[CustomerType]])),"")</f>
        <v>New</v>
      </c>
      <c r="K116" s="19" t="str">
        <f>IFERROR(PROPER(TRIM(tblCustomers[[#This Row],[EngagementLevel]])),"")</f>
        <v>Low</v>
      </c>
      <c r="L116" s="19" t="str">
        <f>IFERROR(PROPER(TRIM(tblCustomers[[#This Row],[DiscountSensitivity]])),"")</f>
        <v>Low</v>
      </c>
      <c r="M116" s="20">
        <f>IFERROR(tblCustomers[[#This Row],[LastPurchaseDate]],"")</f>
        <v>45917</v>
      </c>
      <c r="N116" s="19" t="str">
        <f>IFERROR(IF(tblCustomers[[#This Row],[Age]]&lt;25,"&lt;25",IF(tblCustomers[[#This Row],[Age]]&lt;40,"25-39",IF(tblCustomers[[#This Row],[Age]]&lt;55,"40-54","55+"))),"N/A")</f>
        <v>55+</v>
      </c>
      <c r="O116" s="19" t="str">
        <f>IFERROR(IF(tblCustomers[[#This Row],[IncomeRange]]&lt;25000,"Low",IF(tblCustomers[[#This Row],[IncomeRange]]&lt;75000,"Mid","High")),"N/A")</f>
        <v>Low</v>
      </c>
      <c r="P116" s="19" t="str">
        <f>IFERROR(TEXT(tblCustomers[[#This Row],[JoinDate]],"DDDD"),"")</f>
        <v>Thursday</v>
      </c>
      <c r="Q116" s="21" t="b">
        <f>IFERROR(IF(WEEKDAY(tblCustomers[[#This Row],[JoinDate]],2)&gt;=6,TRUE(),FALSE()),FALSE())</f>
        <v>0</v>
      </c>
      <c r="R116" s="19">
        <f ca="1">IFERROR(DATEDIF(tblCustomers[[#This Row],[JoinDate]],TODAY(),"M"),0)</f>
        <v>37</v>
      </c>
      <c r="S116" s="19" t="str">
        <f>IFERROR(IF(AND(tblCustomers[[#This Row],[Age]]&gt;=18,tblCustomers[[#This Row],[IncomeRange]]&gt;0,tblCustomers[[#This Row],[CustomerID]]&lt;&gt;""),"OK","CHECK"),"CHECK")</f>
        <v>OK</v>
      </c>
    </row>
    <row r="117" spans="1:19" ht="15" customHeight="1" x14ac:dyDescent="0.3">
      <c r="A117" s="16" t="str">
        <f>IFERROR(TRIM(tblCustomers[[#This Row],[CustomerID]]),"")</f>
        <v>C0115</v>
      </c>
      <c r="B117" s="16" t="str">
        <f>IFERROR(PROPER(TRIM(tblCustomers[[#This Row],[Name]])),"")</f>
        <v>Vijay Joshi</v>
      </c>
      <c r="C117" s="16" t="str">
        <f>IFERROR(PROPER(TRIM(tblCustomers[[#This Row],[Gender]])),"")</f>
        <v>Male</v>
      </c>
      <c r="D117" s="16">
        <f>IFERROR(tblCustomers[[#This Row],[Age]],"")</f>
        <v>56</v>
      </c>
      <c r="E117" s="16" t="str">
        <f>IFERROR(PROPER(TRIM(tblCustomers[[#This Row],[City/Region]])),"")</f>
        <v>Chennai</v>
      </c>
      <c r="F117" s="16">
        <f>IFERROR(tblCustomers[[#This Row],[IncomeRange]],"")</f>
        <v>141907</v>
      </c>
      <c r="G117" s="16" t="str">
        <f>IFERROR(PROPER(TRIM(tblCustomers[[#This Row],[Occupation]])),"")</f>
        <v>Business Owner</v>
      </c>
      <c r="H117" s="17">
        <f>IFERROR(tblCustomers[[#This Row],[JoinDate]],"")</f>
        <v>44915</v>
      </c>
      <c r="I117" s="16" t="str">
        <f>IFERROR(PROPER(TRIM(tblCustomers[[#This Row],[PurchaseChannel]])),"")</f>
        <v>Offline</v>
      </c>
      <c r="J117" s="16" t="str">
        <f>IFERROR(PROPER(TRIM(tblCustomers[[#This Row],[CustomerType]])),"")</f>
        <v>Returning</v>
      </c>
      <c r="K117" s="16" t="str">
        <f>IFERROR(PROPER(TRIM(tblCustomers[[#This Row],[EngagementLevel]])),"")</f>
        <v>Low</v>
      </c>
      <c r="L117" s="16" t="str">
        <f>IFERROR(PROPER(TRIM(tblCustomers[[#This Row],[DiscountSensitivity]])),"")</f>
        <v>Low</v>
      </c>
      <c r="M117" s="17">
        <f>IFERROR(tblCustomers[[#This Row],[LastPurchaseDate]],"")</f>
        <v>45797</v>
      </c>
      <c r="N117" s="16" t="str">
        <f>IFERROR(IF(tblCustomers[[#This Row],[Age]]&lt;25,"&lt;25",IF(tblCustomers[[#This Row],[Age]]&lt;40,"25-39",IF(tblCustomers[[#This Row],[Age]]&lt;55,"40-54","55+"))),"N/A")</f>
        <v>55+</v>
      </c>
      <c r="O117" s="16" t="str">
        <f>IFERROR(IF(tblCustomers[[#This Row],[IncomeRange]]&lt;25000,"Low",IF(tblCustomers[[#This Row],[IncomeRange]]&lt;75000,"Mid","High")),"N/A")</f>
        <v>High</v>
      </c>
      <c r="P117" s="16" t="str">
        <f>IFERROR(TEXT(tblCustomers[[#This Row],[JoinDate]],"DDDD"),"")</f>
        <v>Tuesday</v>
      </c>
      <c r="Q117" s="18" t="b">
        <f>IFERROR(IF(WEEKDAY(tblCustomers[[#This Row],[JoinDate]],2)&gt;=6,TRUE(),FALSE()),FALSE())</f>
        <v>0</v>
      </c>
      <c r="R117" s="16">
        <f ca="1">IFERROR(DATEDIF(tblCustomers[[#This Row],[JoinDate]],TODAY(),"M"),0)</f>
        <v>39</v>
      </c>
      <c r="S117" s="16" t="str">
        <f>IFERROR(IF(AND(tblCustomers[[#This Row],[Age]]&gt;=18,tblCustomers[[#This Row],[IncomeRange]]&gt;0,tblCustomers[[#This Row],[CustomerID]]&lt;&gt;""),"OK","CHECK"),"CHECK")</f>
        <v>OK</v>
      </c>
    </row>
    <row r="118" spans="1:19" ht="15" customHeight="1" x14ac:dyDescent="0.3">
      <c r="A118" s="19" t="str">
        <f>IFERROR(TRIM(tblCustomers[[#This Row],[CustomerID]]),"")</f>
        <v>C0116</v>
      </c>
      <c r="B118" s="19" t="str">
        <f>IFERROR(PROPER(TRIM(tblCustomers[[#This Row],[Name]])),"")</f>
        <v>Anil Mehta</v>
      </c>
      <c r="C118" s="19" t="str">
        <f>IFERROR(PROPER(TRIM(tblCustomers[[#This Row],[Gender]])),"")</f>
        <v>Male</v>
      </c>
      <c r="D118" s="19">
        <f>IFERROR(tblCustomers[[#This Row],[Age]],"")</f>
        <v>65</v>
      </c>
      <c r="E118" s="19" t="str">
        <f>IFERROR(PROPER(TRIM(tblCustomers[[#This Row],[City/Region]])),"")</f>
        <v>Hyderabad</v>
      </c>
      <c r="F118" s="19">
        <f>IFERROR(tblCustomers[[#This Row],[IncomeRange]],"")</f>
        <v>33889</v>
      </c>
      <c r="G118" s="19" t="str">
        <f>IFERROR(PROPER(TRIM(tblCustomers[[#This Row],[Occupation]])),"")</f>
        <v>Marketing Manager</v>
      </c>
      <c r="H118" s="20">
        <f>IFERROR(tblCustomers[[#This Row],[JoinDate]],"")</f>
        <v>44973</v>
      </c>
      <c r="I118" s="19" t="str">
        <f>IFERROR(PROPER(TRIM(tblCustomers[[#This Row],[PurchaseChannel]])),"")</f>
        <v>Offline</v>
      </c>
      <c r="J118" s="19" t="str">
        <f>IFERROR(PROPER(TRIM(tblCustomers[[#This Row],[CustomerType]])),"")</f>
        <v>New</v>
      </c>
      <c r="K118" s="19" t="str">
        <f>IFERROR(PROPER(TRIM(tblCustomers[[#This Row],[EngagementLevel]])),"")</f>
        <v>Low</v>
      </c>
      <c r="L118" s="19" t="str">
        <f>IFERROR(PROPER(TRIM(tblCustomers[[#This Row],[DiscountSensitivity]])),"")</f>
        <v>Low</v>
      </c>
      <c r="M118" s="20">
        <f>IFERROR(tblCustomers[[#This Row],[LastPurchaseDate]],"")</f>
        <v>45845</v>
      </c>
      <c r="N118" s="19" t="str">
        <f>IFERROR(IF(tblCustomers[[#This Row],[Age]]&lt;25,"&lt;25",IF(tblCustomers[[#This Row],[Age]]&lt;40,"25-39",IF(tblCustomers[[#This Row],[Age]]&lt;55,"40-54","55+"))),"N/A")</f>
        <v>55+</v>
      </c>
      <c r="O118" s="19" t="str">
        <f>IFERROR(IF(tblCustomers[[#This Row],[IncomeRange]]&lt;25000,"Low",IF(tblCustomers[[#This Row],[IncomeRange]]&lt;75000,"Mid","High")),"N/A")</f>
        <v>Mid</v>
      </c>
      <c r="P118" s="19" t="str">
        <f>IFERROR(TEXT(tblCustomers[[#This Row],[JoinDate]],"DDDD"),"")</f>
        <v>Thursday</v>
      </c>
      <c r="Q118" s="21" t="b">
        <f>IFERROR(IF(WEEKDAY(tblCustomers[[#This Row],[JoinDate]],2)&gt;=6,TRUE(),FALSE()),FALSE())</f>
        <v>0</v>
      </c>
      <c r="R118" s="19">
        <f ca="1">IFERROR(DATEDIF(tblCustomers[[#This Row],[JoinDate]],TODAY(),"M"),0)</f>
        <v>37</v>
      </c>
      <c r="S118" s="19" t="str">
        <f>IFERROR(IF(AND(tblCustomers[[#This Row],[Age]]&gt;=18,tblCustomers[[#This Row],[IncomeRange]]&gt;0,tblCustomers[[#This Row],[CustomerID]]&lt;&gt;""),"OK","CHECK"),"CHECK")</f>
        <v>OK</v>
      </c>
    </row>
    <row r="119" spans="1:19" ht="15" customHeight="1" x14ac:dyDescent="0.3">
      <c r="A119" s="16" t="str">
        <f>IFERROR(TRIM(tblCustomers[[#This Row],[CustomerID]]),"")</f>
        <v>C0117</v>
      </c>
      <c r="B119" s="16" t="str">
        <f>IFERROR(PROPER(TRIM(tblCustomers[[#This Row],[Name]])),"")</f>
        <v>Sneha Mishra</v>
      </c>
      <c r="C119" s="16" t="str">
        <f>IFERROR(PROPER(TRIM(tblCustomers[[#This Row],[Gender]])),"")</f>
        <v>Female</v>
      </c>
      <c r="D119" s="16">
        <f>IFERROR(tblCustomers[[#This Row],[Age]],"")</f>
        <v>37</v>
      </c>
      <c r="E119" s="16" t="str">
        <f>IFERROR(PROPER(TRIM(tblCustomers[[#This Row],[City/Region]])),"")</f>
        <v>Bangalore</v>
      </c>
      <c r="F119" s="16">
        <f>IFERROR(tblCustomers[[#This Row],[IncomeRange]],"")</f>
        <v>134164</v>
      </c>
      <c r="G119" s="16" t="str">
        <f>IFERROR(PROPER(TRIM(tblCustomers[[#This Row],[Occupation]])),"")</f>
        <v>Consultant</v>
      </c>
      <c r="H119" s="17">
        <f>IFERROR(tblCustomers[[#This Row],[JoinDate]],"")</f>
        <v>45155</v>
      </c>
      <c r="I119" s="16" t="str">
        <f>IFERROR(PROPER(TRIM(tblCustomers[[#This Row],[PurchaseChannel]])),"")</f>
        <v>Online</v>
      </c>
      <c r="J119" s="16" t="str">
        <f>IFERROR(PROPER(TRIM(tblCustomers[[#This Row],[CustomerType]])),"")</f>
        <v>New</v>
      </c>
      <c r="K119" s="16" t="str">
        <f>IFERROR(PROPER(TRIM(tblCustomers[[#This Row],[EngagementLevel]])),"")</f>
        <v>High</v>
      </c>
      <c r="L119" s="16" t="str">
        <f>IFERROR(PROPER(TRIM(tblCustomers[[#This Row],[DiscountSensitivity]])),"")</f>
        <v>High</v>
      </c>
      <c r="M119" s="17">
        <f>IFERROR(tblCustomers[[#This Row],[LastPurchaseDate]],"")</f>
        <v>45755</v>
      </c>
      <c r="N119" s="16" t="str">
        <f>IFERROR(IF(tblCustomers[[#This Row],[Age]]&lt;25,"&lt;25",IF(tblCustomers[[#This Row],[Age]]&lt;40,"25-39",IF(tblCustomers[[#This Row],[Age]]&lt;55,"40-54","55+"))),"N/A")</f>
        <v>25-39</v>
      </c>
      <c r="O119" s="16" t="str">
        <f>IFERROR(IF(tblCustomers[[#This Row],[IncomeRange]]&lt;25000,"Low",IF(tblCustomers[[#This Row],[IncomeRange]]&lt;75000,"Mid","High")),"N/A")</f>
        <v>High</v>
      </c>
      <c r="P119" s="16" t="str">
        <f>IFERROR(TEXT(tblCustomers[[#This Row],[JoinDate]],"DDDD"),"")</f>
        <v>Thursday</v>
      </c>
      <c r="Q119" s="18" t="b">
        <f>IFERROR(IF(WEEKDAY(tblCustomers[[#This Row],[JoinDate]],2)&gt;=6,TRUE(),FALSE()),FALSE())</f>
        <v>0</v>
      </c>
      <c r="R119" s="16">
        <f ca="1">IFERROR(DATEDIF(tblCustomers[[#This Row],[JoinDate]],TODAY(),"M"),0)</f>
        <v>31</v>
      </c>
      <c r="S119" s="16" t="str">
        <f>IFERROR(IF(AND(tblCustomers[[#This Row],[Age]]&gt;=18,tblCustomers[[#This Row],[IncomeRange]]&gt;0,tblCustomers[[#This Row],[CustomerID]]&lt;&gt;""),"OK","CHECK"),"CHECK")</f>
        <v>OK</v>
      </c>
    </row>
    <row r="120" spans="1:19" ht="15" customHeight="1" x14ac:dyDescent="0.3">
      <c r="A120" s="19" t="str">
        <f>IFERROR(TRIM(tblCustomers[[#This Row],[CustomerID]]),"")</f>
        <v>C0118</v>
      </c>
      <c r="B120" s="19" t="str">
        <f>IFERROR(PROPER(TRIM(tblCustomers[[#This Row],[Name]])),"")</f>
        <v>Nisha Mishra</v>
      </c>
      <c r="C120" s="19" t="str">
        <f>IFERROR(PROPER(TRIM(tblCustomers[[#This Row],[Gender]])),"")</f>
        <v>Female</v>
      </c>
      <c r="D120" s="19">
        <f>IFERROR(tblCustomers[[#This Row],[Age]],"")</f>
        <v>53</v>
      </c>
      <c r="E120" s="19" t="str">
        <f>IFERROR(PROPER(TRIM(tblCustomers[[#This Row],[City/Region]])),"")</f>
        <v>Patna</v>
      </c>
      <c r="F120" s="19">
        <f>IFERROR(tblCustomers[[#This Row],[IncomeRange]],"")</f>
        <v>74032</v>
      </c>
      <c r="G120" s="19" t="str">
        <f>IFERROR(PROPER(TRIM(tblCustomers[[#This Row],[Occupation]])),"")</f>
        <v>Nurse</v>
      </c>
      <c r="H120" s="20">
        <f>IFERROR(tblCustomers[[#This Row],[JoinDate]],"")</f>
        <v>45308</v>
      </c>
      <c r="I120" s="19" t="str">
        <f>IFERROR(PROPER(TRIM(tblCustomers[[#This Row],[PurchaseChannel]])),"")</f>
        <v>Online</v>
      </c>
      <c r="J120" s="19" t="str">
        <f>IFERROR(PROPER(TRIM(tblCustomers[[#This Row],[CustomerType]])),"")</f>
        <v>New</v>
      </c>
      <c r="K120" s="19" t="str">
        <f>IFERROR(PROPER(TRIM(tblCustomers[[#This Row],[EngagementLevel]])),"")</f>
        <v>Medium</v>
      </c>
      <c r="L120" s="19" t="str">
        <f>IFERROR(PROPER(TRIM(tblCustomers[[#This Row],[DiscountSensitivity]])),"")</f>
        <v>Low</v>
      </c>
      <c r="M120" s="20">
        <f>IFERROR(tblCustomers[[#This Row],[LastPurchaseDate]],"")</f>
        <v>45947</v>
      </c>
      <c r="N120" s="19" t="str">
        <f>IFERROR(IF(tblCustomers[[#This Row],[Age]]&lt;25,"&lt;25",IF(tblCustomers[[#This Row],[Age]]&lt;40,"25-39",IF(tblCustomers[[#This Row],[Age]]&lt;55,"40-54","55+"))),"N/A")</f>
        <v>40-54</v>
      </c>
      <c r="O120" s="19" t="str">
        <f>IFERROR(IF(tblCustomers[[#This Row],[IncomeRange]]&lt;25000,"Low",IF(tblCustomers[[#This Row],[IncomeRange]]&lt;75000,"Mid","High")),"N/A")</f>
        <v>Mid</v>
      </c>
      <c r="P120" s="19" t="str">
        <f>IFERROR(TEXT(tblCustomers[[#This Row],[JoinDate]],"DDDD"),"")</f>
        <v>Wednesday</v>
      </c>
      <c r="Q120" s="21" t="b">
        <f>IFERROR(IF(WEEKDAY(tblCustomers[[#This Row],[JoinDate]],2)&gt;=6,TRUE(),FALSE()),FALSE())</f>
        <v>0</v>
      </c>
      <c r="R120" s="19">
        <f ca="1">IFERROR(DATEDIF(tblCustomers[[#This Row],[JoinDate]],TODAY(),"M"),0)</f>
        <v>26</v>
      </c>
      <c r="S120" s="19" t="str">
        <f>IFERROR(IF(AND(tblCustomers[[#This Row],[Age]]&gt;=18,tblCustomers[[#This Row],[IncomeRange]]&gt;0,tblCustomers[[#This Row],[CustomerID]]&lt;&gt;""),"OK","CHECK"),"CHECK")</f>
        <v>OK</v>
      </c>
    </row>
    <row r="121" spans="1:19" ht="15" customHeight="1" x14ac:dyDescent="0.3">
      <c r="A121" s="16" t="str">
        <f>IFERROR(TRIM(tblCustomers[[#This Row],[CustomerID]]),"")</f>
        <v>C0119</v>
      </c>
      <c r="B121" s="16" t="str">
        <f>IFERROR(PROPER(TRIM(tblCustomers[[#This Row],[Name]])),"")</f>
        <v>Priya Pillai</v>
      </c>
      <c r="C121" s="16" t="str">
        <f>IFERROR(PROPER(TRIM(tblCustomers[[#This Row],[Gender]])),"")</f>
        <v>Female</v>
      </c>
      <c r="D121" s="16">
        <f>IFERROR(tblCustomers[[#This Row],[Age]],"")</f>
        <v>57</v>
      </c>
      <c r="E121" s="16" t="str">
        <f>IFERROR(PROPER(TRIM(tblCustomers[[#This Row],[City/Region]])),"")</f>
        <v>Patna</v>
      </c>
      <c r="F121" s="16">
        <f>IFERROR(tblCustomers[[#This Row],[IncomeRange]],"")</f>
        <v>58579</v>
      </c>
      <c r="G121" s="16" t="str">
        <f>IFERROR(PROPER(TRIM(tblCustomers[[#This Row],[Occupation]])),"")</f>
        <v>Business Owner</v>
      </c>
      <c r="H121" s="17">
        <f>IFERROR(tblCustomers[[#This Row],[JoinDate]],"")</f>
        <v>45415</v>
      </c>
      <c r="I121" s="16" t="str">
        <f>IFERROR(PROPER(TRIM(tblCustomers[[#This Row],[PurchaseChannel]])),"")</f>
        <v>Online</v>
      </c>
      <c r="J121" s="16" t="str">
        <f>IFERROR(PROPER(TRIM(tblCustomers[[#This Row],[CustomerType]])),"")</f>
        <v>New</v>
      </c>
      <c r="K121" s="16" t="str">
        <f>IFERROR(PROPER(TRIM(tblCustomers[[#This Row],[EngagementLevel]])),"")</f>
        <v>High</v>
      </c>
      <c r="L121" s="16" t="str">
        <f>IFERROR(PROPER(TRIM(tblCustomers[[#This Row],[DiscountSensitivity]])),"")</f>
        <v>High</v>
      </c>
      <c r="M121" s="17">
        <f>IFERROR(tblCustomers[[#This Row],[LastPurchaseDate]],"")</f>
        <v>46025</v>
      </c>
      <c r="N121" s="16" t="str">
        <f>IFERROR(IF(tblCustomers[[#This Row],[Age]]&lt;25,"&lt;25",IF(tblCustomers[[#This Row],[Age]]&lt;40,"25-39",IF(tblCustomers[[#This Row],[Age]]&lt;55,"40-54","55+"))),"N/A")</f>
        <v>55+</v>
      </c>
      <c r="O121" s="16" t="str">
        <f>IFERROR(IF(tblCustomers[[#This Row],[IncomeRange]]&lt;25000,"Low",IF(tblCustomers[[#This Row],[IncomeRange]]&lt;75000,"Mid","High")),"N/A")</f>
        <v>Mid</v>
      </c>
      <c r="P121" s="16" t="str">
        <f>IFERROR(TEXT(tblCustomers[[#This Row],[JoinDate]],"DDDD"),"")</f>
        <v>Friday</v>
      </c>
      <c r="Q121" s="18" t="b">
        <f>IFERROR(IF(WEEKDAY(tblCustomers[[#This Row],[JoinDate]],2)&gt;=6,TRUE(),FALSE()),FALSE())</f>
        <v>0</v>
      </c>
      <c r="R121" s="16">
        <f ca="1">IFERROR(DATEDIF(tblCustomers[[#This Row],[JoinDate]],TODAY(),"M"),0)</f>
        <v>23</v>
      </c>
      <c r="S121" s="16" t="str">
        <f>IFERROR(IF(AND(tblCustomers[[#This Row],[Age]]&gt;=18,tblCustomers[[#This Row],[IncomeRange]]&gt;0,tblCustomers[[#This Row],[CustomerID]]&lt;&gt;""),"OK","CHECK"),"CHECK")</f>
        <v>OK</v>
      </c>
    </row>
    <row r="122" spans="1:19" ht="15" customHeight="1" x14ac:dyDescent="0.3">
      <c r="A122" s="19" t="str">
        <f>IFERROR(TRIM(tblCustomers[[#This Row],[CustomerID]]),"")</f>
        <v>C0120</v>
      </c>
      <c r="B122" s="19" t="str">
        <f>IFERROR(PROPER(TRIM(tblCustomers[[#This Row],[Name]])),"")</f>
        <v>Divya Jain</v>
      </c>
      <c r="C122" s="19" t="str">
        <f>IFERROR(PROPER(TRIM(tblCustomers[[#This Row],[Gender]])),"")</f>
        <v>Female</v>
      </c>
      <c r="D122" s="19">
        <f>IFERROR(tblCustomers[[#This Row],[Age]],"")</f>
        <v>54</v>
      </c>
      <c r="E122" s="19" t="str">
        <f>IFERROR(PROPER(TRIM(tblCustomers[[#This Row],[City/Region]])),"")</f>
        <v>Bhubaneswar</v>
      </c>
      <c r="F122" s="19">
        <f>IFERROR(tblCustomers[[#This Row],[IncomeRange]],"")</f>
        <v>59270</v>
      </c>
      <c r="G122" s="19" t="str">
        <f>IFERROR(PROPER(TRIM(tblCustomers[[#This Row],[Occupation]])),"")</f>
        <v>Software Engineer</v>
      </c>
      <c r="H122" s="20">
        <f>IFERROR(tblCustomers[[#This Row],[JoinDate]],"")</f>
        <v>45198</v>
      </c>
      <c r="I122" s="19" t="str">
        <f>IFERROR(PROPER(TRIM(tblCustomers[[#This Row],[PurchaseChannel]])),"")</f>
        <v>Online</v>
      </c>
      <c r="J122" s="19" t="str">
        <f>IFERROR(PROPER(TRIM(tblCustomers[[#This Row],[CustomerType]])),"")</f>
        <v>New</v>
      </c>
      <c r="K122" s="19" t="str">
        <f>IFERROR(PROPER(TRIM(tblCustomers[[#This Row],[EngagementLevel]])),"")</f>
        <v>Low</v>
      </c>
      <c r="L122" s="19" t="str">
        <f>IFERROR(PROPER(TRIM(tblCustomers[[#This Row],[DiscountSensitivity]])),"")</f>
        <v>High</v>
      </c>
      <c r="M122" s="20">
        <f>IFERROR(tblCustomers[[#This Row],[LastPurchaseDate]],"")</f>
        <v>45782</v>
      </c>
      <c r="N122" s="19" t="str">
        <f>IFERROR(IF(tblCustomers[[#This Row],[Age]]&lt;25,"&lt;25",IF(tblCustomers[[#This Row],[Age]]&lt;40,"25-39",IF(tblCustomers[[#This Row],[Age]]&lt;55,"40-54","55+"))),"N/A")</f>
        <v>40-54</v>
      </c>
      <c r="O122" s="19" t="str">
        <f>IFERROR(IF(tblCustomers[[#This Row],[IncomeRange]]&lt;25000,"Low",IF(tblCustomers[[#This Row],[IncomeRange]]&lt;75000,"Mid","High")),"N/A")</f>
        <v>Mid</v>
      </c>
      <c r="P122" s="19" t="str">
        <f>IFERROR(TEXT(tblCustomers[[#This Row],[JoinDate]],"DDDD"),"")</f>
        <v>Friday</v>
      </c>
      <c r="Q122" s="21" t="b">
        <f>IFERROR(IF(WEEKDAY(tblCustomers[[#This Row],[JoinDate]],2)&gt;=6,TRUE(),FALSE()),FALSE())</f>
        <v>0</v>
      </c>
      <c r="R122" s="19">
        <f ca="1">IFERROR(DATEDIF(tblCustomers[[#This Row],[JoinDate]],TODAY(),"M"),0)</f>
        <v>30</v>
      </c>
      <c r="S122" s="19" t="str">
        <f>IFERROR(IF(AND(tblCustomers[[#This Row],[Age]]&gt;=18,tblCustomers[[#This Row],[IncomeRange]]&gt;0,tblCustomers[[#This Row],[CustomerID]]&lt;&gt;""),"OK","CHECK"),"CHECK")</f>
        <v>OK</v>
      </c>
    </row>
    <row r="123" spans="1:19" ht="15" customHeight="1" x14ac:dyDescent="0.3">
      <c r="A123" s="16" t="str">
        <f>IFERROR(TRIM(tblCustomers[[#This Row],[CustomerID]]),"")</f>
        <v>C0121</v>
      </c>
      <c r="B123" s="16" t="str">
        <f>IFERROR(PROPER(TRIM(tblCustomers[[#This Row],[Name]])),"")</f>
        <v>Rohit Gupta</v>
      </c>
      <c r="C123" s="16" t="str">
        <f>IFERROR(PROPER(TRIM(tblCustomers[[#This Row],[Gender]])),"")</f>
        <v>Male</v>
      </c>
      <c r="D123" s="16">
        <f>IFERROR(tblCustomers[[#This Row],[Age]],"")</f>
        <v>59</v>
      </c>
      <c r="E123" s="16" t="str">
        <f>IFERROR(PROPER(TRIM(tblCustomers[[#This Row],[City/Region]])),"")</f>
        <v>Coimbatore</v>
      </c>
      <c r="F123" s="16">
        <f>IFERROR(tblCustomers[[#This Row],[IncomeRange]],"")</f>
        <v>28418</v>
      </c>
      <c r="G123" s="16" t="str">
        <f>IFERROR(PROPER(TRIM(tblCustomers[[#This Row],[Occupation]])),"")</f>
        <v>Accountant</v>
      </c>
      <c r="H123" s="17">
        <f>IFERROR(tblCustomers[[#This Row],[JoinDate]],"")</f>
        <v>45635</v>
      </c>
      <c r="I123" s="16" t="str">
        <f>IFERROR(PROPER(TRIM(tblCustomers[[#This Row],[PurchaseChannel]])),"")</f>
        <v>Offline</v>
      </c>
      <c r="J123" s="16" t="str">
        <f>IFERROR(PROPER(TRIM(tblCustomers[[#This Row],[CustomerType]])),"")</f>
        <v>Returning</v>
      </c>
      <c r="K123" s="16" t="str">
        <f>IFERROR(PROPER(TRIM(tblCustomers[[#This Row],[EngagementLevel]])),"")</f>
        <v>Medium</v>
      </c>
      <c r="L123" s="16" t="str">
        <f>IFERROR(PROPER(TRIM(tblCustomers[[#This Row],[DiscountSensitivity]])),"")</f>
        <v>Low</v>
      </c>
      <c r="M123" s="17">
        <f>IFERROR(tblCustomers[[#This Row],[LastPurchaseDate]],"")</f>
        <v>46090</v>
      </c>
      <c r="N123" s="16" t="str">
        <f>IFERROR(IF(tblCustomers[[#This Row],[Age]]&lt;25,"&lt;25",IF(tblCustomers[[#This Row],[Age]]&lt;40,"25-39",IF(tblCustomers[[#This Row],[Age]]&lt;55,"40-54","55+"))),"N/A")</f>
        <v>55+</v>
      </c>
      <c r="O123" s="16" t="str">
        <f>IFERROR(IF(tblCustomers[[#This Row],[IncomeRange]]&lt;25000,"Low",IF(tblCustomers[[#This Row],[IncomeRange]]&lt;75000,"Mid","High")),"N/A")</f>
        <v>Mid</v>
      </c>
      <c r="P123" s="16" t="str">
        <f>IFERROR(TEXT(tblCustomers[[#This Row],[JoinDate]],"DDDD"),"")</f>
        <v>Monday</v>
      </c>
      <c r="Q123" s="18" t="b">
        <f>IFERROR(IF(WEEKDAY(tblCustomers[[#This Row],[JoinDate]],2)&gt;=6,TRUE(),FALSE()),FALSE())</f>
        <v>0</v>
      </c>
      <c r="R123" s="16">
        <f ca="1">IFERROR(DATEDIF(tblCustomers[[#This Row],[JoinDate]],TODAY(),"M"),0)</f>
        <v>16</v>
      </c>
      <c r="S123" s="16" t="str">
        <f>IFERROR(IF(AND(tblCustomers[[#This Row],[Age]]&gt;=18,tblCustomers[[#This Row],[IncomeRange]]&gt;0,tblCustomers[[#This Row],[CustomerID]]&lt;&gt;""),"OK","CHECK"),"CHECK")</f>
        <v>OK</v>
      </c>
    </row>
    <row r="124" spans="1:19" ht="15" customHeight="1" x14ac:dyDescent="0.3">
      <c r="A124" s="19" t="str">
        <f>IFERROR(TRIM(tblCustomers[[#This Row],[CustomerID]]),"")</f>
        <v>C0122</v>
      </c>
      <c r="B124" s="19" t="str">
        <f>IFERROR(PROPER(TRIM(tblCustomers[[#This Row],[Name]])),"")</f>
        <v>Nisha Singh</v>
      </c>
      <c r="C124" s="19" t="str">
        <f>IFERROR(PROPER(TRIM(tblCustomers[[#This Row],[Gender]])),"")</f>
        <v>Female</v>
      </c>
      <c r="D124" s="19">
        <f>IFERROR(tblCustomers[[#This Row],[Age]],"")</f>
        <v>51</v>
      </c>
      <c r="E124" s="19" t="str">
        <f>IFERROR(PROPER(TRIM(tblCustomers[[#This Row],[City/Region]])),"")</f>
        <v>Noida</v>
      </c>
      <c r="F124" s="19">
        <f>IFERROR(tblCustomers[[#This Row],[IncomeRange]],"")</f>
        <v>37016</v>
      </c>
      <c r="G124" s="19" t="str">
        <f>IFERROR(PROPER(TRIM(tblCustomers[[#This Row],[Occupation]])),"")</f>
        <v>Software Engineer</v>
      </c>
      <c r="H124" s="20">
        <f>IFERROR(tblCustomers[[#This Row],[JoinDate]],"")</f>
        <v>45249</v>
      </c>
      <c r="I124" s="19" t="str">
        <f>IFERROR(PROPER(TRIM(tblCustomers[[#This Row],[PurchaseChannel]])),"")</f>
        <v>Online</v>
      </c>
      <c r="J124" s="19" t="str">
        <f>IFERROR(PROPER(TRIM(tblCustomers[[#This Row],[CustomerType]])),"")</f>
        <v>New</v>
      </c>
      <c r="K124" s="19" t="str">
        <f>IFERROR(PROPER(TRIM(tblCustomers[[#This Row],[EngagementLevel]])),"")</f>
        <v>High</v>
      </c>
      <c r="L124" s="19" t="str">
        <f>IFERROR(PROPER(TRIM(tblCustomers[[#This Row],[DiscountSensitivity]])),"")</f>
        <v>Low</v>
      </c>
      <c r="M124" s="20">
        <f>IFERROR(tblCustomers[[#This Row],[LastPurchaseDate]],"")</f>
        <v>46007</v>
      </c>
      <c r="N124" s="19" t="str">
        <f>IFERROR(IF(tblCustomers[[#This Row],[Age]]&lt;25,"&lt;25",IF(tblCustomers[[#This Row],[Age]]&lt;40,"25-39",IF(tblCustomers[[#This Row],[Age]]&lt;55,"40-54","55+"))),"N/A")</f>
        <v>40-54</v>
      </c>
      <c r="O124" s="19" t="str">
        <f>IFERROR(IF(tblCustomers[[#This Row],[IncomeRange]]&lt;25000,"Low",IF(tblCustomers[[#This Row],[IncomeRange]]&lt;75000,"Mid","High")),"N/A")</f>
        <v>Mid</v>
      </c>
      <c r="P124" s="19" t="str">
        <f>IFERROR(TEXT(tblCustomers[[#This Row],[JoinDate]],"DDDD"),"")</f>
        <v>Sunday</v>
      </c>
      <c r="Q124" s="21" t="b">
        <f>IFERROR(IF(WEEKDAY(tblCustomers[[#This Row],[JoinDate]],2)&gt;=6,TRUE(),FALSE()),FALSE())</f>
        <v>1</v>
      </c>
      <c r="R124" s="19">
        <f ca="1">IFERROR(DATEDIF(tblCustomers[[#This Row],[JoinDate]],TODAY(),"M"),0)</f>
        <v>28</v>
      </c>
      <c r="S124" s="19" t="str">
        <f>IFERROR(IF(AND(tblCustomers[[#This Row],[Age]]&gt;=18,tblCustomers[[#This Row],[IncomeRange]]&gt;0,tblCustomers[[#This Row],[CustomerID]]&lt;&gt;""),"OK","CHECK"),"CHECK")</f>
        <v>OK</v>
      </c>
    </row>
    <row r="125" spans="1:19" ht="15" customHeight="1" x14ac:dyDescent="0.3">
      <c r="A125" s="16" t="str">
        <f>IFERROR(TRIM(tblCustomers[[#This Row],[CustomerID]]),"")</f>
        <v>C0123</v>
      </c>
      <c r="B125" s="16" t="str">
        <f>IFERROR(PROPER(TRIM(tblCustomers[[#This Row],[Name]])),"")</f>
        <v>Tarun Iyer</v>
      </c>
      <c r="C125" s="16" t="str">
        <f>IFERROR(PROPER(TRIM(tblCustomers[[#This Row],[Gender]])),"")</f>
        <v>Male</v>
      </c>
      <c r="D125" s="16">
        <f>IFERROR(tblCustomers[[#This Row],[Age]],"")</f>
        <v>45</v>
      </c>
      <c r="E125" s="16" t="str">
        <f>IFERROR(PROPER(TRIM(tblCustomers[[#This Row],[City/Region]])),"")</f>
        <v>Lucknow</v>
      </c>
      <c r="F125" s="16">
        <f>IFERROR(tblCustomers[[#This Row],[IncomeRange]],"")</f>
        <v>59352</v>
      </c>
      <c r="G125" s="16" t="str">
        <f>IFERROR(PROPER(TRIM(tblCustomers[[#This Row],[Occupation]])),"")</f>
        <v>Sales Executive</v>
      </c>
      <c r="H125" s="17">
        <f>IFERROR(tblCustomers[[#This Row],[JoinDate]],"")</f>
        <v>44865</v>
      </c>
      <c r="I125" s="16" t="str">
        <f>IFERROR(PROPER(TRIM(tblCustomers[[#This Row],[PurchaseChannel]])),"")</f>
        <v>Offline</v>
      </c>
      <c r="J125" s="16" t="str">
        <f>IFERROR(PROPER(TRIM(tblCustomers[[#This Row],[CustomerType]])),"")</f>
        <v>New</v>
      </c>
      <c r="K125" s="16" t="str">
        <f>IFERROR(PROPER(TRIM(tblCustomers[[#This Row],[EngagementLevel]])),"")</f>
        <v>High</v>
      </c>
      <c r="L125" s="16" t="str">
        <f>IFERROR(PROPER(TRIM(tblCustomers[[#This Row],[DiscountSensitivity]])),"")</f>
        <v>High</v>
      </c>
      <c r="M125" s="17">
        <f>IFERROR(tblCustomers[[#This Row],[LastPurchaseDate]],"")</f>
        <v>45901</v>
      </c>
      <c r="N125" s="16" t="str">
        <f>IFERROR(IF(tblCustomers[[#This Row],[Age]]&lt;25,"&lt;25",IF(tblCustomers[[#This Row],[Age]]&lt;40,"25-39",IF(tblCustomers[[#This Row],[Age]]&lt;55,"40-54","55+"))),"N/A")</f>
        <v>40-54</v>
      </c>
      <c r="O125" s="16" t="str">
        <f>IFERROR(IF(tblCustomers[[#This Row],[IncomeRange]]&lt;25000,"Low",IF(tblCustomers[[#This Row],[IncomeRange]]&lt;75000,"Mid","High")),"N/A")</f>
        <v>Mid</v>
      </c>
      <c r="P125" s="16" t="str">
        <f>IFERROR(TEXT(tblCustomers[[#This Row],[JoinDate]],"DDDD"),"")</f>
        <v>Monday</v>
      </c>
      <c r="Q125" s="18" t="b">
        <f>IFERROR(IF(WEEKDAY(tblCustomers[[#This Row],[JoinDate]],2)&gt;=6,TRUE(),FALSE()),FALSE())</f>
        <v>0</v>
      </c>
      <c r="R125" s="16">
        <f ca="1">IFERROR(DATEDIF(tblCustomers[[#This Row],[JoinDate]],TODAY(),"M"),0)</f>
        <v>41</v>
      </c>
      <c r="S125" s="16" t="str">
        <f>IFERROR(IF(AND(tblCustomers[[#This Row],[Age]]&gt;=18,tblCustomers[[#This Row],[IncomeRange]]&gt;0,tblCustomers[[#This Row],[CustomerID]]&lt;&gt;""),"OK","CHECK"),"CHECK")</f>
        <v>OK</v>
      </c>
    </row>
    <row r="126" spans="1:19" ht="15" customHeight="1" x14ac:dyDescent="0.3">
      <c r="A126" s="19" t="str">
        <f>IFERROR(TRIM(tblCustomers[[#This Row],[CustomerID]]),"")</f>
        <v>C0124</v>
      </c>
      <c r="B126" s="19" t="str">
        <f>IFERROR(PROPER(TRIM(tblCustomers[[#This Row],[Name]])),"")</f>
        <v>Sunita Kumar</v>
      </c>
      <c r="C126" s="19" t="str">
        <f>IFERROR(PROPER(TRIM(tblCustomers[[#This Row],[Gender]])),"")</f>
        <v>Female</v>
      </c>
      <c r="D126" s="19">
        <f>IFERROR(tblCustomers[[#This Row],[Age]],"")</f>
        <v>29</v>
      </c>
      <c r="E126" s="19" t="str">
        <f>IFERROR(PROPER(TRIM(tblCustomers[[#This Row],[City/Region]])),"")</f>
        <v>Hyderabad</v>
      </c>
      <c r="F126" s="19">
        <f>IFERROR(tblCustomers[[#This Row],[IncomeRange]],"")</f>
        <v>58749</v>
      </c>
      <c r="G126" s="19" t="str">
        <f>IFERROR(PROPER(TRIM(tblCustomers[[#This Row],[Occupation]])),"")</f>
        <v>Finance Analyst</v>
      </c>
      <c r="H126" s="20">
        <f>IFERROR(tblCustomers[[#This Row],[JoinDate]],"")</f>
        <v>45430</v>
      </c>
      <c r="I126" s="19" t="str">
        <f>IFERROR(PROPER(TRIM(tblCustomers[[#This Row],[PurchaseChannel]])),"")</f>
        <v>Online</v>
      </c>
      <c r="J126" s="19" t="str">
        <f>IFERROR(PROPER(TRIM(tblCustomers[[#This Row],[CustomerType]])),"")</f>
        <v>Returning</v>
      </c>
      <c r="K126" s="19" t="str">
        <f>IFERROR(PROPER(TRIM(tblCustomers[[#This Row],[EngagementLevel]])),"")</f>
        <v>Low</v>
      </c>
      <c r="L126" s="19" t="str">
        <f>IFERROR(PROPER(TRIM(tblCustomers[[#This Row],[DiscountSensitivity]])),"")</f>
        <v>High</v>
      </c>
      <c r="M126" s="20">
        <f>IFERROR(tblCustomers[[#This Row],[LastPurchaseDate]],"")</f>
        <v>46072</v>
      </c>
      <c r="N126" s="19" t="str">
        <f>IFERROR(IF(tblCustomers[[#This Row],[Age]]&lt;25,"&lt;25",IF(tblCustomers[[#This Row],[Age]]&lt;40,"25-39",IF(tblCustomers[[#This Row],[Age]]&lt;55,"40-54","55+"))),"N/A")</f>
        <v>25-39</v>
      </c>
      <c r="O126" s="19" t="str">
        <f>IFERROR(IF(tblCustomers[[#This Row],[IncomeRange]]&lt;25000,"Low",IF(tblCustomers[[#This Row],[IncomeRange]]&lt;75000,"Mid","High")),"N/A")</f>
        <v>Mid</v>
      </c>
      <c r="P126" s="19" t="str">
        <f>IFERROR(TEXT(tblCustomers[[#This Row],[JoinDate]],"DDDD"),"")</f>
        <v>Saturday</v>
      </c>
      <c r="Q126" s="21" t="b">
        <f>IFERROR(IF(WEEKDAY(tblCustomers[[#This Row],[JoinDate]],2)&gt;=6,TRUE(),FALSE()),FALSE())</f>
        <v>1</v>
      </c>
      <c r="R126" s="19">
        <f ca="1">IFERROR(DATEDIF(tblCustomers[[#This Row],[JoinDate]],TODAY(),"M"),0)</f>
        <v>22</v>
      </c>
      <c r="S126" s="19" t="str">
        <f>IFERROR(IF(AND(tblCustomers[[#This Row],[Age]]&gt;=18,tblCustomers[[#This Row],[IncomeRange]]&gt;0,tblCustomers[[#This Row],[CustomerID]]&lt;&gt;""),"OK","CHECK"),"CHECK")</f>
        <v>OK</v>
      </c>
    </row>
    <row r="127" spans="1:19" ht="15" customHeight="1" x14ac:dyDescent="0.3">
      <c r="A127" s="16" t="str">
        <f>IFERROR(TRIM(tblCustomers[[#This Row],[CustomerID]]),"")</f>
        <v>C0125</v>
      </c>
      <c r="B127" s="16" t="str">
        <f>IFERROR(PROPER(TRIM(tblCustomers[[#This Row],[Name]])),"")</f>
        <v>Rohit Mehta</v>
      </c>
      <c r="C127" s="16" t="str">
        <f>IFERROR(PROPER(TRIM(tblCustomers[[#This Row],[Gender]])),"")</f>
        <v>Male</v>
      </c>
      <c r="D127" s="16">
        <f>IFERROR(tblCustomers[[#This Row],[Age]],"")</f>
        <v>27</v>
      </c>
      <c r="E127" s="16" t="str">
        <f>IFERROR(PROPER(TRIM(tblCustomers[[#This Row],[City/Region]])),"")</f>
        <v>Surat</v>
      </c>
      <c r="F127" s="16">
        <f>IFERROR(tblCustomers[[#This Row],[IncomeRange]],"")</f>
        <v>90530</v>
      </c>
      <c r="G127" s="16" t="str">
        <f>IFERROR(PROPER(TRIM(tblCustomers[[#This Row],[Occupation]])),"")</f>
        <v>Software Engineer</v>
      </c>
      <c r="H127" s="17">
        <f>IFERROR(tblCustomers[[#This Row],[JoinDate]],"")</f>
        <v>45715</v>
      </c>
      <c r="I127" s="16" t="str">
        <f>IFERROR(PROPER(TRIM(tblCustomers[[#This Row],[PurchaseChannel]])),"")</f>
        <v>Offline</v>
      </c>
      <c r="J127" s="16" t="str">
        <f>IFERROR(PROPER(TRIM(tblCustomers[[#This Row],[CustomerType]])),"")</f>
        <v>New</v>
      </c>
      <c r="K127" s="16" t="str">
        <f>IFERROR(PROPER(TRIM(tblCustomers[[#This Row],[EngagementLevel]])),"")</f>
        <v>High</v>
      </c>
      <c r="L127" s="16" t="str">
        <f>IFERROR(PROPER(TRIM(tblCustomers[[#This Row],[DiscountSensitivity]])),"")</f>
        <v>Medium</v>
      </c>
      <c r="M127" s="17">
        <f>IFERROR(tblCustomers[[#This Row],[LastPurchaseDate]],"")</f>
        <v>45830</v>
      </c>
      <c r="N127" s="16" t="str">
        <f>IFERROR(IF(tblCustomers[[#This Row],[Age]]&lt;25,"&lt;25",IF(tblCustomers[[#This Row],[Age]]&lt;40,"25-39",IF(tblCustomers[[#This Row],[Age]]&lt;55,"40-54","55+"))),"N/A")</f>
        <v>25-39</v>
      </c>
      <c r="O127" s="16" t="str">
        <f>IFERROR(IF(tblCustomers[[#This Row],[IncomeRange]]&lt;25000,"Low",IF(tblCustomers[[#This Row],[IncomeRange]]&lt;75000,"Mid","High")),"N/A")</f>
        <v>High</v>
      </c>
      <c r="P127" s="16" t="str">
        <f>IFERROR(TEXT(tblCustomers[[#This Row],[JoinDate]],"DDDD"),"")</f>
        <v>Thursday</v>
      </c>
      <c r="Q127" s="18" t="b">
        <f>IFERROR(IF(WEEKDAY(tblCustomers[[#This Row],[JoinDate]],2)&gt;=6,TRUE(),FALSE()),FALSE())</f>
        <v>0</v>
      </c>
      <c r="R127" s="16">
        <f ca="1">IFERROR(DATEDIF(tblCustomers[[#This Row],[JoinDate]],TODAY(),"M"),0)</f>
        <v>13</v>
      </c>
      <c r="S127" s="16" t="str">
        <f>IFERROR(IF(AND(tblCustomers[[#This Row],[Age]]&gt;=18,tblCustomers[[#This Row],[IncomeRange]]&gt;0,tblCustomers[[#This Row],[CustomerID]]&lt;&gt;""),"OK","CHECK"),"CHECK")</f>
        <v>OK</v>
      </c>
    </row>
    <row r="128" spans="1:19" ht="15" customHeight="1" x14ac:dyDescent="0.3">
      <c r="A128" s="19" t="str">
        <f>IFERROR(TRIM(tblCustomers[[#This Row],[CustomerID]]),"")</f>
        <v>C0126</v>
      </c>
      <c r="B128" s="19" t="str">
        <f>IFERROR(PROPER(TRIM(tblCustomers[[#This Row],[Name]])),"")</f>
        <v>Naveen Gupta</v>
      </c>
      <c r="C128" s="19" t="str">
        <f>IFERROR(PROPER(TRIM(tblCustomers[[#This Row],[Gender]])),"")</f>
        <v>Male</v>
      </c>
      <c r="D128" s="19">
        <f>IFERROR(tblCustomers[[#This Row],[Age]],"")</f>
        <v>29</v>
      </c>
      <c r="E128" s="19" t="str">
        <f>IFERROR(PROPER(TRIM(tblCustomers[[#This Row],[City/Region]])),"")</f>
        <v>Bangalore</v>
      </c>
      <c r="F128" s="19">
        <f>IFERROR(tblCustomers[[#This Row],[IncomeRange]],"")</f>
        <v>57073</v>
      </c>
      <c r="G128" s="19" t="str">
        <f>IFERROR(PROPER(TRIM(tblCustomers[[#This Row],[Occupation]])),"")</f>
        <v>Lawyer</v>
      </c>
      <c r="H128" s="20">
        <f>IFERROR(tblCustomers[[#This Row],[JoinDate]],"")</f>
        <v>45682</v>
      </c>
      <c r="I128" s="19" t="str">
        <f>IFERROR(PROPER(TRIM(tblCustomers[[#This Row],[PurchaseChannel]])),"")</f>
        <v>Offline</v>
      </c>
      <c r="J128" s="19" t="str">
        <f>IFERROR(PROPER(TRIM(tblCustomers[[#This Row],[CustomerType]])),"")</f>
        <v>New</v>
      </c>
      <c r="K128" s="19" t="str">
        <f>IFERROR(PROPER(TRIM(tblCustomers[[#This Row],[EngagementLevel]])),"")</f>
        <v>Medium</v>
      </c>
      <c r="L128" s="19" t="str">
        <f>IFERROR(PROPER(TRIM(tblCustomers[[#This Row],[DiscountSensitivity]])),"")</f>
        <v>Low</v>
      </c>
      <c r="M128" s="20">
        <f>IFERROR(tblCustomers[[#This Row],[LastPurchaseDate]],"")</f>
        <v>45769</v>
      </c>
      <c r="N128" s="19" t="str">
        <f>IFERROR(IF(tblCustomers[[#This Row],[Age]]&lt;25,"&lt;25",IF(tblCustomers[[#This Row],[Age]]&lt;40,"25-39",IF(tblCustomers[[#This Row],[Age]]&lt;55,"40-54","55+"))),"N/A")</f>
        <v>25-39</v>
      </c>
      <c r="O128" s="19" t="str">
        <f>IFERROR(IF(tblCustomers[[#This Row],[IncomeRange]]&lt;25000,"Low",IF(tblCustomers[[#This Row],[IncomeRange]]&lt;75000,"Mid","High")),"N/A")</f>
        <v>Mid</v>
      </c>
      <c r="P128" s="19" t="str">
        <f>IFERROR(TEXT(tblCustomers[[#This Row],[JoinDate]],"DDDD"),"")</f>
        <v>Saturday</v>
      </c>
      <c r="Q128" s="21" t="b">
        <f>IFERROR(IF(WEEKDAY(tblCustomers[[#This Row],[JoinDate]],2)&gt;=6,TRUE(),FALSE()),FALSE())</f>
        <v>1</v>
      </c>
      <c r="R128" s="19">
        <f ca="1">IFERROR(DATEDIF(tblCustomers[[#This Row],[JoinDate]],TODAY(),"M"),0)</f>
        <v>14</v>
      </c>
      <c r="S128" s="19" t="str">
        <f>IFERROR(IF(AND(tblCustomers[[#This Row],[Age]]&gt;=18,tblCustomers[[#This Row],[IncomeRange]]&gt;0,tblCustomers[[#This Row],[CustomerID]]&lt;&gt;""),"OK","CHECK"),"CHECK")</f>
        <v>OK</v>
      </c>
    </row>
    <row r="129" spans="1:19" ht="15" customHeight="1" x14ac:dyDescent="0.3">
      <c r="A129" s="16" t="str">
        <f>IFERROR(TRIM(tblCustomers[[#This Row],[CustomerID]]),"")</f>
        <v>C0127</v>
      </c>
      <c r="B129" s="16" t="str">
        <f>IFERROR(PROPER(TRIM(tblCustomers[[#This Row],[Name]])),"")</f>
        <v>Tarun Mishra</v>
      </c>
      <c r="C129" s="16" t="str">
        <f>IFERROR(PROPER(TRIM(tblCustomers[[#This Row],[Gender]])),"")</f>
        <v>Male</v>
      </c>
      <c r="D129" s="16">
        <f>IFERROR(tblCustomers[[#This Row],[Age]],"")</f>
        <v>44</v>
      </c>
      <c r="E129" s="16" t="str">
        <f>IFERROR(PROPER(TRIM(tblCustomers[[#This Row],[City/Region]])),"")</f>
        <v>Pune</v>
      </c>
      <c r="F129" s="16">
        <f>IFERROR(tblCustomers[[#This Row],[IncomeRange]],"")</f>
        <v>83412</v>
      </c>
      <c r="G129" s="16" t="str">
        <f>IFERROR(PROPER(TRIM(tblCustomers[[#This Row],[Occupation]])),"")</f>
        <v>Data Analyst</v>
      </c>
      <c r="H129" s="17">
        <f>IFERROR(tblCustomers[[#This Row],[JoinDate]],"")</f>
        <v>45613</v>
      </c>
      <c r="I129" s="16" t="str">
        <f>IFERROR(PROPER(TRIM(tblCustomers[[#This Row],[PurchaseChannel]])),"")</f>
        <v>Offline</v>
      </c>
      <c r="J129" s="16" t="str">
        <f>IFERROR(PROPER(TRIM(tblCustomers[[#This Row],[CustomerType]])),"")</f>
        <v>Returning</v>
      </c>
      <c r="K129" s="16" t="str">
        <f>IFERROR(PROPER(TRIM(tblCustomers[[#This Row],[EngagementLevel]])),"")</f>
        <v>High</v>
      </c>
      <c r="L129" s="16" t="str">
        <f>IFERROR(PROPER(TRIM(tblCustomers[[#This Row],[DiscountSensitivity]])),"")</f>
        <v>High</v>
      </c>
      <c r="M129" s="17">
        <f>IFERROR(tblCustomers[[#This Row],[LastPurchaseDate]],"")</f>
        <v>45827</v>
      </c>
      <c r="N129" s="16" t="str">
        <f>IFERROR(IF(tblCustomers[[#This Row],[Age]]&lt;25,"&lt;25",IF(tblCustomers[[#This Row],[Age]]&lt;40,"25-39",IF(tblCustomers[[#This Row],[Age]]&lt;55,"40-54","55+"))),"N/A")</f>
        <v>40-54</v>
      </c>
      <c r="O129" s="16" t="str">
        <f>IFERROR(IF(tblCustomers[[#This Row],[IncomeRange]]&lt;25000,"Low",IF(tblCustomers[[#This Row],[IncomeRange]]&lt;75000,"Mid","High")),"N/A")</f>
        <v>High</v>
      </c>
      <c r="P129" s="16" t="str">
        <f>IFERROR(TEXT(tblCustomers[[#This Row],[JoinDate]],"DDDD"),"")</f>
        <v>Sunday</v>
      </c>
      <c r="Q129" s="18" t="b">
        <f>IFERROR(IF(WEEKDAY(tblCustomers[[#This Row],[JoinDate]],2)&gt;=6,TRUE(),FALSE()),FALSE())</f>
        <v>1</v>
      </c>
      <c r="R129" s="16">
        <f ca="1">IFERROR(DATEDIF(tblCustomers[[#This Row],[JoinDate]],TODAY(),"M"),0)</f>
        <v>16</v>
      </c>
      <c r="S129" s="16" t="str">
        <f>IFERROR(IF(AND(tblCustomers[[#This Row],[Age]]&gt;=18,tblCustomers[[#This Row],[IncomeRange]]&gt;0,tblCustomers[[#This Row],[CustomerID]]&lt;&gt;""),"OK","CHECK"),"CHECK")</f>
        <v>OK</v>
      </c>
    </row>
    <row r="130" spans="1:19" ht="15" customHeight="1" x14ac:dyDescent="0.3">
      <c r="A130" s="19" t="str">
        <f>IFERROR(TRIM(tblCustomers[[#This Row],[CustomerID]]),"")</f>
        <v>C0128</v>
      </c>
      <c r="B130" s="19" t="str">
        <f>IFERROR(PROPER(TRIM(tblCustomers[[#This Row],[Name]])),"")</f>
        <v>Amit Joshi</v>
      </c>
      <c r="C130" s="19" t="str">
        <f>IFERROR(PROPER(TRIM(tblCustomers[[#This Row],[Gender]])),"")</f>
        <v>Male</v>
      </c>
      <c r="D130" s="19">
        <f>IFERROR(tblCustomers[[#This Row],[Age]],"")</f>
        <v>48</v>
      </c>
      <c r="E130" s="19" t="str">
        <f>IFERROR(PROPER(TRIM(tblCustomers[[#This Row],[City/Region]])),"")</f>
        <v>Mumbai</v>
      </c>
      <c r="F130" s="19">
        <f>IFERROR(tblCustomers[[#This Row],[IncomeRange]],"")</f>
        <v>65018</v>
      </c>
      <c r="G130" s="19" t="str">
        <f>IFERROR(PROPER(TRIM(tblCustomers[[#This Row],[Occupation]])),"")</f>
        <v>Product Manager</v>
      </c>
      <c r="H130" s="20">
        <f>IFERROR(tblCustomers[[#This Row],[JoinDate]],"")</f>
        <v>45378</v>
      </c>
      <c r="I130" s="19" t="str">
        <f>IFERROR(PROPER(TRIM(tblCustomers[[#This Row],[PurchaseChannel]])),"")</f>
        <v>Offline</v>
      </c>
      <c r="J130" s="19" t="str">
        <f>IFERROR(PROPER(TRIM(tblCustomers[[#This Row],[CustomerType]])),"")</f>
        <v>New</v>
      </c>
      <c r="K130" s="19" t="str">
        <f>IFERROR(PROPER(TRIM(tblCustomers[[#This Row],[EngagementLevel]])),"")</f>
        <v>Medium</v>
      </c>
      <c r="L130" s="19" t="str">
        <f>IFERROR(PROPER(TRIM(tblCustomers[[#This Row],[DiscountSensitivity]])),"")</f>
        <v>Low</v>
      </c>
      <c r="M130" s="20">
        <f>IFERROR(tblCustomers[[#This Row],[LastPurchaseDate]],"")</f>
        <v>46107</v>
      </c>
      <c r="N130" s="19" t="str">
        <f>IFERROR(IF(tblCustomers[[#This Row],[Age]]&lt;25,"&lt;25",IF(tblCustomers[[#This Row],[Age]]&lt;40,"25-39",IF(tblCustomers[[#This Row],[Age]]&lt;55,"40-54","55+"))),"N/A")</f>
        <v>40-54</v>
      </c>
      <c r="O130" s="19" t="str">
        <f>IFERROR(IF(tblCustomers[[#This Row],[IncomeRange]]&lt;25000,"Low",IF(tblCustomers[[#This Row],[IncomeRange]]&lt;75000,"Mid","High")),"N/A")</f>
        <v>Mid</v>
      </c>
      <c r="P130" s="19" t="str">
        <f>IFERROR(TEXT(tblCustomers[[#This Row],[JoinDate]],"DDDD"),"")</f>
        <v>Wednesday</v>
      </c>
      <c r="Q130" s="21" t="b">
        <f>IFERROR(IF(WEEKDAY(tblCustomers[[#This Row],[JoinDate]],2)&gt;=6,TRUE(),FALSE()),FALSE())</f>
        <v>0</v>
      </c>
      <c r="R130" s="19">
        <f ca="1">IFERROR(DATEDIF(tblCustomers[[#This Row],[JoinDate]],TODAY(),"M"),0)</f>
        <v>24</v>
      </c>
      <c r="S130" s="19" t="str">
        <f>IFERROR(IF(AND(tblCustomers[[#This Row],[Age]]&gt;=18,tblCustomers[[#This Row],[IncomeRange]]&gt;0,tblCustomers[[#This Row],[CustomerID]]&lt;&gt;""),"OK","CHECK"),"CHECK")</f>
        <v>OK</v>
      </c>
    </row>
    <row r="131" spans="1:19" ht="15" customHeight="1" x14ac:dyDescent="0.3">
      <c r="A131" s="16" t="str">
        <f>IFERROR(TRIM(tblCustomers[[#This Row],[CustomerID]]),"")</f>
        <v>C0129</v>
      </c>
      <c r="B131" s="16" t="str">
        <f>IFERROR(PROPER(TRIM(tblCustomers[[#This Row],[Name]])),"")</f>
        <v>Ajay Gupta</v>
      </c>
      <c r="C131" s="16" t="str">
        <f>IFERROR(PROPER(TRIM(tblCustomers[[#This Row],[Gender]])),"")</f>
        <v>Male</v>
      </c>
      <c r="D131" s="16">
        <f>IFERROR(tblCustomers[[#This Row],[Age]],"")</f>
        <v>34</v>
      </c>
      <c r="E131" s="16" t="str">
        <f>IFERROR(PROPER(TRIM(tblCustomers[[#This Row],[City/Region]])),"")</f>
        <v>Nagpur</v>
      </c>
      <c r="F131" s="16">
        <f>IFERROR(tblCustomers[[#This Row],[IncomeRange]],"")</f>
        <v>109660</v>
      </c>
      <c r="G131" s="16" t="str">
        <f>IFERROR(PROPER(TRIM(tblCustomers[[#This Row],[Occupation]])),"")</f>
        <v>Finance Analyst</v>
      </c>
      <c r="H131" s="17">
        <f>IFERROR(tblCustomers[[#This Row],[JoinDate]],"")</f>
        <v>44878</v>
      </c>
      <c r="I131" s="16" t="str">
        <f>IFERROR(PROPER(TRIM(tblCustomers[[#This Row],[PurchaseChannel]])),"")</f>
        <v>Online</v>
      </c>
      <c r="J131" s="16" t="str">
        <f>IFERROR(PROPER(TRIM(tblCustomers[[#This Row],[CustomerType]])),"")</f>
        <v>New</v>
      </c>
      <c r="K131" s="16" t="str">
        <f>IFERROR(PROPER(TRIM(tblCustomers[[#This Row],[EngagementLevel]])),"")</f>
        <v>Low</v>
      </c>
      <c r="L131" s="16" t="str">
        <f>IFERROR(PROPER(TRIM(tblCustomers[[#This Row],[DiscountSensitivity]])),"")</f>
        <v>High</v>
      </c>
      <c r="M131" s="17">
        <f>IFERROR(tblCustomers[[#This Row],[LastPurchaseDate]],"")</f>
        <v>45846</v>
      </c>
      <c r="N131" s="16" t="str">
        <f>IFERROR(IF(tblCustomers[[#This Row],[Age]]&lt;25,"&lt;25",IF(tblCustomers[[#This Row],[Age]]&lt;40,"25-39",IF(tblCustomers[[#This Row],[Age]]&lt;55,"40-54","55+"))),"N/A")</f>
        <v>25-39</v>
      </c>
      <c r="O131" s="16" t="str">
        <f>IFERROR(IF(tblCustomers[[#This Row],[IncomeRange]]&lt;25000,"Low",IF(tblCustomers[[#This Row],[IncomeRange]]&lt;75000,"Mid","High")),"N/A")</f>
        <v>High</v>
      </c>
      <c r="P131" s="16" t="str">
        <f>IFERROR(TEXT(tblCustomers[[#This Row],[JoinDate]],"DDDD"),"")</f>
        <v>Sunday</v>
      </c>
      <c r="Q131" s="18" t="b">
        <f>IFERROR(IF(WEEKDAY(tblCustomers[[#This Row],[JoinDate]],2)&gt;=6,TRUE(),FALSE()),FALSE())</f>
        <v>1</v>
      </c>
      <c r="R131" s="16">
        <f ca="1">IFERROR(DATEDIF(tblCustomers[[#This Row],[JoinDate]],TODAY(),"M"),0)</f>
        <v>41</v>
      </c>
      <c r="S131" s="16" t="str">
        <f>IFERROR(IF(AND(tblCustomers[[#This Row],[Age]]&gt;=18,tblCustomers[[#This Row],[IncomeRange]]&gt;0,tblCustomers[[#This Row],[CustomerID]]&lt;&gt;""),"OK","CHECK"),"CHECK")</f>
        <v>OK</v>
      </c>
    </row>
    <row r="132" spans="1:19" ht="15" customHeight="1" x14ac:dyDescent="0.3">
      <c r="A132" s="19" t="str">
        <f>IFERROR(TRIM(tblCustomers[[#This Row],[CustomerID]]),"")</f>
        <v>C0130</v>
      </c>
      <c r="B132" s="19" t="str">
        <f>IFERROR(PROPER(TRIM(tblCustomers[[#This Row],[Name]])),"")</f>
        <v>Meena Kumar</v>
      </c>
      <c r="C132" s="19" t="str">
        <f>IFERROR(PROPER(TRIM(tblCustomers[[#This Row],[Gender]])),"")</f>
        <v>Female</v>
      </c>
      <c r="D132" s="19">
        <f>IFERROR(tblCustomers[[#This Row],[Age]],"")</f>
        <v>44</v>
      </c>
      <c r="E132" s="19" t="str">
        <f>IFERROR(PROPER(TRIM(tblCustomers[[#This Row],[City/Region]])),"")</f>
        <v>Bhubaneswar</v>
      </c>
      <c r="F132" s="19">
        <f>IFERROR(tblCustomers[[#This Row],[IncomeRange]],"")</f>
        <v>122773</v>
      </c>
      <c r="G132" s="19" t="str">
        <f>IFERROR(PROPER(TRIM(tblCustomers[[#This Row],[Occupation]])),"")</f>
        <v>Data Analyst</v>
      </c>
      <c r="H132" s="20">
        <f>IFERROR(tblCustomers[[#This Row],[JoinDate]],"")</f>
        <v>44855</v>
      </c>
      <c r="I132" s="19" t="str">
        <f>IFERROR(PROPER(TRIM(tblCustomers[[#This Row],[PurchaseChannel]])),"")</f>
        <v>Offline</v>
      </c>
      <c r="J132" s="19" t="str">
        <f>IFERROR(PROPER(TRIM(tblCustomers[[#This Row],[CustomerType]])),"")</f>
        <v>New</v>
      </c>
      <c r="K132" s="19" t="str">
        <f>IFERROR(PROPER(TRIM(tblCustomers[[#This Row],[EngagementLevel]])),"")</f>
        <v>Low</v>
      </c>
      <c r="L132" s="19" t="str">
        <f>IFERROR(PROPER(TRIM(tblCustomers[[#This Row],[DiscountSensitivity]])),"")</f>
        <v>Medium</v>
      </c>
      <c r="M132" s="20">
        <f>IFERROR(tblCustomers[[#This Row],[LastPurchaseDate]],"")</f>
        <v>45839</v>
      </c>
      <c r="N132" s="19" t="str">
        <f>IFERROR(IF(tblCustomers[[#This Row],[Age]]&lt;25,"&lt;25",IF(tblCustomers[[#This Row],[Age]]&lt;40,"25-39",IF(tblCustomers[[#This Row],[Age]]&lt;55,"40-54","55+"))),"N/A")</f>
        <v>40-54</v>
      </c>
      <c r="O132" s="19" t="str">
        <f>IFERROR(IF(tblCustomers[[#This Row],[IncomeRange]]&lt;25000,"Low",IF(tblCustomers[[#This Row],[IncomeRange]]&lt;75000,"Mid","High")),"N/A")</f>
        <v>High</v>
      </c>
      <c r="P132" s="19" t="str">
        <f>IFERROR(TEXT(tblCustomers[[#This Row],[JoinDate]],"DDDD"),"")</f>
        <v>Friday</v>
      </c>
      <c r="Q132" s="21" t="b">
        <f>IFERROR(IF(WEEKDAY(tblCustomers[[#This Row],[JoinDate]],2)&gt;=6,TRUE(),FALSE()),FALSE())</f>
        <v>0</v>
      </c>
      <c r="R132" s="19">
        <f ca="1">IFERROR(DATEDIF(tblCustomers[[#This Row],[JoinDate]],TODAY(),"M"),0)</f>
        <v>41</v>
      </c>
      <c r="S132" s="19" t="str">
        <f>IFERROR(IF(AND(tblCustomers[[#This Row],[Age]]&gt;=18,tblCustomers[[#This Row],[IncomeRange]]&gt;0,tblCustomers[[#This Row],[CustomerID]]&lt;&gt;""),"OK","CHECK"),"CHECK")</f>
        <v>OK</v>
      </c>
    </row>
    <row r="133" spans="1:19" ht="15" customHeight="1" x14ac:dyDescent="0.3">
      <c r="A133" s="16" t="str">
        <f>IFERROR(TRIM(tblCustomers[[#This Row],[CustomerID]]),"")</f>
        <v>C0131</v>
      </c>
      <c r="B133" s="16" t="str">
        <f>IFERROR(PROPER(TRIM(tblCustomers[[#This Row],[Name]])),"")</f>
        <v>Priya Reddy</v>
      </c>
      <c r="C133" s="16" t="str">
        <f>IFERROR(PROPER(TRIM(tblCustomers[[#This Row],[Gender]])),"")</f>
        <v>Female</v>
      </c>
      <c r="D133" s="16">
        <f>IFERROR(tblCustomers[[#This Row],[Age]],"")</f>
        <v>42</v>
      </c>
      <c r="E133" s="16" t="str">
        <f>IFERROR(PROPER(TRIM(tblCustomers[[#This Row],[City/Region]])),"")</f>
        <v>Surat</v>
      </c>
      <c r="F133" s="16">
        <f>IFERROR(tblCustomers[[#This Row],[IncomeRange]],"")</f>
        <v>48315</v>
      </c>
      <c r="G133" s="16" t="str">
        <f>IFERROR(PROPER(TRIM(tblCustomers[[#This Row],[Occupation]])),"")</f>
        <v>Marketing Manager</v>
      </c>
      <c r="H133" s="17">
        <f>IFERROR(tblCustomers[[#This Row],[JoinDate]],"")</f>
        <v>45128</v>
      </c>
      <c r="I133" s="16" t="str">
        <f>IFERROR(PROPER(TRIM(tblCustomers[[#This Row],[PurchaseChannel]])),"")</f>
        <v>Online</v>
      </c>
      <c r="J133" s="16" t="str">
        <f>IFERROR(PROPER(TRIM(tblCustomers[[#This Row],[CustomerType]])),"")</f>
        <v>Returning</v>
      </c>
      <c r="K133" s="16" t="str">
        <f>IFERROR(PROPER(TRIM(tblCustomers[[#This Row],[EngagementLevel]])),"")</f>
        <v>Low</v>
      </c>
      <c r="L133" s="16" t="str">
        <f>IFERROR(PROPER(TRIM(tblCustomers[[#This Row],[DiscountSensitivity]])),"")</f>
        <v>High</v>
      </c>
      <c r="M133" s="17">
        <f>IFERROR(tblCustomers[[#This Row],[LastPurchaseDate]],"")</f>
        <v>45971</v>
      </c>
      <c r="N133" s="16" t="str">
        <f>IFERROR(IF(tblCustomers[[#This Row],[Age]]&lt;25,"&lt;25",IF(tblCustomers[[#This Row],[Age]]&lt;40,"25-39",IF(tblCustomers[[#This Row],[Age]]&lt;55,"40-54","55+"))),"N/A")</f>
        <v>40-54</v>
      </c>
      <c r="O133" s="16" t="str">
        <f>IFERROR(IF(tblCustomers[[#This Row],[IncomeRange]]&lt;25000,"Low",IF(tblCustomers[[#This Row],[IncomeRange]]&lt;75000,"Mid","High")),"N/A")</f>
        <v>Mid</v>
      </c>
      <c r="P133" s="16" t="str">
        <f>IFERROR(TEXT(tblCustomers[[#This Row],[JoinDate]],"DDDD"),"")</f>
        <v>Friday</v>
      </c>
      <c r="Q133" s="18" t="b">
        <f>IFERROR(IF(WEEKDAY(tblCustomers[[#This Row],[JoinDate]],2)&gt;=6,TRUE(),FALSE()),FALSE())</f>
        <v>0</v>
      </c>
      <c r="R133" s="16">
        <f ca="1">IFERROR(DATEDIF(tblCustomers[[#This Row],[JoinDate]],TODAY(),"M"),0)</f>
        <v>32</v>
      </c>
      <c r="S133" s="16" t="str">
        <f>IFERROR(IF(AND(tblCustomers[[#This Row],[Age]]&gt;=18,tblCustomers[[#This Row],[IncomeRange]]&gt;0,tblCustomers[[#This Row],[CustomerID]]&lt;&gt;""),"OK","CHECK"),"CHECK")</f>
        <v>OK</v>
      </c>
    </row>
    <row r="134" spans="1:19" ht="15" customHeight="1" x14ac:dyDescent="0.3">
      <c r="A134" s="19" t="str">
        <f>IFERROR(TRIM(tblCustomers[[#This Row],[CustomerID]]),"")</f>
        <v>C0132</v>
      </c>
      <c r="B134" s="19" t="str">
        <f>IFERROR(PROPER(TRIM(tblCustomers[[#This Row],[Name]])),"")</f>
        <v>Naveen Iyer</v>
      </c>
      <c r="C134" s="19" t="str">
        <f>IFERROR(PROPER(TRIM(tblCustomers[[#This Row],[Gender]])),"")</f>
        <v>Male</v>
      </c>
      <c r="D134" s="19">
        <f>IFERROR(tblCustomers[[#This Row],[Age]],"")</f>
        <v>45</v>
      </c>
      <c r="E134" s="19" t="str">
        <f>IFERROR(PROPER(TRIM(tblCustomers[[#This Row],[City/Region]])),"")</f>
        <v>Surat</v>
      </c>
      <c r="F134" s="19">
        <f>IFERROR(tblCustomers[[#This Row],[IncomeRange]],"")</f>
        <v>36343</v>
      </c>
      <c r="G134" s="19" t="str">
        <f>IFERROR(PROPER(TRIM(tblCustomers[[#This Row],[Occupation]])),"")</f>
        <v>Data Analyst</v>
      </c>
      <c r="H134" s="20">
        <f>IFERROR(tblCustomers[[#This Row],[JoinDate]],"")</f>
        <v>45380</v>
      </c>
      <c r="I134" s="19" t="str">
        <f>IFERROR(PROPER(TRIM(tblCustomers[[#This Row],[PurchaseChannel]])),"")</f>
        <v>Offline</v>
      </c>
      <c r="J134" s="19" t="str">
        <f>IFERROR(PROPER(TRIM(tblCustomers[[#This Row],[CustomerType]])),"")</f>
        <v>New</v>
      </c>
      <c r="K134" s="19" t="str">
        <f>IFERROR(PROPER(TRIM(tblCustomers[[#This Row],[EngagementLevel]])),"")</f>
        <v>High</v>
      </c>
      <c r="L134" s="19" t="str">
        <f>IFERROR(PROPER(TRIM(tblCustomers[[#This Row],[DiscountSensitivity]])),"")</f>
        <v>Medium</v>
      </c>
      <c r="M134" s="20">
        <f>IFERROR(tblCustomers[[#This Row],[LastPurchaseDate]],"")</f>
        <v>46007</v>
      </c>
      <c r="N134" s="19" t="str">
        <f>IFERROR(IF(tblCustomers[[#This Row],[Age]]&lt;25,"&lt;25",IF(tblCustomers[[#This Row],[Age]]&lt;40,"25-39",IF(tblCustomers[[#This Row],[Age]]&lt;55,"40-54","55+"))),"N/A")</f>
        <v>40-54</v>
      </c>
      <c r="O134" s="19" t="str">
        <f>IFERROR(IF(tblCustomers[[#This Row],[IncomeRange]]&lt;25000,"Low",IF(tblCustomers[[#This Row],[IncomeRange]]&lt;75000,"Mid","High")),"N/A")</f>
        <v>Mid</v>
      </c>
      <c r="P134" s="19" t="str">
        <f>IFERROR(TEXT(tblCustomers[[#This Row],[JoinDate]],"DDDD"),"")</f>
        <v>Friday</v>
      </c>
      <c r="Q134" s="21" t="b">
        <f>IFERROR(IF(WEEKDAY(tblCustomers[[#This Row],[JoinDate]],2)&gt;=6,TRUE(),FALSE()),FALSE())</f>
        <v>0</v>
      </c>
      <c r="R134" s="19">
        <f ca="1">IFERROR(DATEDIF(tblCustomers[[#This Row],[JoinDate]],TODAY(),"M"),0)</f>
        <v>24</v>
      </c>
      <c r="S134" s="19" t="str">
        <f>IFERROR(IF(AND(tblCustomers[[#This Row],[Age]]&gt;=18,tblCustomers[[#This Row],[IncomeRange]]&gt;0,tblCustomers[[#This Row],[CustomerID]]&lt;&gt;""),"OK","CHECK"),"CHECK")</f>
        <v>OK</v>
      </c>
    </row>
    <row r="135" spans="1:19" ht="15" customHeight="1" x14ac:dyDescent="0.3">
      <c r="A135" s="16" t="str">
        <f>IFERROR(TRIM(tblCustomers[[#This Row],[CustomerID]]),"")</f>
        <v>C0133</v>
      </c>
      <c r="B135" s="16" t="str">
        <f>IFERROR(PROPER(TRIM(tblCustomers[[#This Row],[Name]])),"")</f>
        <v>Ritu Reddy</v>
      </c>
      <c r="C135" s="16" t="str">
        <f>IFERROR(PROPER(TRIM(tblCustomers[[#This Row],[Gender]])),"")</f>
        <v>Female</v>
      </c>
      <c r="D135" s="16">
        <f>IFERROR(tblCustomers[[#This Row],[Age]],"")</f>
        <v>57</v>
      </c>
      <c r="E135" s="16" t="str">
        <f>IFERROR(PROPER(TRIM(tblCustomers[[#This Row],[City/Region]])),"")</f>
        <v>Chennai</v>
      </c>
      <c r="F135" s="16">
        <f>IFERROR(tblCustomers[[#This Row],[IncomeRange]],"")</f>
        <v>68289</v>
      </c>
      <c r="G135" s="16" t="str">
        <f>IFERROR(PROPER(TRIM(tblCustomers[[#This Row],[Occupation]])),"")</f>
        <v>Marketing Manager</v>
      </c>
      <c r="H135" s="17">
        <f>IFERROR(tblCustomers[[#This Row],[JoinDate]],"")</f>
        <v>45038</v>
      </c>
      <c r="I135" s="16" t="str">
        <f>IFERROR(PROPER(TRIM(tblCustomers[[#This Row],[PurchaseChannel]])),"")</f>
        <v>Offline</v>
      </c>
      <c r="J135" s="16" t="str">
        <f>IFERROR(PROPER(TRIM(tblCustomers[[#This Row],[CustomerType]])),"")</f>
        <v>New</v>
      </c>
      <c r="K135" s="16" t="str">
        <f>IFERROR(PROPER(TRIM(tblCustomers[[#This Row],[EngagementLevel]])),"")</f>
        <v>High</v>
      </c>
      <c r="L135" s="16" t="str">
        <f>IFERROR(PROPER(TRIM(tblCustomers[[#This Row],[DiscountSensitivity]])),"")</f>
        <v>High</v>
      </c>
      <c r="M135" s="17">
        <f>IFERROR(tblCustomers[[#This Row],[LastPurchaseDate]],"")</f>
        <v>45902</v>
      </c>
      <c r="N135" s="16" t="str">
        <f>IFERROR(IF(tblCustomers[[#This Row],[Age]]&lt;25,"&lt;25",IF(tblCustomers[[#This Row],[Age]]&lt;40,"25-39",IF(tblCustomers[[#This Row],[Age]]&lt;55,"40-54","55+"))),"N/A")</f>
        <v>55+</v>
      </c>
      <c r="O135" s="16" t="str">
        <f>IFERROR(IF(tblCustomers[[#This Row],[IncomeRange]]&lt;25000,"Low",IF(tblCustomers[[#This Row],[IncomeRange]]&lt;75000,"Mid","High")),"N/A")</f>
        <v>Mid</v>
      </c>
      <c r="P135" s="16" t="str">
        <f>IFERROR(TEXT(tblCustomers[[#This Row],[JoinDate]],"DDDD"),"")</f>
        <v>Saturday</v>
      </c>
      <c r="Q135" s="18" t="b">
        <f>IFERROR(IF(WEEKDAY(tblCustomers[[#This Row],[JoinDate]],2)&gt;=6,TRUE(),FALSE()),FALSE())</f>
        <v>1</v>
      </c>
      <c r="R135" s="16">
        <f ca="1">IFERROR(DATEDIF(tblCustomers[[#This Row],[JoinDate]],TODAY(),"M"),0)</f>
        <v>35</v>
      </c>
      <c r="S135" s="16" t="str">
        <f>IFERROR(IF(AND(tblCustomers[[#This Row],[Age]]&gt;=18,tblCustomers[[#This Row],[IncomeRange]]&gt;0,tblCustomers[[#This Row],[CustomerID]]&lt;&gt;""),"OK","CHECK"),"CHECK")</f>
        <v>OK</v>
      </c>
    </row>
    <row r="136" spans="1:19" ht="15" customHeight="1" x14ac:dyDescent="0.3">
      <c r="A136" s="19" t="str">
        <f>IFERROR(TRIM(tblCustomers[[#This Row],[CustomerID]]),"")</f>
        <v>C0134</v>
      </c>
      <c r="B136" s="19" t="str">
        <f>IFERROR(PROPER(TRIM(tblCustomers[[#This Row],[Name]])),"")</f>
        <v>Vijay Verma</v>
      </c>
      <c r="C136" s="19" t="str">
        <f>IFERROR(PROPER(TRIM(tblCustomers[[#This Row],[Gender]])),"")</f>
        <v>Male</v>
      </c>
      <c r="D136" s="19">
        <f>IFERROR(tblCustomers[[#This Row],[Age]],"")</f>
        <v>49</v>
      </c>
      <c r="E136" s="19" t="str">
        <f>IFERROR(PROPER(TRIM(tblCustomers[[#This Row],[City/Region]])),"")</f>
        <v>Vadodara</v>
      </c>
      <c r="F136" s="19">
        <f>IFERROR(tblCustomers[[#This Row],[IncomeRange]],"")</f>
        <v>102475</v>
      </c>
      <c r="G136" s="19" t="str">
        <f>IFERROR(PROPER(TRIM(tblCustomers[[#This Row],[Occupation]])),"")</f>
        <v>Sales Executive</v>
      </c>
      <c r="H136" s="20">
        <f>IFERROR(tblCustomers[[#This Row],[JoinDate]],"")</f>
        <v>45266</v>
      </c>
      <c r="I136" s="19" t="str">
        <f>IFERROR(PROPER(TRIM(tblCustomers[[#This Row],[PurchaseChannel]])),"")</f>
        <v>Offline</v>
      </c>
      <c r="J136" s="19" t="str">
        <f>IFERROR(PROPER(TRIM(tblCustomers[[#This Row],[CustomerType]])),"")</f>
        <v>New</v>
      </c>
      <c r="K136" s="19" t="str">
        <f>IFERROR(PROPER(TRIM(tblCustomers[[#This Row],[EngagementLevel]])),"")</f>
        <v>High</v>
      </c>
      <c r="L136" s="19" t="str">
        <f>IFERROR(PROPER(TRIM(tblCustomers[[#This Row],[DiscountSensitivity]])),"")</f>
        <v>Medium</v>
      </c>
      <c r="M136" s="20">
        <f>IFERROR(tblCustomers[[#This Row],[LastPurchaseDate]],"")</f>
        <v>45834</v>
      </c>
      <c r="N136" s="19" t="str">
        <f>IFERROR(IF(tblCustomers[[#This Row],[Age]]&lt;25,"&lt;25",IF(tblCustomers[[#This Row],[Age]]&lt;40,"25-39",IF(tblCustomers[[#This Row],[Age]]&lt;55,"40-54","55+"))),"N/A")</f>
        <v>40-54</v>
      </c>
      <c r="O136" s="19" t="str">
        <f>IFERROR(IF(tblCustomers[[#This Row],[IncomeRange]]&lt;25000,"Low",IF(tblCustomers[[#This Row],[IncomeRange]]&lt;75000,"Mid","High")),"N/A")</f>
        <v>High</v>
      </c>
      <c r="P136" s="19" t="str">
        <f>IFERROR(TEXT(tblCustomers[[#This Row],[JoinDate]],"DDDD"),"")</f>
        <v>Wednesday</v>
      </c>
      <c r="Q136" s="21" t="b">
        <f>IFERROR(IF(WEEKDAY(tblCustomers[[#This Row],[JoinDate]],2)&gt;=6,TRUE(),FALSE()),FALSE())</f>
        <v>0</v>
      </c>
      <c r="R136" s="19">
        <f ca="1">IFERROR(DATEDIF(tblCustomers[[#This Row],[JoinDate]],TODAY(),"M"),0)</f>
        <v>28</v>
      </c>
      <c r="S136" s="19" t="str">
        <f>IFERROR(IF(AND(tblCustomers[[#This Row],[Age]]&gt;=18,tblCustomers[[#This Row],[IncomeRange]]&gt;0,tblCustomers[[#This Row],[CustomerID]]&lt;&gt;""),"OK","CHECK"),"CHECK")</f>
        <v>OK</v>
      </c>
    </row>
    <row r="137" spans="1:19" ht="15" customHeight="1" x14ac:dyDescent="0.3">
      <c r="A137" s="16" t="str">
        <f>IFERROR(TRIM(tblCustomers[[#This Row],[CustomerID]]),"")</f>
        <v>C0135</v>
      </c>
      <c r="B137" s="16" t="str">
        <f>IFERROR(PROPER(TRIM(tblCustomers[[#This Row],[Name]])),"")</f>
        <v>Swati Nair</v>
      </c>
      <c r="C137" s="16" t="str">
        <f>IFERROR(PROPER(TRIM(tblCustomers[[#This Row],[Gender]])),"")</f>
        <v>Female</v>
      </c>
      <c r="D137" s="16">
        <f>IFERROR(tblCustomers[[#This Row],[Age]],"")</f>
        <v>27</v>
      </c>
      <c r="E137" s="16" t="str">
        <f>IFERROR(PROPER(TRIM(tblCustomers[[#This Row],[City/Region]])),"")</f>
        <v>Ahmedabad</v>
      </c>
      <c r="F137" s="16">
        <f>IFERROR(tblCustomers[[#This Row],[IncomeRange]],"")</f>
        <v>99374</v>
      </c>
      <c r="G137" s="16" t="str">
        <f>IFERROR(PROPER(TRIM(tblCustomers[[#This Row],[Occupation]])),"")</f>
        <v>Business Owner</v>
      </c>
      <c r="H137" s="17">
        <f>IFERROR(tblCustomers[[#This Row],[JoinDate]],"")</f>
        <v>44893</v>
      </c>
      <c r="I137" s="16" t="str">
        <f>IFERROR(PROPER(TRIM(tblCustomers[[#This Row],[PurchaseChannel]])),"")</f>
        <v>Online</v>
      </c>
      <c r="J137" s="16" t="str">
        <f>IFERROR(PROPER(TRIM(tblCustomers[[#This Row],[CustomerType]])),"")</f>
        <v>New</v>
      </c>
      <c r="K137" s="16" t="str">
        <f>IFERROR(PROPER(TRIM(tblCustomers[[#This Row],[EngagementLevel]])),"")</f>
        <v>Low</v>
      </c>
      <c r="L137" s="16" t="str">
        <f>IFERROR(PROPER(TRIM(tblCustomers[[#This Row],[DiscountSensitivity]])),"")</f>
        <v>Low</v>
      </c>
      <c r="M137" s="17">
        <f>IFERROR(tblCustomers[[#This Row],[LastPurchaseDate]],"")</f>
        <v>45873</v>
      </c>
      <c r="N137" s="16" t="str">
        <f>IFERROR(IF(tblCustomers[[#This Row],[Age]]&lt;25,"&lt;25",IF(tblCustomers[[#This Row],[Age]]&lt;40,"25-39",IF(tblCustomers[[#This Row],[Age]]&lt;55,"40-54","55+"))),"N/A")</f>
        <v>25-39</v>
      </c>
      <c r="O137" s="16" t="str">
        <f>IFERROR(IF(tblCustomers[[#This Row],[IncomeRange]]&lt;25000,"Low",IF(tblCustomers[[#This Row],[IncomeRange]]&lt;75000,"Mid","High")),"N/A")</f>
        <v>High</v>
      </c>
      <c r="P137" s="16" t="str">
        <f>IFERROR(TEXT(tblCustomers[[#This Row],[JoinDate]],"DDDD"),"")</f>
        <v>Monday</v>
      </c>
      <c r="Q137" s="18" t="b">
        <f>IFERROR(IF(WEEKDAY(tblCustomers[[#This Row],[JoinDate]],2)&gt;=6,TRUE(),FALSE()),FALSE())</f>
        <v>0</v>
      </c>
      <c r="R137" s="16">
        <f ca="1">IFERROR(DATEDIF(tblCustomers[[#This Row],[JoinDate]],TODAY(),"M"),0)</f>
        <v>40</v>
      </c>
      <c r="S137" s="16" t="str">
        <f>IFERROR(IF(AND(tblCustomers[[#This Row],[Age]]&gt;=18,tblCustomers[[#This Row],[IncomeRange]]&gt;0,tblCustomers[[#This Row],[CustomerID]]&lt;&gt;""),"OK","CHECK"),"CHECK")</f>
        <v>OK</v>
      </c>
    </row>
    <row r="138" spans="1:19" ht="15" customHeight="1" x14ac:dyDescent="0.3">
      <c r="A138" s="19" t="str">
        <f>IFERROR(TRIM(tblCustomers[[#This Row],[CustomerID]]),"")</f>
        <v>C0136</v>
      </c>
      <c r="B138" s="19" t="str">
        <f>IFERROR(PROPER(TRIM(tblCustomers[[#This Row],[Name]])),"")</f>
        <v>Divya Pillai</v>
      </c>
      <c r="C138" s="19" t="str">
        <f>IFERROR(PROPER(TRIM(tblCustomers[[#This Row],[Gender]])),"")</f>
        <v>Female</v>
      </c>
      <c r="D138" s="19">
        <f>IFERROR(tblCustomers[[#This Row],[Age]],"")</f>
        <v>62</v>
      </c>
      <c r="E138" s="19" t="str">
        <f>IFERROR(PROPER(TRIM(tblCustomers[[#This Row],[City/Region]])),"")</f>
        <v>Vadodara</v>
      </c>
      <c r="F138" s="19">
        <f>IFERROR(tblCustomers[[#This Row],[IncomeRange]],"")</f>
        <v>68970</v>
      </c>
      <c r="G138" s="19" t="str">
        <f>IFERROR(PROPER(TRIM(tblCustomers[[#This Row],[Occupation]])),"")</f>
        <v>Product Manager</v>
      </c>
      <c r="H138" s="20">
        <f>IFERROR(tblCustomers[[#This Row],[JoinDate]],"")</f>
        <v>45005</v>
      </c>
      <c r="I138" s="19" t="str">
        <f>IFERROR(PROPER(TRIM(tblCustomers[[#This Row],[PurchaseChannel]])),"")</f>
        <v>Offline</v>
      </c>
      <c r="J138" s="19" t="str">
        <f>IFERROR(PROPER(TRIM(tblCustomers[[#This Row],[CustomerType]])),"")</f>
        <v>Returning</v>
      </c>
      <c r="K138" s="19" t="str">
        <f>IFERROR(PROPER(TRIM(tblCustomers[[#This Row],[EngagementLevel]])),"")</f>
        <v>Medium</v>
      </c>
      <c r="L138" s="19" t="str">
        <f>IFERROR(PROPER(TRIM(tblCustomers[[#This Row],[DiscountSensitivity]])),"")</f>
        <v>Low</v>
      </c>
      <c r="M138" s="20">
        <f>IFERROR(tblCustomers[[#This Row],[LastPurchaseDate]],"")</f>
        <v>45823</v>
      </c>
      <c r="N138" s="19" t="str">
        <f>IFERROR(IF(tblCustomers[[#This Row],[Age]]&lt;25,"&lt;25",IF(tblCustomers[[#This Row],[Age]]&lt;40,"25-39",IF(tblCustomers[[#This Row],[Age]]&lt;55,"40-54","55+"))),"N/A")</f>
        <v>55+</v>
      </c>
      <c r="O138" s="19" t="str">
        <f>IFERROR(IF(tblCustomers[[#This Row],[IncomeRange]]&lt;25000,"Low",IF(tblCustomers[[#This Row],[IncomeRange]]&lt;75000,"Mid","High")),"N/A")</f>
        <v>Mid</v>
      </c>
      <c r="P138" s="19" t="str">
        <f>IFERROR(TEXT(tblCustomers[[#This Row],[JoinDate]],"DDDD"),"")</f>
        <v>Monday</v>
      </c>
      <c r="Q138" s="21" t="b">
        <f>IFERROR(IF(WEEKDAY(tblCustomers[[#This Row],[JoinDate]],2)&gt;=6,TRUE(),FALSE()),FALSE())</f>
        <v>0</v>
      </c>
      <c r="R138" s="19">
        <f ca="1">IFERROR(DATEDIF(tblCustomers[[#This Row],[JoinDate]],TODAY(),"M"),0)</f>
        <v>36</v>
      </c>
      <c r="S138" s="19" t="str">
        <f>IFERROR(IF(AND(tblCustomers[[#This Row],[Age]]&gt;=18,tblCustomers[[#This Row],[IncomeRange]]&gt;0,tblCustomers[[#This Row],[CustomerID]]&lt;&gt;""),"OK","CHECK"),"CHECK")</f>
        <v>OK</v>
      </c>
    </row>
    <row r="139" spans="1:19" ht="15" customHeight="1" x14ac:dyDescent="0.3">
      <c r="A139" s="16" t="str">
        <f>IFERROR(TRIM(tblCustomers[[#This Row],[CustomerID]]),"")</f>
        <v>C0137</v>
      </c>
      <c r="B139" s="16" t="str">
        <f>IFERROR(PROPER(TRIM(tblCustomers[[#This Row],[Name]])),"")</f>
        <v>Manoj Singh</v>
      </c>
      <c r="C139" s="16" t="str">
        <f>IFERROR(PROPER(TRIM(tblCustomers[[#This Row],[Gender]])),"")</f>
        <v>Male</v>
      </c>
      <c r="D139" s="16">
        <f>IFERROR(tblCustomers[[#This Row],[Age]],"")</f>
        <v>49</v>
      </c>
      <c r="E139" s="16" t="str">
        <f>IFERROR(PROPER(TRIM(tblCustomers[[#This Row],[City/Region]])),"")</f>
        <v>Ahmedabad</v>
      </c>
      <c r="F139" s="16">
        <f>IFERROR(tblCustomers[[#This Row],[IncomeRange]],"")</f>
        <v>64107</v>
      </c>
      <c r="G139" s="16" t="str">
        <f>IFERROR(PROPER(TRIM(tblCustomers[[#This Row],[Occupation]])),"")</f>
        <v>Consultant</v>
      </c>
      <c r="H139" s="17">
        <f>IFERROR(tblCustomers[[#This Row],[JoinDate]],"")</f>
        <v>45006</v>
      </c>
      <c r="I139" s="16" t="str">
        <f>IFERROR(PROPER(TRIM(tblCustomers[[#This Row],[PurchaseChannel]])),"")</f>
        <v>Offline</v>
      </c>
      <c r="J139" s="16" t="str">
        <f>IFERROR(PROPER(TRIM(tblCustomers[[#This Row],[CustomerType]])),"")</f>
        <v>New</v>
      </c>
      <c r="K139" s="16" t="str">
        <f>IFERROR(PROPER(TRIM(tblCustomers[[#This Row],[EngagementLevel]])),"")</f>
        <v>High</v>
      </c>
      <c r="L139" s="16" t="str">
        <f>IFERROR(PROPER(TRIM(tblCustomers[[#This Row],[DiscountSensitivity]])),"")</f>
        <v>Low</v>
      </c>
      <c r="M139" s="17">
        <f>IFERROR(tblCustomers[[#This Row],[LastPurchaseDate]],"")</f>
        <v>45810</v>
      </c>
      <c r="N139" s="16" t="str">
        <f>IFERROR(IF(tblCustomers[[#This Row],[Age]]&lt;25,"&lt;25",IF(tblCustomers[[#This Row],[Age]]&lt;40,"25-39",IF(tblCustomers[[#This Row],[Age]]&lt;55,"40-54","55+"))),"N/A")</f>
        <v>40-54</v>
      </c>
      <c r="O139" s="16" t="str">
        <f>IFERROR(IF(tblCustomers[[#This Row],[IncomeRange]]&lt;25000,"Low",IF(tblCustomers[[#This Row],[IncomeRange]]&lt;75000,"Mid","High")),"N/A")</f>
        <v>Mid</v>
      </c>
      <c r="P139" s="16" t="str">
        <f>IFERROR(TEXT(tblCustomers[[#This Row],[JoinDate]],"DDDD"),"")</f>
        <v>Tuesday</v>
      </c>
      <c r="Q139" s="18" t="b">
        <f>IFERROR(IF(WEEKDAY(tblCustomers[[#This Row],[JoinDate]],2)&gt;=6,TRUE(),FALSE()),FALSE())</f>
        <v>0</v>
      </c>
      <c r="R139" s="16">
        <f ca="1">IFERROR(DATEDIF(tblCustomers[[#This Row],[JoinDate]],TODAY(),"M"),0)</f>
        <v>36</v>
      </c>
      <c r="S139" s="16" t="str">
        <f>IFERROR(IF(AND(tblCustomers[[#This Row],[Age]]&gt;=18,tblCustomers[[#This Row],[IncomeRange]]&gt;0,tblCustomers[[#This Row],[CustomerID]]&lt;&gt;""),"OK","CHECK"),"CHECK")</f>
        <v>OK</v>
      </c>
    </row>
    <row r="140" spans="1:19" ht="15" customHeight="1" x14ac:dyDescent="0.3">
      <c r="A140" s="19" t="str">
        <f>IFERROR(TRIM(tblCustomers[[#This Row],[CustomerID]]),"")</f>
        <v>C0138</v>
      </c>
      <c r="B140" s="19" t="str">
        <f>IFERROR(PROPER(TRIM(tblCustomers[[#This Row],[Name]])),"")</f>
        <v>Nisha Rao</v>
      </c>
      <c r="C140" s="19" t="str">
        <f>IFERROR(PROPER(TRIM(tblCustomers[[#This Row],[Gender]])),"")</f>
        <v>Female</v>
      </c>
      <c r="D140" s="19">
        <f>IFERROR(tblCustomers[[#This Row],[Age]],"")</f>
        <v>50</v>
      </c>
      <c r="E140" s="19" t="str">
        <f>IFERROR(PROPER(TRIM(tblCustomers[[#This Row],[City/Region]])),"")</f>
        <v>Coimbatore</v>
      </c>
      <c r="F140" s="19">
        <f>IFERROR(tblCustomers[[#This Row],[IncomeRange]],"")</f>
        <v>129867</v>
      </c>
      <c r="G140" s="19" t="str">
        <f>IFERROR(PROPER(TRIM(tblCustomers[[#This Row],[Occupation]])),"")</f>
        <v>Nurse</v>
      </c>
      <c r="H140" s="20">
        <f>IFERROR(tblCustomers[[#This Row],[JoinDate]],"")</f>
        <v>45157</v>
      </c>
      <c r="I140" s="19" t="str">
        <f>IFERROR(PROPER(TRIM(tblCustomers[[#This Row],[PurchaseChannel]])),"")</f>
        <v>Offline</v>
      </c>
      <c r="J140" s="19" t="str">
        <f>IFERROR(PROPER(TRIM(tblCustomers[[#This Row],[CustomerType]])),"")</f>
        <v>New</v>
      </c>
      <c r="K140" s="19" t="str">
        <f>IFERROR(PROPER(TRIM(tblCustomers[[#This Row],[EngagementLevel]])),"")</f>
        <v>High</v>
      </c>
      <c r="L140" s="19" t="str">
        <f>IFERROR(PROPER(TRIM(tblCustomers[[#This Row],[DiscountSensitivity]])),"")</f>
        <v>Medium</v>
      </c>
      <c r="M140" s="20">
        <f>IFERROR(tblCustomers[[#This Row],[LastPurchaseDate]],"")</f>
        <v>45978</v>
      </c>
      <c r="N140" s="19" t="str">
        <f>IFERROR(IF(tblCustomers[[#This Row],[Age]]&lt;25,"&lt;25",IF(tblCustomers[[#This Row],[Age]]&lt;40,"25-39",IF(tblCustomers[[#This Row],[Age]]&lt;55,"40-54","55+"))),"N/A")</f>
        <v>40-54</v>
      </c>
      <c r="O140" s="19" t="str">
        <f>IFERROR(IF(tblCustomers[[#This Row],[IncomeRange]]&lt;25000,"Low",IF(tblCustomers[[#This Row],[IncomeRange]]&lt;75000,"Mid","High")),"N/A")</f>
        <v>High</v>
      </c>
      <c r="P140" s="19" t="str">
        <f>IFERROR(TEXT(tblCustomers[[#This Row],[JoinDate]],"DDDD"),"")</f>
        <v>Saturday</v>
      </c>
      <c r="Q140" s="21" t="b">
        <f>IFERROR(IF(WEEKDAY(tblCustomers[[#This Row],[JoinDate]],2)&gt;=6,TRUE(),FALSE()),FALSE())</f>
        <v>1</v>
      </c>
      <c r="R140" s="19">
        <f ca="1">IFERROR(DATEDIF(tblCustomers[[#This Row],[JoinDate]],TODAY(),"M"),0)</f>
        <v>31</v>
      </c>
      <c r="S140" s="19" t="str">
        <f>IFERROR(IF(AND(tblCustomers[[#This Row],[Age]]&gt;=18,tblCustomers[[#This Row],[IncomeRange]]&gt;0,tblCustomers[[#This Row],[CustomerID]]&lt;&gt;""),"OK","CHECK"),"CHECK")</f>
        <v>OK</v>
      </c>
    </row>
    <row r="141" spans="1:19" ht="15" customHeight="1" x14ac:dyDescent="0.3">
      <c r="A141" s="16" t="str">
        <f>IFERROR(TRIM(tblCustomers[[#This Row],[CustomerID]]),"")</f>
        <v>C0139</v>
      </c>
      <c r="B141" s="16" t="str">
        <f>IFERROR(PROPER(TRIM(tblCustomers[[#This Row],[Name]])),"")</f>
        <v>Rekha Reddy</v>
      </c>
      <c r="C141" s="16" t="str">
        <f>IFERROR(PROPER(TRIM(tblCustomers[[#This Row],[Gender]])),"")</f>
        <v>Female</v>
      </c>
      <c r="D141" s="16">
        <f>IFERROR(tblCustomers[[#This Row],[Age]],"")</f>
        <v>62</v>
      </c>
      <c r="E141" s="16" t="str">
        <f>IFERROR(PROPER(TRIM(tblCustomers[[#This Row],[City/Region]])),"")</f>
        <v>Ahmedabad</v>
      </c>
      <c r="F141" s="16">
        <f>IFERROR(tblCustomers[[#This Row],[IncomeRange]],"")</f>
        <v>89984</v>
      </c>
      <c r="G141" s="16" t="str">
        <f>IFERROR(PROPER(TRIM(tblCustomers[[#This Row],[Occupation]])),"")</f>
        <v>Sales Executive</v>
      </c>
      <c r="H141" s="17">
        <f>IFERROR(tblCustomers[[#This Row],[JoinDate]],"")</f>
        <v>45639</v>
      </c>
      <c r="I141" s="16" t="str">
        <f>IFERROR(PROPER(TRIM(tblCustomers[[#This Row],[PurchaseChannel]])),"")</f>
        <v>Offline</v>
      </c>
      <c r="J141" s="16" t="str">
        <f>IFERROR(PROPER(TRIM(tblCustomers[[#This Row],[CustomerType]])),"")</f>
        <v>New</v>
      </c>
      <c r="K141" s="16" t="str">
        <f>IFERROR(PROPER(TRIM(tblCustomers[[#This Row],[EngagementLevel]])),"")</f>
        <v>Medium</v>
      </c>
      <c r="L141" s="16" t="str">
        <f>IFERROR(PROPER(TRIM(tblCustomers[[#This Row],[DiscountSensitivity]])),"")</f>
        <v>Medium</v>
      </c>
      <c r="M141" s="17">
        <f>IFERROR(tblCustomers[[#This Row],[LastPurchaseDate]],"")</f>
        <v>45911</v>
      </c>
      <c r="N141" s="16" t="str">
        <f>IFERROR(IF(tblCustomers[[#This Row],[Age]]&lt;25,"&lt;25",IF(tblCustomers[[#This Row],[Age]]&lt;40,"25-39",IF(tblCustomers[[#This Row],[Age]]&lt;55,"40-54","55+"))),"N/A")</f>
        <v>55+</v>
      </c>
      <c r="O141" s="16" t="str">
        <f>IFERROR(IF(tblCustomers[[#This Row],[IncomeRange]]&lt;25000,"Low",IF(tblCustomers[[#This Row],[IncomeRange]]&lt;75000,"Mid","High")),"N/A")</f>
        <v>High</v>
      </c>
      <c r="P141" s="16" t="str">
        <f>IFERROR(TEXT(tblCustomers[[#This Row],[JoinDate]],"DDDD"),"")</f>
        <v>Friday</v>
      </c>
      <c r="Q141" s="18" t="b">
        <f>IFERROR(IF(WEEKDAY(tblCustomers[[#This Row],[JoinDate]],2)&gt;=6,TRUE(),FALSE()),FALSE())</f>
        <v>0</v>
      </c>
      <c r="R141" s="16">
        <f ca="1">IFERROR(DATEDIF(tblCustomers[[#This Row],[JoinDate]],TODAY(),"M"),0)</f>
        <v>16</v>
      </c>
      <c r="S141" s="16" t="str">
        <f>IFERROR(IF(AND(tblCustomers[[#This Row],[Age]]&gt;=18,tblCustomers[[#This Row],[IncomeRange]]&gt;0,tblCustomers[[#This Row],[CustomerID]]&lt;&gt;""),"OK","CHECK"),"CHECK")</f>
        <v>OK</v>
      </c>
    </row>
    <row r="142" spans="1:19" ht="15" customHeight="1" x14ac:dyDescent="0.3">
      <c r="A142" s="19" t="str">
        <f>IFERROR(TRIM(tblCustomers[[#This Row],[CustomerID]]),"")</f>
        <v>C0140</v>
      </c>
      <c r="B142" s="19" t="str">
        <f>IFERROR(PROPER(TRIM(tblCustomers[[#This Row],[Name]])),"")</f>
        <v>Sunita Joshi</v>
      </c>
      <c r="C142" s="19" t="str">
        <f>IFERROR(PROPER(TRIM(tblCustomers[[#This Row],[Gender]])),"")</f>
        <v>Female</v>
      </c>
      <c r="D142" s="19">
        <f>IFERROR(tblCustomers[[#This Row],[Age]],"")</f>
        <v>31</v>
      </c>
      <c r="E142" s="19" t="str">
        <f>IFERROR(PROPER(TRIM(tblCustomers[[#This Row],[City/Region]])),"")</f>
        <v>Pune</v>
      </c>
      <c r="F142" s="19">
        <f>IFERROR(tblCustomers[[#This Row],[IncomeRange]],"")</f>
        <v>34837</v>
      </c>
      <c r="G142" s="19" t="str">
        <f>IFERROR(PROPER(TRIM(tblCustomers[[#This Row],[Occupation]])),"")</f>
        <v>Marketing Manager</v>
      </c>
      <c r="H142" s="20">
        <f>IFERROR(tblCustomers[[#This Row],[JoinDate]],"")</f>
        <v>45301</v>
      </c>
      <c r="I142" s="19" t="str">
        <f>IFERROR(PROPER(TRIM(tblCustomers[[#This Row],[PurchaseChannel]])),"")</f>
        <v>Offline</v>
      </c>
      <c r="J142" s="19" t="str">
        <f>IFERROR(PROPER(TRIM(tblCustomers[[#This Row],[CustomerType]])),"")</f>
        <v>Returning</v>
      </c>
      <c r="K142" s="19" t="str">
        <f>IFERROR(PROPER(TRIM(tblCustomers[[#This Row],[EngagementLevel]])),"")</f>
        <v>Medium</v>
      </c>
      <c r="L142" s="19" t="str">
        <f>IFERROR(PROPER(TRIM(tblCustomers[[#This Row],[DiscountSensitivity]])),"")</f>
        <v>Low</v>
      </c>
      <c r="M142" s="20">
        <f>IFERROR(tblCustomers[[#This Row],[LastPurchaseDate]],"")</f>
        <v>45853</v>
      </c>
      <c r="N142" s="19" t="str">
        <f>IFERROR(IF(tblCustomers[[#This Row],[Age]]&lt;25,"&lt;25",IF(tblCustomers[[#This Row],[Age]]&lt;40,"25-39",IF(tblCustomers[[#This Row],[Age]]&lt;55,"40-54","55+"))),"N/A")</f>
        <v>25-39</v>
      </c>
      <c r="O142" s="19" t="str">
        <f>IFERROR(IF(tblCustomers[[#This Row],[IncomeRange]]&lt;25000,"Low",IF(tblCustomers[[#This Row],[IncomeRange]]&lt;75000,"Mid","High")),"N/A")</f>
        <v>Mid</v>
      </c>
      <c r="P142" s="19" t="str">
        <f>IFERROR(TEXT(tblCustomers[[#This Row],[JoinDate]],"DDDD"),"")</f>
        <v>Wednesday</v>
      </c>
      <c r="Q142" s="21" t="b">
        <f>IFERROR(IF(WEEKDAY(tblCustomers[[#This Row],[JoinDate]],2)&gt;=6,TRUE(),FALSE()),FALSE())</f>
        <v>0</v>
      </c>
      <c r="R142" s="19">
        <f ca="1">IFERROR(DATEDIF(tblCustomers[[#This Row],[JoinDate]],TODAY(),"M"),0)</f>
        <v>27</v>
      </c>
      <c r="S142" s="19" t="str">
        <f>IFERROR(IF(AND(tblCustomers[[#This Row],[Age]]&gt;=18,tblCustomers[[#This Row],[IncomeRange]]&gt;0,tblCustomers[[#This Row],[CustomerID]]&lt;&gt;""),"OK","CHECK"),"CHECK")</f>
        <v>OK</v>
      </c>
    </row>
    <row r="143" spans="1:19" ht="15" customHeight="1" x14ac:dyDescent="0.3">
      <c r="A143" s="16" t="str">
        <f>IFERROR(TRIM(tblCustomers[[#This Row],[CustomerID]]),"")</f>
        <v>C0141</v>
      </c>
      <c r="B143" s="16" t="str">
        <f>IFERROR(PROPER(TRIM(tblCustomers[[#This Row],[Name]])),"")</f>
        <v>Kunal Nair</v>
      </c>
      <c r="C143" s="16" t="str">
        <f>IFERROR(PROPER(TRIM(tblCustomers[[#This Row],[Gender]])),"")</f>
        <v>Male</v>
      </c>
      <c r="D143" s="16">
        <f>IFERROR(tblCustomers[[#This Row],[Age]],"")</f>
        <v>58</v>
      </c>
      <c r="E143" s="16" t="str">
        <f>IFERROR(PROPER(TRIM(tblCustomers[[#This Row],[City/Region]])),"")</f>
        <v>Bhopal</v>
      </c>
      <c r="F143" s="16">
        <f>IFERROR(tblCustomers[[#This Row],[IncomeRange]],"")</f>
        <v>143037</v>
      </c>
      <c r="G143" s="16" t="str">
        <f>IFERROR(PROPER(TRIM(tblCustomers[[#This Row],[Occupation]])),"")</f>
        <v>Software Engineer</v>
      </c>
      <c r="H143" s="17">
        <f>IFERROR(tblCustomers[[#This Row],[JoinDate]],"")</f>
        <v>45358</v>
      </c>
      <c r="I143" s="16" t="str">
        <f>IFERROR(PROPER(TRIM(tblCustomers[[#This Row],[PurchaseChannel]])),"")</f>
        <v>Offline</v>
      </c>
      <c r="J143" s="16" t="str">
        <f>IFERROR(PROPER(TRIM(tblCustomers[[#This Row],[CustomerType]])),"")</f>
        <v>Returning</v>
      </c>
      <c r="K143" s="16" t="str">
        <f>IFERROR(PROPER(TRIM(tblCustomers[[#This Row],[EngagementLevel]])),"")</f>
        <v>Medium</v>
      </c>
      <c r="L143" s="16" t="str">
        <f>IFERROR(PROPER(TRIM(tblCustomers[[#This Row],[DiscountSensitivity]])),"")</f>
        <v>High</v>
      </c>
      <c r="M143" s="17">
        <f>IFERROR(tblCustomers[[#This Row],[LastPurchaseDate]],"")</f>
        <v>46027</v>
      </c>
      <c r="N143" s="16" t="str">
        <f>IFERROR(IF(tblCustomers[[#This Row],[Age]]&lt;25,"&lt;25",IF(tblCustomers[[#This Row],[Age]]&lt;40,"25-39",IF(tblCustomers[[#This Row],[Age]]&lt;55,"40-54","55+"))),"N/A")</f>
        <v>55+</v>
      </c>
      <c r="O143" s="16" t="str">
        <f>IFERROR(IF(tblCustomers[[#This Row],[IncomeRange]]&lt;25000,"Low",IF(tblCustomers[[#This Row],[IncomeRange]]&lt;75000,"Mid","High")),"N/A")</f>
        <v>High</v>
      </c>
      <c r="P143" s="16" t="str">
        <f>IFERROR(TEXT(tblCustomers[[#This Row],[JoinDate]],"DDDD"),"")</f>
        <v>Thursday</v>
      </c>
      <c r="Q143" s="18" t="b">
        <f>IFERROR(IF(WEEKDAY(tblCustomers[[#This Row],[JoinDate]],2)&gt;=6,TRUE(),FALSE()),FALSE())</f>
        <v>0</v>
      </c>
      <c r="R143" s="16">
        <f ca="1">IFERROR(DATEDIF(tblCustomers[[#This Row],[JoinDate]],TODAY(),"M"),0)</f>
        <v>25</v>
      </c>
      <c r="S143" s="16" t="str">
        <f>IFERROR(IF(AND(tblCustomers[[#This Row],[Age]]&gt;=18,tblCustomers[[#This Row],[IncomeRange]]&gt;0,tblCustomers[[#This Row],[CustomerID]]&lt;&gt;""),"OK","CHECK"),"CHECK")</f>
        <v>OK</v>
      </c>
    </row>
    <row r="144" spans="1:19" ht="15" customHeight="1" x14ac:dyDescent="0.3">
      <c r="A144" s="19" t="str">
        <f>IFERROR(TRIM(tblCustomers[[#This Row],[CustomerID]]),"")</f>
        <v>C0142</v>
      </c>
      <c r="B144" s="19" t="str">
        <f>IFERROR(PROPER(TRIM(tblCustomers[[#This Row],[Name]])),"")</f>
        <v>Geeta Sharma</v>
      </c>
      <c r="C144" s="19" t="str">
        <f>IFERROR(PROPER(TRIM(tblCustomers[[#This Row],[Gender]])),"")</f>
        <v>Female</v>
      </c>
      <c r="D144" s="19">
        <f>IFERROR(tblCustomers[[#This Row],[Age]],"")</f>
        <v>49</v>
      </c>
      <c r="E144" s="19" t="str">
        <f>IFERROR(PROPER(TRIM(tblCustomers[[#This Row],[City/Region]])),"")</f>
        <v>Patna</v>
      </c>
      <c r="F144" s="19">
        <f>IFERROR(tblCustomers[[#This Row],[IncomeRange]],"")</f>
        <v>25608</v>
      </c>
      <c r="G144" s="19" t="str">
        <f>IFERROR(PROPER(TRIM(tblCustomers[[#This Row],[Occupation]])),"")</f>
        <v>Marketing Manager</v>
      </c>
      <c r="H144" s="20">
        <f>IFERROR(tblCustomers[[#This Row],[JoinDate]],"")</f>
        <v>45374</v>
      </c>
      <c r="I144" s="19" t="str">
        <f>IFERROR(PROPER(TRIM(tblCustomers[[#This Row],[PurchaseChannel]])),"")</f>
        <v>Offline</v>
      </c>
      <c r="J144" s="19" t="str">
        <f>IFERROR(PROPER(TRIM(tblCustomers[[#This Row],[CustomerType]])),"")</f>
        <v>New</v>
      </c>
      <c r="K144" s="19" t="str">
        <f>IFERROR(PROPER(TRIM(tblCustomers[[#This Row],[EngagementLevel]])),"")</f>
        <v>Medium</v>
      </c>
      <c r="L144" s="19" t="str">
        <f>IFERROR(PROPER(TRIM(tblCustomers[[#This Row],[DiscountSensitivity]])),"")</f>
        <v>Low</v>
      </c>
      <c r="M144" s="20">
        <f>IFERROR(tblCustomers[[#This Row],[LastPurchaseDate]],"")</f>
        <v>46066</v>
      </c>
      <c r="N144" s="19" t="str">
        <f>IFERROR(IF(tblCustomers[[#This Row],[Age]]&lt;25,"&lt;25",IF(tblCustomers[[#This Row],[Age]]&lt;40,"25-39",IF(tblCustomers[[#This Row],[Age]]&lt;55,"40-54","55+"))),"N/A")</f>
        <v>40-54</v>
      </c>
      <c r="O144" s="19" t="str">
        <f>IFERROR(IF(tblCustomers[[#This Row],[IncomeRange]]&lt;25000,"Low",IF(tblCustomers[[#This Row],[IncomeRange]]&lt;75000,"Mid","High")),"N/A")</f>
        <v>Mid</v>
      </c>
      <c r="P144" s="19" t="str">
        <f>IFERROR(TEXT(tblCustomers[[#This Row],[JoinDate]],"DDDD"),"")</f>
        <v>Saturday</v>
      </c>
      <c r="Q144" s="21" t="b">
        <f>IFERROR(IF(WEEKDAY(tblCustomers[[#This Row],[JoinDate]],2)&gt;=6,TRUE(),FALSE()),FALSE())</f>
        <v>1</v>
      </c>
      <c r="R144" s="19">
        <f ca="1">IFERROR(DATEDIF(tblCustomers[[#This Row],[JoinDate]],TODAY(),"M"),0)</f>
        <v>24</v>
      </c>
      <c r="S144" s="19" t="str">
        <f>IFERROR(IF(AND(tblCustomers[[#This Row],[Age]]&gt;=18,tblCustomers[[#This Row],[IncomeRange]]&gt;0,tblCustomers[[#This Row],[CustomerID]]&lt;&gt;""),"OK","CHECK"),"CHECK")</f>
        <v>OK</v>
      </c>
    </row>
    <row r="145" spans="1:19" ht="15" customHeight="1" x14ac:dyDescent="0.3">
      <c r="A145" s="16" t="str">
        <f>IFERROR(TRIM(tblCustomers[[#This Row],[CustomerID]]),"")</f>
        <v>C0143</v>
      </c>
      <c r="B145" s="16" t="str">
        <f>IFERROR(PROPER(TRIM(tblCustomers[[#This Row],[Name]])),"")</f>
        <v>Deepak Mehta</v>
      </c>
      <c r="C145" s="16" t="str">
        <f>IFERROR(PROPER(TRIM(tblCustomers[[#This Row],[Gender]])),"")</f>
        <v>Male</v>
      </c>
      <c r="D145" s="16">
        <f>IFERROR(tblCustomers[[#This Row],[Age]],"")</f>
        <v>27</v>
      </c>
      <c r="E145" s="16" t="str">
        <f>IFERROR(PROPER(TRIM(tblCustomers[[#This Row],[City/Region]])),"")</f>
        <v>Surat</v>
      </c>
      <c r="F145" s="16">
        <f>IFERROR(tblCustomers[[#This Row],[IncomeRange]],"")</f>
        <v>53572</v>
      </c>
      <c r="G145" s="16" t="str">
        <f>IFERROR(PROPER(TRIM(tblCustomers[[#This Row],[Occupation]])),"")</f>
        <v>Nurse</v>
      </c>
      <c r="H145" s="17">
        <f>IFERROR(tblCustomers[[#This Row],[JoinDate]],"")</f>
        <v>45246</v>
      </c>
      <c r="I145" s="16" t="str">
        <f>IFERROR(PROPER(TRIM(tblCustomers[[#This Row],[PurchaseChannel]])),"")</f>
        <v>Online</v>
      </c>
      <c r="J145" s="16" t="str">
        <f>IFERROR(PROPER(TRIM(tblCustomers[[#This Row],[CustomerType]])),"")</f>
        <v>New</v>
      </c>
      <c r="K145" s="16" t="str">
        <f>IFERROR(PROPER(TRIM(tblCustomers[[#This Row],[EngagementLevel]])),"")</f>
        <v>Medium</v>
      </c>
      <c r="L145" s="16" t="str">
        <f>IFERROR(PROPER(TRIM(tblCustomers[[#This Row],[DiscountSensitivity]])),"")</f>
        <v>Medium</v>
      </c>
      <c r="M145" s="17">
        <f>IFERROR(tblCustomers[[#This Row],[LastPurchaseDate]],"")</f>
        <v>45915</v>
      </c>
      <c r="N145" s="16" t="str">
        <f>IFERROR(IF(tblCustomers[[#This Row],[Age]]&lt;25,"&lt;25",IF(tblCustomers[[#This Row],[Age]]&lt;40,"25-39",IF(tblCustomers[[#This Row],[Age]]&lt;55,"40-54","55+"))),"N/A")</f>
        <v>25-39</v>
      </c>
      <c r="O145" s="16" t="str">
        <f>IFERROR(IF(tblCustomers[[#This Row],[IncomeRange]]&lt;25000,"Low",IF(tblCustomers[[#This Row],[IncomeRange]]&lt;75000,"Mid","High")),"N/A")</f>
        <v>Mid</v>
      </c>
      <c r="P145" s="16" t="str">
        <f>IFERROR(TEXT(tblCustomers[[#This Row],[JoinDate]],"DDDD"),"")</f>
        <v>Thursday</v>
      </c>
      <c r="Q145" s="18" t="b">
        <f>IFERROR(IF(WEEKDAY(tblCustomers[[#This Row],[JoinDate]],2)&gt;=6,TRUE(),FALSE()),FALSE())</f>
        <v>0</v>
      </c>
      <c r="R145" s="16">
        <f ca="1">IFERROR(DATEDIF(tblCustomers[[#This Row],[JoinDate]],TODAY(),"M"),0)</f>
        <v>28</v>
      </c>
      <c r="S145" s="16" t="str">
        <f>IFERROR(IF(AND(tblCustomers[[#This Row],[Age]]&gt;=18,tblCustomers[[#This Row],[IncomeRange]]&gt;0,tblCustomers[[#This Row],[CustomerID]]&lt;&gt;""),"OK","CHECK"),"CHECK")</f>
        <v>OK</v>
      </c>
    </row>
    <row r="146" spans="1:19" ht="15" customHeight="1" x14ac:dyDescent="0.3">
      <c r="A146" s="19" t="str">
        <f>IFERROR(TRIM(tblCustomers[[#This Row],[CustomerID]]),"")</f>
        <v>C0144</v>
      </c>
      <c r="B146" s="19" t="str">
        <f>IFERROR(PROPER(TRIM(tblCustomers[[#This Row],[Name]])),"")</f>
        <v>Pooja Patel</v>
      </c>
      <c r="C146" s="19" t="str">
        <f>IFERROR(PROPER(TRIM(tblCustomers[[#This Row],[Gender]])),"")</f>
        <v>Female</v>
      </c>
      <c r="D146" s="19">
        <f>IFERROR(tblCustomers[[#This Row],[Age]],"")</f>
        <v>39</v>
      </c>
      <c r="E146" s="19" t="str">
        <f>IFERROR(PROPER(TRIM(tblCustomers[[#This Row],[City/Region]])),"")</f>
        <v>Surat</v>
      </c>
      <c r="F146" s="19">
        <f>IFERROR(tblCustomers[[#This Row],[IncomeRange]],"")</f>
        <v>84131</v>
      </c>
      <c r="G146" s="19" t="str">
        <f>IFERROR(PROPER(TRIM(tblCustomers[[#This Row],[Occupation]])),"")</f>
        <v>Nurse</v>
      </c>
      <c r="H146" s="20">
        <f>IFERROR(tblCustomers[[#This Row],[JoinDate]],"")</f>
        <v>45635</v>
      </c>
      <c r="I146" s="19" t="str">
        <f>IFERROR(PROPER(TRIM(tblCustomers[[#This Row],[PurchaseChannel]])),"")</f>
        <v>Offline</v>
      </c>
      <c r="J146" s="19" t="str">
        <f>IFERROR(PROPER(TRIM(tblCustomers[[#This Row],[CustomerType]])),"")</f>
        <v>New</v>
      </c>
      <c r="K146" s="19" t="str">
        <f>IFERROR(PROPER(TRIM(tblCustomers[[#This Row],[EngagementLevel]])),"")</f>
        <v>High</v>
      </c>
      <c r="L146" s="19" t="str">
        <f>IFERROR(PROPER(TRIM(tblCustomers[[#This Row],[DiscountSensitivity]])),"")</f>
        <v>High</v>
      </c>
      <c r="M146" s="20">
        <f>IFERROR(tblCustomers[[#This Row],[LastPurchaseDate]],"")</f>
        <v>45774</v>
      </c>
      <c r="N146" s="19" t="str">
        <f>IFERROR(IF(tblCustomers[[#This Row],[Age]]&lt;25,"&lt;25",IF(tblCustomers[[#This Row],[Age]]&lt;40,"25-39",IF(tblCustomers[[#This Row],[Age]]&lt;55,"40-54","55+"))),"N/A")</f>
        <v>25-39</v>
      </c>
      <c r="O146" s="19" t="str">
        <f>IFERROR(IF(tblCustomers[[#This Row],[IncomeRange]]&lt;25000,"Low",IF(tblCustomers[[#This Row],[IncomeRange]]&lt;75000,"Mid","High")),"N/A")</f>
        <v>High</v>
      </c>
      <c r="P146" s="19" t="str">
        <f>IFERROR(TEXT(tblCustomers[[#This Row],[JoinDate]],"DDDD"),"")</f>
        <v>Monday</v>
      </c>
      <c r="Q146" s="21" t="b">
        <f>IFERROR(IF(WEEKDAY(tblCustomers[[#This Row],[JoinDate]],2)&gt;=6,TRUE(),FALSE()),FALSE())</f>
        <v>0</v>
      </c>
      <c r="R146" s="19">
        <f ca="1">IFERROR(DATEDIF(tblCustomers[[#This Row],[JoinDate]],TODAY(),"M"),0)</f>
        <v>16</v>
      </c>
      <c r="S146" s="19" t="str">
        <f>IFERROR(IF(AND(tblCustomers[[#This Row],[Age]]&gt;=18,tblCustomers[[#This Row],[IncomeRange]]&gt;0,tblCustomers[[#This Row],[CustomerID]]&lt;&gt;""),"OK","CHECK"),"CHECK")</f>
        <v>OK</v>
      </c>
    </row>
    <row r="147" spans="1:19" ht="15" customHeight="1" x14ac:dyDescent="0.3">
      <c r="A147" s="16" t="str">
        <f>IFERROR(TRIM(tblCustomers[[#This Row],[CustomerID]]),"")</f>
        <v>C0145</v>
      </c>
      <c r="B147" s="16" t="str">
        <f>IFERROR(PROPER(TRIM(tblCustomers[[#This Row],[Name]])),"")</f>
        <v>Amit Nair</v>
      </c>
      <c r="C147" s="16" t="str">
        <f>IFERROR(PROPER(TRIM(tblCustomers[[#This Row],[Gender]])),"")</f>
        <v>Male</v>
      </c>
      <c r="D147" s="16">
        <f>IFERROR(tblCustomers[[#This Row],[Age]],"")</f>
        <v>23</v>
      </c>
      <c r="E147" s="16" t="str">
        <f>IFERROR(PROPER(TRIM(tblCustomers[[#This Row],[City/Region]])),"")</f>
        <v>Ahmedabad</v>
      </c>
      <c r="F147" s="16">
        <f>IFERROR(tblCustomers[[#This Row],[IncomeRange]],"")</f>
        <v>70261</v>
      </c>
      <c r="G147" s="16" t="str">
        <f>IFERROR(PROPER(TRIM(tblCustomers[[#This Row],[Occupation]])),"")</f>
        <v>Nurse</v>
      </c>
      <c r="H147" s="17">
        <f>IFERROR(tblCustomers[[#This Row],[JoinDate]],"")</f>
        <v>45698</v>
      </c>
      <c r="I147" s="16" t="str">
        <f>IFERROR(PROPER(TRIM(tblCustomers[[#This Row],[PurchaseChannel]])),"")</f>
        <v>Online</v>
      </c>
      <c r="J147" s="16" t="str">
        <f>IFERROR(PROPER(TRIM(tblCustomers[[#This Row],[CustomerType]])),"")</f>
        <v>New</v>
      </c>
      <c r="K147" s="16" t="str">
        <f>IFERROR(PROPER(TRIM(tblCustomers[[#This Row],[EngagementLevel]])),"")</f>
        <v>Low</v>
      </c>
      <c r="L147" s="16" t="str">
        <f>IFERROR(PROPER(TRIM(tblCustomers[[#This Row],[DiscountSensitivity]])),"")</f>
        <v>Medium</v>
      </c>
      <c r="M147" s="17">
        <f>IFERROR(tblCustomers[[#This Row],[LastPurchaseDate]],"")</f>
        <v>46090</v>
      </c>
      <c r="N147" s="16" t="str">
        <f>IFERROR(IF(tblCustomers[[#This Row],[Age]]&lt;25,"&lt;25",IF(tblCustomers[[#This Row],[Age]]&lt;40,"25-39",IF(tblCustomers[[#This Row],[Age]]&lt;55,"40-54","55+"))),"N/A")</f>
        <v>&lt;25</v>
      </c>
      <c r="O147" s="16" t="str">
        <f>IFERROR(IF(tblCustomers[[#This Row],[IncomeRange]]&lt;25000,"Low",IF(tblCustomers[[#This Row],[IncomeRange]]&lt;75000,"Mid","High")),"N/A")</f>
        <v>Mid</v>
      </c>
      <c r="P147" s="16" t="str">
        <f>IFERROR(TEXT(tblCustomers[[#This Row],[JoinDate]],"DDDD"),"")</f>
        <v>Monday</v>
      </c>
      <c r="Q147" s="18" t="b">
        <f>IFERROR(IF(WEEKDAY(tblCustomers[[#This Row],[JoinDate]],2)&gt;=6,TRUE(),FALSE()),FALSE())</f>
        <v>0</v>
      </c>
      <c r="R147" s="16">
        <f ca="1">IFERROR(DATEDIF(tblCustomers[[#This Row],[JoinDate]],TODAY(),"M"),0)</f>
        <v>14</v>
      </c>
      <c r="S147" s="16" t="str">
        <f>IFERROR(IF(AND(tblCustomers[[#This Row],[Age]]&gt;=18,tblCustomers[[#This Row],[IncomeRange]]&gt;0,tblCustomers[[#This Row],[CustomerID]]&lt;&gt;""),"OK","CHECK"),"CHECK")</f>
        <v>OK</v>
      </c>
    </row>
    <row r="148" spans="1:19" ht="15" customHeight="1" x14ac:dyDescent="0.3">
      <c r="A148" s="19" t="str">
        <f>IFERROR(TRIM(tblCustomers[[#This Row],[CustomerID]]),"")</f>
        <v>C0146</v>
      </c>
      <c r="B148" s="19" t="str">
        <f>IFERROR(PROPER(TRIM(tblCustomers[[#This Row],[Name]])),"")</f>
        <v>Rekha Kumar</v>
      </c>
      <c r="C148" s="19" t="str">
        <f>IFERROR(PROPER(TRIM(tblCustomers[[#This Row],[Gender]])),"")</f>
        <v>Female</v>
      </c>
      <c r="D148" s="19">
        <f>IFERROR(tblCustomers[[#This Row],[Age]],"")</f>
        <v>45</v>
      </c>
      <c r="E148" s="19" t="str">
        <f>IFERROR(PROPER(TRIM(tblCustomers[[#This Row],[City/Region]])),"")</f>
        <v>Kolkata</v>
      </c>
      <c r="F148" s="19">
        <f>IFERROR(tblCustomers[[#This Row],[IncomeRange]],"")</f>
        <v>48024</v>
      </c>
      <c r="G148" s="19" t="str">
        <f>IFERROR(PROPER(TRIM(tblCustomers[[#This Row],[Occupation]])),"")</f>
        <v>Consultant</v>
      </c>
      <c r="H148" s="20">
        <f>IFERROR(tblCustomers[[#This Row],[JoinDate]],"")</f>
        <v>44880</v>
      </c>
      <c r="I148" s="19" t="str">
        <f>IFERROR(PROPER(TRIM(tblCustomers[[#This Row],[PurchaseChannel]])),"")</f>
        <v>Online</v>
      </c>
      <c r="J148" s="19" t="str">
        <f>IFERROR(PROPER(TRIM(tblCustomers[[#This Row],[CustomerType]])),"")</f>
        <v>Returning</v>
      </c>
      <c r="K148" s="19" t="str">
        <f>IFERROR(PROPER(TRIM(tblCustomers[[#This Row],[EngagementLevel]])),"")</f>
        <v>Low</v>
      </c>
      <c r="L148" s="19" t="str">
        <f>IFERROR(PROPER(TRIM(tblCustomers[[#This Row],[DiscountSensitivity]])),"")</f>
        <v>High</v>
      </c>
      <c r="M148" s="20">
        <f>IFERROR(tblCustomers[[#This Row],[LastPurchaseDate]],"")</f>
        <v>45761</v>
      </c>
      <c r="N148" s="19" t="str">
        <f>IFERROR(IF(tblCustomers[[#This Row],[Age]]&lt;25,"&lt;25",IF(tblCustomers[[#This Row],[Age]]&lt;40,"25-39",IF(tblCustomers[[#This Row],[Age]]&lt;55,"40-54","55+"))),"N/A")</f>
        <v>40-54</v>
      </c>
      <c r="O148" s="19" t="str">
        <f>IFERROR(IF(tblCustomers[[#This Row],[IncomeRange]]&lt;25000,"Low",IF(tblCustomers[[#This Row],[IncomeRange]]&lt;75000,"Mid","High")),"N/A")</f>
        <v>Mid</v>
      </c>
      <c r="P148" s="19" t="str">
        <f>IFERROR(TEXT(tblCustomers[[#This Row],[JoinDate]],"DDDD"),"")</f>
        <v>Tuesday</v>
      </c>
      <c r="Q148" s="21" t="b">
        <f>IFERROR(IF(WEEKDAY(tblCustomers[[#This Row],[JoinDate]],2)&gt;=6,TRUE(),FALSE()),FALSE())</f>
        <v>0</v>
      </c>
      <c r="R148" s="19">
        <f ca="1">IFERROR(DATEDIF(tblCustomers[[#This Row],[JoinDate]],TODAY(),"M"),0)</f>
        <v>40</v>
      </c>
      <c r="S148" s="19" t="str">
        <f>IFERROR(IF(AND(tblCustomers[[#This Row],[Age]]&gt;=18,tblCustomers[[#This Row],[IncomeRange]]&gt;0,tblCustomers[[#This Row],[CustomerID]]&lt;&gt;""),"OK","CHECK"),"CHECK")</f>
        <v>OK</v>
      </c>
    </row>
    <row r="149" spans="1:19" ht="15" customHeight="1" x14ac:dyDescent="0.3">
      <c r="A149" s="16" t="str">
        <f>IFERROR(TRIM(tblCustomers[[#This Row],[CustomerID]]),"")</f>
        <v>C0147</v>
      </c>
      <c r="B149" s="16" t="str">
        <f>IFERROR(PROPER(TRIM(tblCustomers[[#This Row],[Name]])),"")</f>
        <v>Meena Rao</v>
      </c>
      <c r="C149" s="16" t="str">
        <f>IFERROR(PROPER(TRIM(tblCustomers[[#This Row],[Gender]])),"")</f>
        <v>Female</v>
      </c>
      <c r="D149" s="16">
        <f>IFERROR(tblCustomers[[#This Row],[Age]],"")</f>
        <v>47</v>
      </c>
      <c r="E149" s="16" t="str">
        <f>IFERROR(PROPER(TRIM(tblCustomers[[#This Row],[City/Region]])),"")</f>
        <v>Pune</v>
      </c>
      <c r="F149" s="16">
        <f>IFERROR(tblCustomers[[#This Row],[IncomeRange]],"")</f>
        <v>37922</v>
      </c>
      <c r="G149" s="16" t="str">
        <f>IFERROR(PROPER(TRIM(tblCustomers[[#This Row],[Occupation]])),"")</f>
        <v>Accountant</v>
      </c>
      <c r="H149" s="17">
        <f>IFERROR(tblCustomers[[#This Row],[JoinDate]],"")</f>
        <v>45011</v>
      </c>
      <c r="I149" s="16" t="str">
        <f>IFERROR(PROPER(TRIM(tblCustomers[[#This Row],[PurchaseChannel]])),"")</f>
        <v>Online</v>
      </c>
      <c r="J149" s="16" t="str">
        <f>IFERROR(PROPER(TRIM(tblCustomers[[#This Row],[CustomerType]])),"")</f>
        <v>New</v>
      </c>
      <c r="K149" s="16" t="str">
        <f>IFERROR(PROPER(TRIM(tblCustomers[[#This Row],[EngagementLevel]])),"")</f>
        <v>High</v>
      </c>
      <c r="L149" s="16" t="str">
        <f>IFERROR(PROPER(TRIM(tblCustomers[[#This Row],[DiscountSensitivity]])),"")</f>
        <v>Medium</v>
      </c>
      <c r="M149" s="17">
        <f>IFERROR(tblCustomers[[#This Row],[LastPurchaseDate]],"")</f>
        <v>46098</v>
      </c>
      <c r="N149" s="16" t="str">
        <f>IFERROR(IF(tblCustomers[[#This Row],[Age]]&lt;25,"&lt;25",IF(tblCustomers[[#This Row],[Age]]&lt;40,"25-39",IF(tblCustomers[[#This Row],[Age]]&lt;55,"40-54","55+"))),"N/A")</f>
        <v>40-54</v>
      </c>
      <c r="O149" s="16" t="str">
        <f>IFERROR(IF(tblCustomers[[#This Row],[IncomeRange]]&lt;25000,"Low",IF(tblCustomers[[#This Row],[IncomeRange]]&lt;75000,"Mid","High")),"N/A")</f>
        <v>Mid</v>
      </c>
      <c r="P149" s="16" t="str">
        <f>IFERROR(TEXT(tblCustomers[[#This Row],[JoinDate]],"DDDD"),"")</f>
        <v>Sunday</v>
      </c>
      <c r="Q149" s="18" t="b">
        <f>IFERROR(IF(WEEKDAY(tblCustomers[[#This Row],[JoinDate]],2)&gt;=6,TRUE(),FALSE()),FALSE())</f>
        <v>1</v>
      </c>
      <c r="R149" s="16">
        <f ca="1">IFERROR(DATEDIF(tblCustomers[[#This Row],[JoinDate]],TODAY(),"M"),0)</f>
        <v>36</v>
      </c>
      <c r="S149" s="16" t="str">
        <f>IFERROR(IF(AND(tblCustomers[[#This Row],[Age]]&gt;=18,tblCustomers[[#This Row],[IncomeRange]]&gt;0,tblCustomers[[#This Row],[CustomerID]]&lt;&gt;""),"OK","CHECK"),"CHECK")</f>
        <v>OK</v>
      </c>
    </row>
    <row r="150" spans="1:19" ht="15" customHeight="1" x14ac:dyDescent="0.3">
      <c r="A150" s="19" t="str">
        <f>IFERROR(TRIM(tblCustomers[[#This Row],[CustomerID]]),"")</f>
        <v>C0148</v>
      </c>
      <c r="B150" s="19" t="str">
        <f>IFERROR(PROPER(TRIM(tblCustomers[[#This Row],[Name]])),"")</f>
        <v>Amit Joshi</v>
      </c>
      <c r="C150" s="19" t="str">
        <f>IFERROR(PROPER(TRIM(tblCustomers[[#This Row],[Gender]])),"")</f>
        <v>Male</v>
      </c>
      <c r="D150" s="19">
        <f>IFERROR(tblCustomers[[#This Row],[Age]],"")</f>
        <v>44</v>
      </c>
      <c r="E150" s="19" t="str">
        <f>IFERROR(PROPER(TRIM(tblCustomers[[#This Row],[City/Region]])),"")</f>
        <v>Chandigarh</v>
      </c>
      <c r="F150" s="19">
        <f>IFERROR(tblCustomers[[#This Row],[IncomeRange]],"")</f>
        <v>130296</v>
      </c>
      <c r="G150" s="19" t="str">
        <f>IFERROR(PROPER(TRIM(tblCustomers[[#This Row],[Occupation]])),"")</f>
        <v>Data Analyst</v>
      </c>
      <c r="H150" s="20">
        <f>IFERROR(tblCustomers[[#This Row],[JoinDate]],"")</f>
        <v>45339</v>
      </c>
      <c r="I150" s="19" t="str">
        <f>IFERROR(PROPER(TRIM(tblCustomers[[#This Row],[PurchaseChannel]])),"")</f>
        <v>Online</v>
      </c>
      <c r="J150" s="19" t="str">
        <f>IFERROR(PROPER(TRIM(tblCustomers[[#This Row],[CustomerType]])),"")</f>
        <v>Returning</v>
      </c>
      <c r="K150" s="19" t="str">
        <f>IFERROR(PROPER(TRIM(tblCustomers[[#This Row],[EngagementLevel]])),"")</f>
        <v>Low</v>
      </c>
      <c r="L150" s="19" t="str">
        <f>IFERROR(PROPER(TRIM(tblCustomers[[#This Row],[DiscountSensitivity]])),"")</f>
        <v>Medium</v>
      </c>
      <c r="M150" s="20">
        <f>IFERROR(tblCustomers[[#This Row],[LastPurchaseDate]],"")</f>
        <v>45998</v>
      </c>
      <c r="N150" s="19" t="str">
        <f>IFERROR(IF(tblCustomers[[#This Row],[Age]]&lt;25,"&lt;25",IF(tblCustomers[[#This Row],[Age]]&lt;40,"25-39",IF(tblCustomers[[#This Row],[Age]]&lt;55,"40-54","55+"))),"N/A")</f>
        <v>40-54</v>
      </c>
      <c r="O150" s="19" t="str">
        <f>IFERROR(IF(tblCustomers[[#This Row],[IncomeRange]]&lt;25000,"Low",IF(tblCustomers[[#This Row],[IncomeRange]]&lt;75000,"Mid","High")),"N/A")</f>
        <v>High</v>
      </c>
      <c r="P150" s="19" t="str">
        <f>IFERROR(TEXT(tblCustomers[[#This Row],[JoinDate]],"DDDD"),"")</f>
        <v>Saturday</v>
      </c>
      <c r="Q150" s="21" t="b">
        <f>IFERROR(IF(WEEKDAY(tblCustomers[[#This Row],[JoinDate]],2)&gt;=6,TRUE(),FALSE()),FALSE())</f>
        <v>1</v>
      </c>
      <c r="R150" s="19">
        <f ca="1">IFERROR(DATEDIF(tblCustomers[[#This Row],[JoinDate]],TODAY(),"M"),0)</f>
        <v>25</v>
      </c>
      <c r="S150" s="19" t="str">
        <f>IFERROR(IF(AND(tblCustomers[[#This Row],[Age]]&gt;=18,tblCustomers[[#This Row],[IncomeRange]]&gt;0,tblCustomers[[#This Row],[CustomerID]]&lt;&gt;""),"OK","CHECK"),"CHECK")</f>
        <v>OK</v>
      </c>
    </row>
    <row r="151" spans="1:19" ht="15" customHeight="1" x14ac:dyDescent="0.3">
      <c r="A151" s="16" t="str">
        <f>IFERROR(TRIM(tblCustomers[[#This Row],[CustomerID]]),"")</f>
        <v>C0149</v>
      </c>
      <c r="B151" s="16" t="str">
        <f>IFERROR(PROPER(TRIM(tblCustomers[[#This Row],[Name]])),"")</f>
        <v>Nisha Gupta</v>
      </c>
      <c r="C151" s="16" t="str">
        <f>IFERROR(PROPER(TRIM(tblCustomers[[#This Row],[Gender]])),"")</f>
        <v>Female</v>
      </c>
      <c r="D151" s="16">
        <f>IFERROR(tblCustomers[[#This Row],[Age]],"")</f>
        <v>31</v>
      </c>
      <c r="E151" s="16" t="str">
        <f>IFERROR(PROPER(TRIM(tblCustomers[[#This Row],[City/Region]])),"")</f>
        <v>Surat</v>
      </c>
      <c r="F151" s="16">
        <f>IFERROR(tblCustomers[[#This Row],[IncomeRange]],"")</f>
        <v>64173</v>
      </c>
      <c r="G151" s="16" t="str">
        <f>IFERROR(PROPER(TRIM(tblCustomers[[#This Row],[Occupation]])),"")</f>
        <v>Product Manager</v>
      </c>
      <c r="H151" s="17">
        <f>IFERROR(tblCustomers[[#This Row],[JoinDate]],"")</f>
        <v>45184</v>
      </c>
      <c r="I151" s="16" t="str">
        <f>IFERROR(PROPER(TRIM(tblCustomers[[#This Row],[PurchaseChannel]])),"")</f>
        <v>Offline</v>
      </c>
      <c r="J151" s="16" t="str">
        <f>IFERROR(PROPER(TRIM(tblCustomers[[#This Row],[CustomerType]])),"")</f>
        <v>Returning</v>
      </c>
      <c r="K151" s="16" t="str">
        <f>IFERROR(PROPER(TRIM(tblCustomers[[#This Row],[EngagementLevel]])),"")</f>
        <v>Medium</v>
      </c>
      <c r="L151" s="16" t="str">
        <f>IFERROR(PROPER(TRIM(tblCustomers[[#This Row],[DiscountSensitivity]])),"")</f>
        <v>Medium</v>
      </c>
      <c r="M151" s="17">
        <f>IFERROR(tblCustomers[[#This Row],[LastPurchaseDate]],"")</f>
        <v>46051</v>
      </c>
      <c r="N151" s="16" t="str">
        <f>IFERROR(IF(tblCustomers[[#This Row],[Age]]&lt;25,"&lt;25",IF(tblCustomers[[#This Row],[Age]]&lt;40,"25-39",IF(tblCustomers[[#This Row],[Age]]&lt;55,"40-54","55+"))),"N/A")</f>
        <v>25-39</v>
      </c>
      <c r="O151" s="16" t="str">
        <f>IFERROR(IF(tblCustomers[[#This Row],[IncomeRange]]&lt;25000,"Low",IF(tblCustomers[[#This Row],[IncomeRange]]&lt;75000,"Mid","High")),"N/A")</f>
        <v>Mid</v>
      </c>
      <c r="P151" s="16" t="str">
        <f>IFERROR(TEXT(tblCustomers[[#This Row],[JoinDate]],"DDDD"),"")</f>
        <v>Friday</v>
      </c>
      <c r="Q151" s="18" t="b">
        <f>IFERROR(IF(WEEKDAY(tblCustomers[[#This Row],[JoinDate]],2)&gt;=6,TRUE(),FALSE()),FALSE())</f>
        <v>0</v>
      </c>
      <c r="R151" s="16">
        <f ca="1">IFERROR(DATEDIF(tblCustomers[[#This Row],[JoinDate]],TODAY(),"M"),0)</f>
        <v>30</v>
      </c>
      <c r="S151" s="16" t="str">
        <f>IFERROR(IF(AND(tblCustomers[[#This Row],[Age]]&gt;=18,tblCustomers[[#This Row],[IncomeRange]]&gt;0,tblCustomers[[#This Row],[CustomerID]]&lt;&gt;""),"OK","CHECK"),"CHECK")</f>
        <v>OK</v>
      </c>
    </row>
    <row r="152" spans="1:19" ht="15" customHeight="1" x14ac:dyDescent="0.3">
      <c r="A152" s="19" t="str">
        <f>IFERROR(TRIM(tblCustomers[[#This Row],[CustomerID]]),"")</f>
        <v>C0150</v>
      </c>
      <c r="B152" s="19" t="str">
        <f>IFERROR(PROPER(TRIM(tblCustomers[[#This Row],[Name]])),"")</f>
        <v>Suresh Mehta</v>
      </c>
      <c r="C152" s="19" t="str">
        <f>IFERROR(PROPER(TRIM(tblCustomers[[#This Row],[Gender]])),"")</f>
        <v>Male</v>
      </c>
      <c r="D152" s="19">
        <f>IFERROR(tblCustomers[[#This Row],[Age]],"")</f>
        <v>39</v>
      </c>
      <c r="E152" s="19" t="str">
        <f>IFERROR(PROPER(TRIM(tblCustomers[[#This Row],[City/Region]])),"")</f>
        <v>Nagpur</v>
      </c>
      <c r="F152" s="19">
        <f>IFERROR(tblCustomers[[#This Row],[IncomeRange]],"")</f>
        <v>81927</v>
      </c>
      <c r="G152" s="19" t="str">
        <f>IFERROR(PROPER(TRIM(tblCustomers[[#This Row],[Occupation]])),"")</f>
        <v>Consultant</v>
      </c>
      <c r="H152" s="20">
        <f>IFERROR(tblCustomers[[#This Row],[JoinDate]],"")</f>
        <v>45243</v>
      </c>
      <c r="I152" s="19" t="str">
        <f>IFERROR(PROPER(TRIM(tblCustomers[[#This Row],[PurchaseChannel]])),"")</f>
        <v>Offline</v>
      </c>
      <c r="J152" s="19" t="str">
        <f>IFERROR(PROPER(TRIM(tblCustomers[[#This Row],[CustomerType]])),"")</f>
        <v>Returning</v>
      </c>
      <c r="K152" s="19" t="str">
        <f>IFERROR(PROPER(TRIM(tblCustomers[[#This Row],[EngagementLevel]])),"")</f>
        <v>Low</v>
      </c>
      <c r="L152" s="19" t="str">
        <f>IFERROR(PROPER(TRIM(tblCustomers[[#This Row],[DiscountSensitivity]])),"")</f>
        <v>Medium</v>
      </c>
      <c r="M152" s="20">
        <f>IFERROR(tblCustomers[[#This Row],[LastPurchaseDate]],"")</f>
        <v>45914</v>
      </c>
      <c r="N152" s="19" t="str">
        <f>IFERROR(IF(tblCustomers[[#This Row],[Age]]&lt;25,"&lt;25",IF(tblCustomers[[#This Row],[Age]]&lt;40,"25-39",IF(tblCustomers[[#This Row],[Age]]&lt;55,"40-54","55+"))),"N/A")</f>
        <v>25-39</v>
      </c>
      <c r="O152" s="19" t="str">
        <f>IFERROR(IF(tblCustomers[[#This Row],[IncomeRange]]&lt;25000,"Low",IF(tblCustomers[[#This Row],[IncomeRange]]&lt;75000,"Mid","High")),"N/A")</f>
        <v>High</v>
      </c>
      <c r="P152" s="19" t="str">
        <f>IFERROR(TEXT(tblCustomers[[#This Row],[JoinDate]],"DDDD"),"")</f>
        <v>Monday</v>
      </c>
      <c r="Q152" s="21" t="b">
        <f>IFERROR(IF(WEEKDAY(tblCustomers[[#This Row],[JoinDate]],2)&gt;=6,TRUE(),FALSE()),FALSE())</f>
        <v>0</v>
      </c>
      <c r="R152" s="19">
        <f ca="1">IFERROR(DATEDIF(tblCustomers[[#This Row],[JoinDate]],TODAY(),"M"),0)</f>
        <v>29</v>
      </c>
      <c r="S152" s="19" t="str">
        <f>IFERROR(IF(AND(tblCustomers[[#This Row],[Age]]&gt;=18,tblCustomers[[#This Row],[IncomeRange]]&gt;0,tblCustomers[[#This Row],[CustomerID]]&lt;&gt;""),"OK","CHECK"),"CHECK")</f>
        <v>OK</v>
      </c>
    </row>
    <row r="153" spans="1:19" ht="15" customHeight="1" x14ac:dyDescent="0.3">
      <c r="A153" s="16" t="str">
        <f>IFERROR(TRIM(tblCustomers[[#This Row],[CustomerID]]),"")</f>
        <v>C0151</v>
      </c>
      <c r="B153" s="16" t="str">
        <f>IFERROR(PROPER(TRIM(tblCustomers[[#This Row],[Name]])),"")</f>
        <v>Swati Reddy</v>
      </c>
      <c r="C153" s="16" t="str">
        <f>IFERROR(PROPER(TRIM(tblCustomers[[#This Row],[Gender]])),"")</f>
        <v>Female</v>
      </c>
      <c r="D153" s="16">
        <f>IFERROR(tblCustomers[[#This Row],[Age]],"")</f>
        <v>39</v>
      </c>
      <c r="E153" s="16" t="str">
        <f>IFERROR(PROPER(TRIM(tblCustomers[[#This Row],[City/Region]])),"")</f>
        <v>Coimbatore</v>
      </c>
      <c r="F153" s="16">
        <f>IFERROR(tblCustomers[[#This Row],[IncomeRange]],"")</f>
        <v>90422</v>
      </c>
      <c r="G153" s="16" t="str">
        <f>IFERROR(PROPER(TRIM(tblCustomers[[#This Row],[Occupation]])),"")</f>
        <v>Lawyer</v>
      </c>
      <c r="H153" s="17">
        <f>IFERROR(tblCustomers[[#This Row],[JoinDate]],"")</f>
        <v>45708</v>
      </c>
      <c r="I153" s="16" t="str">
        <f>IFERROR(PROPER(TRIM(tblCustomers[[#This Row],[PurchaseChannel]])),"")</f>
        <v>Online</v>
      </c>
      <c r="J153" s="16" t="str">
        <f>IFERROR(PROPER(TRIM(tblCustomers[[#This Row],[CustomerType]])),"")</f>
        <v>New</v>
      </c>
      <c r="K153" s="16" t="str">
        <f>IFERROR(PROPER(TRIM(tblCustomers[[#This Row],[EngagementLevel]])),"")</f>
        <v>Low</v>
      </c>
      <c r="L153" s="16" t="str">
        <f>IFERROR(PROPER(TRIM(tblCustomers[[#This Row],[DiscountSensitivity]])),"")</f>
        <v>High</v>
      </c>
      <c r="M153" s="17">
        <f>IFERROR(tblCustomers[[#This Row],[LastPurchaseDate]],"")</f>
        <v>45956</v>
      </c>
      <c r="N153" s="16" t="str">
        <f>IFERROR(IF(tblCustomers[[#This Row],[Age]]&lt;25,"&lt;25",IF(tblCustomers[[#This Row],[Age]]&lt;40,"25-39",IF(tblCustomers[[#This Row],[Age]]&lt;55,"40-54","55+"))),"N/A")</f>
        <v>25-39</v>
      </c>
      <c r="O153" s="16" t="str">
        <f>IFERROR(IF(tblCustomers[[#This Row],[IncomeRange]]&lt;25000,"Low",IF(tblCustomers[[#This Row],[IncomeRange]]&lt;75000,"Mid","High")),"N/A")</f>
        <v>High</v>
      </c>
      <c r="P153" s="16" t="str">
        <f>IFERROR(TEXT(tblCustomers[[#This Row],[JoinDate]],"DDDD"),"")</f>
        <v>Thursday</v>
      </c>
      <c r="Q153" s="18" t="b">
        <f>IFERROR(IF(WEEKDAY(tblCustomers[[#This Row],[JoinDate]],2)&gt;=6,TRUE(),FALSE()),FALSE())</f>
        <v>0</v>
      </c>
      <c r="R153" s="16">
        <f ca="1">IFERROR(DATEDIF(tblCustomers[[#This Row],[JoinDate]],TODAY(),"M"),0)</f>
        <v>13</v>
      </c>
      <c r="S153" s="16" t="str">
        <f>IFERROR(IF(AND(tblCustomers[[#This Row],[Age]]&gt;=18,tblCustomers[[#This Row],[IncomeRange]]&gt;0,tblCustomers[[#This Row],[CustomerID]]&lt;&gt;""),"OK","CHECK"),"CHECK")</f>
        <v>OK</v>
      </c>
    </row>
    <row r="154" spans="1:19" ht="15" customHeight="1" x14ac:dyDescent="0.3">
      <c r="A154" s="19" t="str">
        <f>IFERROR(TRIM(tblCustomers[[#This Row],[CustomerID]]),"")</f>
        <v>C0152</v>
      </c>
      <c r="B154" s="19" t="str">
        <f>IFERROR(PROPER(TRIM(tblCustomers[[#This Row],[Name]])),"")</f>
        <v>Pooja Mehta</v>
      </c>
      <c r="C154" s="19" t="str">
        <f>IFERROR(PROPER(TRIM(tblCustomers[[#This Row],[Gender]])),"")</f>
        <v>Female</v>
      </c>
      <c r="D154" s="19">
        <f>IFERROR(tblCustomers[[#This Row],[Age]],"")</f>
        <v>50</v>
      </c>
      <c r="E154" s="19" t="str">
        <f>IFERROR(PROPER(TRIM(tblCustomers[[#This Row],[City/Region]])),"")</f>
        <v>Mumbai</v>
      </c>
      <c r="F154" s="19">
        <f>IFERROR(tblCustomers[[#This Row],[IncomeRange]],"")</f>
        <v>42393</v>
      </c>
      <c r="G154" s="19" t="str">
        <f>IFERROR(PROPER(TRIM(tblCustomers[[#This Row],[Occupation]])),"")</f>
        <v>Finance Analyst</v>
      </c>
      <c r="H154" s="20">
        <f>IFERROR(tblCustomers[[#This Row],[JoinDate]],"")</f>
        <v>45492</v>
      </c>
      <c r="I154" s="19" t="str">
        <f>IFERROR(PROPER(TRIM(tblCustomers[[#This Row],[PurchaseChannel]])),"")</f>
        <v>Offline</v>
      </c>
      <c r="J154" s="19" t="str">
        <f>IFERROR(PROPER(TRIM(tblCustomers[[#This Row],[CustomerType]])),"")</f>
        <v>New</v>
      </c>
      <c r="K154" s="19" t="str">
        <f>IFERROR(PROPER(TRIM(tblCustomers[[#This Row],[EngagementLevel]])),"")</f>
        <v>Medium</v>
      </c>
      <c r="L154" s="19" t="str">
        <f>IFERROR(PROPER(TRIM(tblCustomers[[#This Row],[DiscountSensitivity]])),"")</f>
        <v>High</v>
      </c>
      <c r="M154" s="20">
        <f>IFERROR(tblCustomers[[#This Row],[LastPurchaseDate]],"")</f>
        <v>46045</v>
      </c>
      <c r="N154" s="19" t="str">
        <f>IFERROR(IF(tblCustomers[[#This Row],[Age]]&lt;25,"&lt;25",IF(tblCustomers[[#This Row],[Age]]&lt;40,"25-39",IF(tblCustomers[[#This Row],[Age]]&lt;55,"40-54","55+"))),"N/A")</f>
        <v>40-54</v>
      </c>
      <c r="O154" s="19" t="str">
        <f>IFERROR(IF(tblCustomers[[#This Row],[IncomeRange]]&lt;25000,"Low",IF(tblCustomers[[#This Row],[IncomeRange]]&lt;75000,"Mid","High")),"N/A")</f>
        <v>Mid</v>
      </c>
      <c r="P154" s="19" t="str">
        <f>IFERROR(TEXT(tblCustomers[[#This Row],[JoinDate]],"DDDD"),"")</f>
        <v>Friday</v>
      </c>
      <c r="Q154" s="21" t="b">
        <f>IFERROR(IF(WEEKDAY(tblCustomers[[#This Row],[JoinDate]],2)&gt;=6,TRUE(),FALSE()),FALSE())</f>
        <v>0</v>
      </c>
      <c r="R154" s="19">
        <f ca="1">IFERROR(DATEDIF(tblCustomers[[#This Row],[JoinDate]],TODAY(),"M"),0)</f>
        <v>20</v>
      </c>
      <c r="S154" s="19" t="str">
        <f>IFERROR(IF(AND(tblCustomers[[#This Row],[Age]]&gt;=18,tblCustomers[[#This Row],[IncomeRange]]&gt;0,tblCustomers[[#This Row],[CustomerID]]&lt;&gt;""),"OK","CHECK"),"CHECK")</f>
        <v>OK</v>
      </c>
    </row>
    <row r="155" spans="1:19" ht="15" customHeight="1" x14ac:dyDescent="0.3">
      <c r="A155" s="16" t="str">
        <f>IFERROR(TRIM(tblCustomers[[#This Row],[CustomerID]]),"")</f>
        <v>C0153</v>
      </c>
      <c r="B155" s="16" t="str">
        <f>IFERROR(PROPER(TRIM(tblCustomers[[#This Row],[Name]])),"")</f>
        <v>Sneha Pillai</v>
      </c>
      <c r="C155" s="16" t="str">
        <f>IFERROR(PROPER(TRIM(tblCustomers[[#This Row],[Gender]])),"")</f>
        <v>Female</v>
      </c>
      <c r="D155" s="16">
        <f>IFERROR(tblCustomers[[#This Row],[Age]],"")</f>
        <v>44</v>
      </c>
      <c r="E155" s="16" t="str">
        <f>IFERROR(PROPER(TRIM(tblCustomers[[#This Row],[City/Region]])),"")</f>
        <v>Nagpur</v>
      </c>
      <c r="F155" s="16">
        <f>IFERROR(tblCustomers[[#This Row],[IncomeRange]],"")</f>
        <v>89019</v>
      </c>
      <c r="G155" s="16" t="str">
        <f>IFERROR(PROPER(TRIM(tblCustomers[[#This Row],[Occupation]])),"")</f>
        <v>Finance Analyst</v>
      </c>
      <c r="H155" s="17">
        <f>IFERROR(tblCustomers[[#This Row],[JoinDate]],"")</f>
        <v>45461</v>
      </c>
      <c r="I155" s="16" t="str">
        <f>IFERROR(PROPER(TRIM(tblCustomers[[#This Row],[PurchaseChannel]])),"")</f>
        <v>Online</v>
      </c>
      <c r="J155" s="16" t="str">
        <f>IFERROR(PROPER(TRIM(tblCustomers[[#This Row],[CustomerType]])),"")</f>
        <v>New</v>
      </c>
      <c r="K155" s="16" t="str">
        <f>IFERROR(PROPER(TRIM(tblCustomers[[#This Row],[EngagementLevel]])),"")</f>
        <v>High</v>
      </c>
      <c r="L155" s="16" t="str">
        <f>IFERROR(PROPER(TRIM(tblCustomers[[#This Row],[DiscountSensitivity]])),"")</f>
        <v>Low</v>
      </c>
      <c r="M155" s="17">
        <f>IFERROR(tblCustomers[[#This Row],[LastPurchaseDate]],"")</f>
        <v>45909</v>
      </c>
      <c r="N155" s="16" t="str">
        <f>IFERROR(IF(tblCustomers[[#This Row],[Age]]&lt;25,"&lt;25",IF(tblCustomers[[#This Row],[Age]]&lt;40,"25-39",IF(tblCustomers[[#This Row],[Age]]&lt;55,"40-54","55+"))),"N/A")</f>
        <v>40-54</v>
      </c>
      <c r="O155" s="16" t="str">
        <f>IFERROR(IF(tblCustomers[[#This Row],[IncomeRange]]&lt;25000,"Low",IF(tblCustomers[[#This Row],[IncomeRange]]&lt;75000,"Mid","High")),"N/A")</f>
        <v>High</v>
      </c>
      <c r="P155" s="16" t="str">
        <f>IFERROR(TEXT(tblCustomers[[#This Row],[JoinDate]],"DDDD"),"")</f>
        <v>Tuesday</v>
      </c>
      <c r="Q155" s="18" t="b">
        <f>IFERROR(IF(WEEKDAY(tblCustomers[[#This Row],[JoinDate]],2)&gt;=6,TRUE(),FALSE()),FALSE())</f>
        <v>0</v>
      </c>
      <c r="R155" s="16">
        <f ca="1">IFERROR(DATEDIF(tblCustomers[[#This Row],[JoinDate]],TODAY(),"M"),0)</f>
        <v>21</v>
      </c>
      <c r="S155" s="16" t="str">
        <f>IFERROR(IF(AND(tblCustomers[[#This Row],[Age]]&gt;=18,tblCustomers[[#This Row],[IncomeRange]]&gt;0,tblCustomers[[#This Row],[CustomerID]]&lt;&gt;""),"OK","CHECK"),"CHECK")</f>
        <v>OK</v>
      </c>
    </row>
    <row r="156" spans="1:19" ht="15" customHeight="1" x14ac:dyDescent="0.3">
      <c r="A156" s="19" t="str">
        <f>IFERROR(TRIM(tblCustomers[[#This Row],[CustomerID]]),"")</f>
        <v>C0154</v>
      </c>
      <c r="B156" s="19" t="str">
        <f>IFERROR(PROPER(TRIM(tblCustomers[[#This Row],[Name]])),"")</f>
        <v>Ravi Singh</v>
      </c>
      <c r="C156" s="19" t="str">
        <f>IFERROR(PROPER(TRIM(tblCustomers[[#This Row],[Gender]])),"")</f>
        <v>Male</v>
      </c>
      <c r="D156" s="19">
        <f>IFERROR(tblCustomers[[#This Row],[Age]],"")</f>
        <v>34</v>
      </c>
      <c r="E156" s="19" t="str">
        <f>IFERROR(PROPER(TRIM(tblCustomers[[#This Row],[City/Region]])),"")</f>
        <v>Pune</v>
      </c>
      <c r="F156" s="19">
        <f>IFERROR(tblCustomers[[#This Row],[IncomeRange]],"")</f>
        <v>144929</v>
      </c>
      <c r="G156" s="19" t="str">
        <f>IFERROR(PROPER(TRIM(tblCustomers[[#This Row],[Occupation]])),"")</f>
        <v>Finance Analyst</v>
      </c>
      <c r="H156" s="20">
        <f>IFERROR(tblCustomers[[#This Row],[JoinDate]],"")</f>
        <v>44977</v>
      </c>
      <c r="I156" s="19" t="str">
        <f>IFERROR(PROPER(TRIM(tblCustomers[[#This Row],[PurchaseChannel]])),"")</f>
        <v>Offline</v>
      </c>
      <c r="J156" s="19" t="str">
        <f>IFERROR(PROPER(TRIM(tblCustomers[[#This Row],[CustomerType]])),"")</f>
        <v>New</v>
      </c>
      <c r="K156" s="19" t="str">
        <f>IFERROR(PROPER(TRIM(tblCustomers[[#This Row],[EngagementLevel]])),"")</f>
        <v>Low</v>
      </c>
      <c r="L156" s="19" t="str">
        <f>IFERROR(PROPER(TRIM(tblCustomers[[#This Row],[DiscountSensitivity]])),"")</f>
        <v>Medium</v>
      </c>
      <c r="M156" s="20">
        <f>IFERROR(tblCustomers[[#This Row],[LastPurchaseDate]],"")</f>
        <v>45864</v>
      </c>
      <c r="N156" s="19" t="str">
        <f>IFERROR(IF(tblCustomers[[#This Row],[Age]]&lt;25,"&lt;25",IF(tblCustomers[[#This Row],[Age]]&lt;40,"25-39",IF(tblCustomers[[#This Row],[Age]]&lt;55,"40-54","55+"))),"N/A")</f>
        <v>25-39</v>
      </c>
      <c r="O156" s="19" t="str">
        <f>IFERROR(IF(tblCustomers[[#This Row],[IncomeRange]]&lt;25000,"Low",IF(tblCustomers[[#This Row],[IncomeRange]]&lt;75000,"Mid","High")),"N/A")</f>
        <v>High</v>
      </c>
      <c r="P156" s="19" t="str">
        <f>IFERROR(TEXT(tblCustomers[[#This Row],[JoinDate]],"DDDD"),"")</f>
        <v>Monday</v>
      </c>
      <c r="Q156" s="21" t="b">
        <f>IFERROR(IF(WEEKDAY(tblCustomers[[#This Row],[JoinDate]],2)&gt;=6,TRUE(),FALSE()),FALSE())</f>
        <v>0</v>
      </c>
      <c r="R156" s="19">
        <f ca="1">IFERROR(DATEDIF(tblCustomers[[#This Row],[JoinDate]],TODAY(),"M"),0)</f>
        <v>37</v>
      </c>
      <c r="S156" s="19" t="str">
        <f>IFERROR(IF(AND(tblCustomers[[#This Row],[Age]]&gt;=18,tblCustomers[[#This Row],[IncomeRange]]&gt;0,tblCustomers[[#This Row],[CustomerID]]&lt;&gt;""),"OK","CHECK"),"CHECK")</f>
        <v>OK</v>
      </c>
    </row>
    <row r="157" spans="1:19" ht="15" customHeight="1" x14ac:dyDescent="0.3">
      <c r="A157" s="16" t="str">
        <f>IFERROR(TRIM(tblCustomers[[#This Row],[CustomerID]]),"")</f>
        <v>C0155</v>
      </c>
      <c r="B157" s="16" t="str">
        <f>IFERROR(PROPER(TRIM(tblCustomers[[#This Row],[Name]])),"")</f>
        <v>Naveen Mehta</v>
      </c>
      <c r="C157" s="16" t="str">
        <f>IFERROR(PROPER(TRIM(tblCustomers[[#This Row],[Gender]])),"")</f>
        <v>Male</v>
      </c>
      <c r="D157" s="16">
        <f>IFERROR(tblCustomers[[#This Row],[Age]],"")</f>
        <v>39</v>
      </c>
      <c r="E157" s="16" t="str">
        <f>IFERROR(PROPER(TRIM(tblCustomers[[#This Row],[City/Region]])),"")</f>
        <v>Delhi</v>
      </c>
      <c r="F157" s="16">
        <f>IFERROR(tblCustomers[[#This Row],[IncomeRange]],"")</f>
        <v>32293</v>
      </c>
      <c r="G157" s="16" t="str">
        <f>IFERROR(PROPER(TRIM(tblCustomers[[#This Row],[Occupation]])),"")</f>
        <v>Lawyer</v>
      </c>
      <c r="H157" s="17">
        <f>IFERROR(tblCustomers[[#This Row],[JoinDate]],"")</f>
        <v>45419</v>
      </c>
      <c r="I157" s="16" t="str">
        <f>IFERROR(PROPER(TRIM(tblCustomers[[#This Row],[PurchaseChannel]])),"")</f>
        <v>Online</v>
      </c>
      <c r="J157" s="16" t="str">
        <f>IFERROR(PROPER(TRIM(tblCustomers[[#This Row],[CustomerType]])),"")</f>
        <v>Returning</v>
      </c>
      <c r="K157" s="16" t="str">
        <f>IFERROR(PROPER(TRIM(tblCustomers[[#This Row],[EngagementLevel]])),"")</f>
        <v>Low</v>
      </c>
      <c r="L157" s="16" t="str">
        <f>IFERROR(PROPER(TRIM(tblCustomers[[#This Row],[DiscountSensitivity]])),"")</f>
        <v>Low</v>
      </c>
      <c r="M157" s="17">
        <f>IFERROR(tblCustomers[[#This Row],[LastPurchaseDate]],"")</f>
        <v>46041</v>
      </c>
      <c r="N157" s="16" t="str">
        <f>IFERROR(IF(tblCustomers[[#This Row],[Age]]&lt;25,"&lt;25",IF(tblCustomers[[#This Row],[Age]]&lt;40,"25-39",IF(tblCustomers[[#This Row],[Age]]&lt;55,"40-54","55+"))),"N/A")</f>
        <v>25-39</v>
      </c>
      <c r="O157" s="16" t="str">
        <f>IFERROR(IF(tblCustomers[[#This Row],[IncomeRange]]&lt;25000,"Low",IF(tblCustomers[[#This Row],[IncomeRange]]&lt;75000,"Mid","High")),"N/A")</f>
        <v>Mid</v>
      </c>
      <c r="P157" s="16" t="str">
        <f>IFERROR(TEXT(tblCustomers[[#This Row],[JoinDate]],"DDDD"),"")</f>
        <v>Tuesday</v>
      </c>
      <c r="Q157" s="18" t="b">
        <f>IFERROR(IF(WEEKDAY(tblCustomers[[#This Row],[JoinDate]],2)&gt;=6,TRUE(),FALSE()),FALSE())</f>
        <v>0</v>
      </c>
      <c r="R157" s="16">
        <f ca="1">IFERROR(DATEDIF(tblCustomers[[#This Row],[JoinDate]],TODAY(),"M"),0)</f>
        <v>23</v>
      </c>
      <c r="S157" s="16" t="str">
        <f>IFERROR(IF(AND(tblCustomers[[#This Row],[Age]]&gt;=18,tblCustomers[[#This Row],[IncomeRange]]&gt;0,tblCustomers[[#This Row],[CustomerID]]&lt;&gt;""),"OK","CHECK"),"CHECK")</f>
        <v>OK</v>
      </c>
    </row>
    <row r="158" spans="1:19" ht="15" customHeight="1" x14ac:dyDescent="0.3">
      <c r="A158" s="19" t="str">
        <f>IFERROR(TRIM(tblCustomers[[#This Row],[CustomerID]]),"")</f>
        <v>C0156</v>
      </c>
      <c r="B158" s="19" t="str">
        <f>IFERROR(PROPER(TRIM(tblCustomers[[#This Row],[Name]])),"")</f>
        <v>Vijay Sharma</v>
      </c>
      <c r="C158" s="19" t="str">
        <f>IFERROR(PROPER(TRIM(tblCustomers[[#This Row],[Gender]])),"")</f>
        <v>Male</v>
      </c>
      <c r="D158" s="19">
        <f>IFERROR(tblCustomers[[#This Row],[Age]],"")</f>
        <v>38</v>
      </c>
      <c r="E158" s="19" t="str">
        <f>IFERROR(PROPER(TRIM(tblCustomers[[#This Row],[City/Region]])),"")</f>
        <v>Patna</v>
      </c>
      <c r="F158" s="19">
        <f>IFERROR(tblCustomers[[#This Row],[IncomeRange]],"")</f>
        <v>47907</v>
      </c>
      <c r="G158" s="19" t="str">
        <f>IFERROR(PROPER(TRIM(tblCustomers[[#This Row],[Occupation]])),"")</f>
        <v>Nurse</v>
      </c>
      <c r="H158" s="20">
        <f>IFERROR(tblCustomers[[#This Row],[JoinDate]],"")</f>
        <v>45652</v>
      </c>
      <c r="I158" s="19" t="str">
        <f>IFERROR(PROPER(TRIM(tblCustomers[[#This Row],[PurchaseChannel]])),"")</f>
        <v>Offline</v>
      </c>
      <c r="J158" s="19" t="str">
        <f>IFERROR(PROPER(TRIM(tblCustomers[[#This Row],[CustomerType]])),"")</f>
        <v>Returning</v>
      </c>
      <c r="K158" s="19" t="str">
        <f>IFERROR(PROPER(TRIM(tblCustomers[[#This Row],[EngagementLevel]])),"")</f>
        <v>Low</v>
      </c>
      <c r="L158" s="19" t="str">
        <f>IFERROR(PROPER(TRIM(tblCustomers[[#This Row],[DiscountSensitivity]])),"")</f>
        <v>High</v>
      </c>
      <c r="M158" s="20">
        <f>IFERROR(tblCustomers[[#This Row],[LastPurchaseDate]],"")</f>
        <v>46070</v>
      </c>
      <c r="N158" s="19" t="str">
        <f>IFERROR(IF(tblCustomers[[#This Row],[Age]]&lt;25,"&lt;25",IF(tblCustomers[[#This Row],[Age]]&lt;40,"25-39",IF(tblCustomers[[#This Row],[Age]]&lt;55,"40-54","55+"))),"N/A")</f>
        <v>25-39</v>
      </c>
      <c r="O158" s="19" t="str">
        <f>IFERROR(IF(tblCustomers[[#This Row],[IncomeRange]]&lt;25000,"Low",IF(tblCustomers[[#This Row],[IncomeRange]]&lt;75000,"Mid","High")),"N/A")</f>
        <v>Mid</v>
      </c>
      <c r="P158" s="19" t="str">
        <f>IFERROR(TEXT(tblCustomers[[#This Row],[JoinDate]],"DDDD"),"")</f>
        <v>Thursday</v>
      </c>
      <c r="Q158" s="21" t="b">
        <f>IFERROR(IF(WEEKDAY(tblCustomers[[#This Row],[JoinDate]],2)&gt;=6,TRUE(),FALSE()),FALSE())</f>
        <v>0</v>
      </c>
      <c r="R158" s="19">
        <f ca="1">IFERROR(DATEDIF(tblCustomers[[#This Row],[JoinDate]],TODAY(),"M"),0)</f>
        <v>15</v>
      </c>
      <c r="S158" s="19" t="str">
        <f>IFERROR(IF(AND(tblCustomers[[#This Row],[Age]]&gt;=18,tblCustomers[[#This Row],[IncomeRange]]&gt;0,tblCustomers[[#This Row],[CustomerID]]&lt;&gt;""),"OK","CHECK"),"CHECK")</f>
        <v>OK</v>
      </c>
    </row>
    <row r="159" spans="1:19" ht="15" customHeight="1" x14ac:dyDescent="0.3">
      <c r="A159" s="16" t="str">
        <f>IFERROR(TRIM(tblCustomers[[#This Row],[CustomerID]]),"")</f>
        <v>C0157</v>
      </c>
      <c r="B159" s="16" t="str">
        <f>IFERROR(PROPER(TRIM(tblCustomers[[#This Row],[Name]])),"")</f>
        <v>Rekha Mehta</v>
      </c>
      <c r="C159" s="16" t="str">
        <f>IFERROR(PROPER(TRIM(tblCustomers[[#This Row],[Gender]])),"")</f>
        <v>Female</v>
      </c>
      <c r="D159" s="16">
        <f>IFERROR(tblCustomers[[#This Row],[Age]],"")</f>
        <v>27</v>
      </c>
      <c r="E159" s="16" t="str">
        <f>IFERROR(PROPER(TRIM(tblCustomers[[#This Row],[City/Region]])),"")</f>
        <v>Ahmedabad</v>
      </c>
      <c r="F159" s="16">
        <f>IFERROR(tblCustomers[[#This Row],[IncomeRange]],"")</f>
        <v>49051</v>
      </c>
      <c r="G159" s="16" t="str">
        <f>IFERROR(PROPER(TRIM(tblCustomers[[#This Row],[Occupation]])),"")</f>
        <v>Lawyer</v>
      </c>
      <c r="H159" s="17">
        <f>IFERROR(tblCustomers[[#This Row],[JoinDate]],"")</f>
        <v>44936</v>
      </c>
      <c r="I159" s="16" t="str">
        <f>IFERROR(PROPER(TRIM(tblCustomers[[#This Row],[PurchaseChannel]])),"")</f>
        <v>Offline</v>
      </c>
      <c r="J159" s="16" t="str">
        <f>IFERROR(PROPER(TRIM(tblCustomers[[#This Row],[CustomerType]])),"")</f>
        <v>New</v>
      </c>
      <c r="K159" s="16" t="str">
        <f>IFERROR(PROPER(TRIM(tblCustomers[[#This Row],[EngagementLevel]])),"")</f>
        <v>High</v>
      </c>
      <c r="L159" s="16" t="str">
        <f>IFERROR(PROPER(TRIM(tblCustomers[[#This Row],[DiscountSensitivity]])),"")</f>
        <v>Medium</v>
      </c>
      <c r="M159" s="17">
        <f>IFERROR(tblCustomers[[#This Row],[LastPurchaseDate]],"")</f>
        <v>45978</v>
      </c>
      <c r="N159" s="16" t="str">
        <f>IFERROR(IF(tblCustomers[[#This Row],[Age]]&lt;25,"&lt;25",IF(tblCustomers[[#This Row],[Age]]&lt;40,"25-39",IF(tblCustomers[[#This Row],[Age]]&lt;55,"40-54","55+"))),"N/A")</f>
        <v>25-39</v>
      </c>
      <c r="O159" s="16" t="str">
        <f>IFERROR(IF(tblCustomers[[#This Row],[IncomeRange]]&lt;25000,"Low",IF(tblCustomers[[#This Row],[IncomeRange]]&lt;75000,"Mid","High")),"N/A")</f>
        <v>Mid</v>
      </c>
      <c r="P159" s="16" t="str">
        <f>IFERROR(TEXT(tblCustomers[[#This Row],[JoinDate]],"DDDD"),"")</f>
        <v>Tuesday</v>
      </c>
      <c r="Q159" s="18" t="b">
        <f>IFERROR(IF(WEEKDAY(tblCustomers[[#This Row],[JoinDate]],2)&gt;=6,TRUE(),FALSE()),FALSE())</f>
        <v>0</v>
      </c>
      <c r="R159" s="16">
        <f ca="1">IFERROR(DATEDIF(tblCustomers[[#This Row],[JoinDate]],TODAY(),"M"),0)</f>
        <v>39</v>
      </c>
      <c r="S159" s="16" t="str">
        <f>IFERROR(IF(AND(tblCustomers[[#This Row],[Age]]&gt;=18,tblCustomers[[#This Row],[IncomeRange]]&gt;0,tblCustomers[[#This Row],[CustomerID]]&lt;&gt;""),"OK","CHECK"),"CHECK")</f>
        <v>OK</v>
      </c>
    </row>
    <row r="160" spans="1:19" ht="15" customHeight="1" x14ac:dyDescent="0.3">
      <c r="A160" s="19" t="str">
        <f>IFERROR(TRIM(tblCustomers[[#This Row],[CustomerID]]),"")</f>
        <v>C0158</v>
      </c>
      <c r="B160" s="19" t="str">
        <f>IFERROR(PROPER(TRIM(tblCustomers[[#This Row],[Name]])),"")</f>
        <v>Divya Verma</v>
      </c>
      <c r="C160" s="19" t="str">
        <f>IFERROR(PROPER(TRIM(tblCustomers[[#This Row],[Gender]])),"")</f>
        <v>Female</v>
      </c>
      <c r="D160" s="19">
        <f>IFERROR(tblCustomers[[#This Row],[Age]],"")</f>
        <v>41</v>
      </c>
      <c r="E160" s="19" t="str">
        <f>IFERROR(PROPER(TRIM(tblCustomers[[#This Row],[City/Region]])),"")</f>
        <v>Vadodara</v>
      </c>
      <c r="F160" s="19">
        <f>IFERROR(tblCustomers[[#This Row],[IncomeRange]],"")</f>
        <v>33789</v>
      </c>
      <c r="G160" s="19" t="str">
        <f>IFERROR(PROPER(TRIM(tblCustomers[[#This Row],[Occupation]])),"")</f>
        <v>Accountant</v>
      </c>
      <c r="H160" s="20">
        <f>IFERROR(tblCustomers[[#This Row],[JoinDate]],"")</f>
        <v>44961</v>
      </c>
      <c r="I160" s="19" t="str">
        <f>IFERROR(PROPER(TRIM(tblCustomers[[#This Row],[PurchaseChannel]])),"")</f>
        <v>Online</v>
      </c>
      <c r="J160" s="19" t="str">
        <f>IFERROR(PROPER(TRIM(tblCustomers[[#This Row],[CustomerType]])),"")</f>
        <v>New</v>
      </c>
      <c r="K160" s="19" t="str">
        <f>IFERROR(PROPER(TRIM(tblCustomers[[#This Row],[EngagementLevel]])),"")</f>
        <v>High</v>
      </c>
      <c r="L160" s="19" t="str">
        <f>IFERROR(PROPER(TRIM(tblCustomers[[#This Row],[DiscountSensitivity]])),"")</f>
        <v>Low</v>
      </c>
      <c r="M160" s="20">
        <f>IFERROR(tblCustomers[[#This Row],[LastPurchaseDate]],"")</f>
        <v>45883</v>
      </c>
      <c r="N160" s="19" t="str">
        <f>IFERROR(IF(tblCustomers[[#This Row],[Age]]&lt;25,"&lt;25",IF(tblCustomers[[#This Row],[Age]]&lt;40,"25-39",IF(tblCustomers[[#This Row],[Age]]&lt;55,"40-54","55+"))),"N/A")</f>
        <v>40-54</v>
      </c>
      <c r="O160" s="19" t="str">
        <f>IFERROR(IF(tblCustomers[[#This Row],[IncomeRange]]&lt;25000,"Low",IF(tblCustomers[[#This Row],[IncomeRange]]&lt;75000,"Mid","High")),"N/A")</f>
        <v>Mid</v>
      </c>
      <c r="P160" s="19" t="str">
        <f>IFERROR(TEXT(tblCustomers[[#This Row],[JoinDate]],"DDDD"),"")</f>
        <v>Saturday</v>
      </c>
      <c r="Q160" s="21" t="b">
        <f>IFERROR(IF(WEEKDAY(tblCustomers[[#This Row],[JoinDate]],2)&gt;=6,TRUE(),FALSE()),FALSE())</f>
        <v>1</v>
      </c>
      <c r="R160" s="19">
        <f ca="1">IFERROR(DATEDIF(tblCustomers[[#This Row],[JoinDate]],TODAY(),"M"),0)</f>
        <v>38</v>
      </c>
      <c r="S160" s="19" t="str">
        <f>IFERROR(IF(AND(tblCustomers[[#This Row],[Age]]&gt;=18,tblCustomers[[#This Row],[IncomeRange]]&gt;0,tblCustomers[[#This Row],[CustomerID]]&lt;&gt;""),"OK","CHECK"),"CHECK")</f>
        <v>OK</v>
      </c>
    </row>
    <row r="161" spans="1:19" ht="15" customHeight="1" x14ac:dyDescent="0.3">
      <c r="A161" s="16" t="str">
        <f>IFERROR(TRIM(tblCustomers[[#This Row],[CustomerID]]),"")</f>
        <v>C0159</v>
      </c>
      <c r="B161" s="16" t="str">
        <f>IFERROR(PROPER(TRIM(tblCustomers[[#This Row],[Name]])),"")</f>
        <v>Rohit Kumar</v>
      </c>
      <c r="C161" s="16" t="str">
        <f>IFERROR(PROPER(TRIM(tblCustomers[[#This Row],[Gender]])),"")</f>
        <v>Male</v>
      </c>
      <c r="D161" s="16">
        <f>IFERROR(tblCustomers[[#This Row],[Age]],"")</f>
        <v>32</v>
      </c>
      <c r="E161" s="16" t="str">
        <f>IFERROR(PROPER(TRIM(tblCustomers[[#This Row],[City/Region]])),"")</f>
        <v>Mumbai</v>
      </c>
      <c r="F161" s="16">
        <f>IFERROR(tblCustomers[[#This Row],[IncomeRange]],"")</f>
        <v>125090</v>
      </c>
      <c r="G161" s="16" t="str">
        <f>IFERROR(PROPER(TRIM(tblCustomers[[#This Row],[Occupation]])),"")</f>
        <v>Sales Executive</v>
      </c>
      <c r="H161" s="17">
        <f>IFERROR(tblCustomers[[#This Row],[JoinDate]],"")</f>
        <v>45013</v>
      </c>
      <c r="I161" s="16" t="str">
        <f>IFERROR(PROPER(TRIM(tblCustomers[[#This Row],[PurchaseChannel]])),"")</f>
        <v>Offline</v>
      </c>
      <c r="J161" s="16" t="str">
        <f>IFERROR(PROPER(TRIM(tblCustomers[[#This Row],[CustomerType]])),"")</f>
        <v>Returning</v>
      </c>
      <c r="K161" s="16" t="str">
        <f>IFERROR(PROPER(TRIM(tblCustomers[[#This Row],[EngagementLevel]])),"")</f>
        <v>Low</v>
      </c>
      <c r="L161" s="16" t="str">
        <f>IFERROR(PROPER(TRIM(tblCustomers[[#This Row],[DiscountSensitivity]])),"")</f>
        <v>Low</v>
      </c>
      <c r="M161" s="17">
        <f>IFERROR(tblCustomers[[#This Row],[LastPurchaseDate]],"")</f>
        <v>45895</v>
      </c>
      <c r="N161" s="16" t="str">
        <f>IFERROR(IF(tblCustomers[[#This Row],[Age]]&lt;25,"&lt;25",IF(tblCustomers[[#This Row],[Age]]&lt;40,"25-39",IF(tblCustomers[[#This Row],[Age]]&lt;55,"40-54","55+"))),"N/A")</f>
        <v>25-39</v>
      </c>
      <c r="O161" s="16" t="str">
        <f>IFERROR(IF(tblCustomers[[#This Row],[IncomeRange]]&lt;25000,"Low",IF(tblCustomers[[#This Row],[IncomeRange]]&lt;75000,"Mid","High")),"N/A")</f>
        <v>High</v>
      </c>
      <c r="P161" s="16" t="str">
        <f>IFERROR(TEXT(tblCustomers[[#This Row],[JoinDate]],"DDDD"),"")</f>
        <v>Tuesday</v>
      </c>
      <c r="Q161" s="18" t="b">
        <f>IFERROR(IF(WEEKDAY(tblCustomers[[#This Row],[JoinDate]],2)&gt;=6,TRUE(),FALSE()),FALSE())</f>
        <v>0</v>
      </c>
      <c r="R161" s="16">
        <f ca="1">IFERROR(DATEDIF(tblCustomers[[#This Row],[JoinDate]],TODAY(),"M"),0)</f>
        <v>36</v>
      </c>
      <c r="S161" s="16" t="str">
        <f>IFERROR(IF(AND(tblCustomers[[#This Row],[Age]]&gt;=18,tblCustomers[[#This Row],[IncomeRange]]&gt;0,tblCustomers[[#This Row],[CustomerID]]&lt;&gt;""),"OK","CHECK"),"CHECK")</f>
        <v>OK</v>
      </c>
    </row>
    <row r="162" spans="1:19" ht="15" customHeight="1" x14ac:dyDescent="0.3">
      <c r="A162" s="19" t="str">
        <f>IFERROR(TRIM(tblCustomers[[#This Row],[CustomerID]]),"")</f>
        <v>C0160</v>
      </c>
      <c r="B162" s="19" t="str">
        <f>IFERROR(PROPER(TRIM(tblCustomers[[#This Row],[Name]])),"")</f>
        <v>Rahul Singh</v>
      </c>
      <c r="C162" s="19" t="str">
        <f>IFERROR(PROPER(TRIM(tblCustomers[[#This Row],[Gender]])),"")</f>
        <v>Male</v>
      </c>
      <c r="D162" s="19">
        <f>IFERROR(tblCustomers[[#This Row],[Age]],"")</f>
        <v>38</v>
      </c>
      <c r="E162" s="19" t="str">
        <f>IFERROR(PROPER(TRIM(tblCustomers[[#This Row],[City/Region]])),"")</f>
        <v>Vadodara</v>
      </c>
      <c r="F162" s="19">
        <f>IFERROR(tblCustomers[[#This Row],[IncomeRange]],"")</f>
        <v>69857</v>
      </c>
      <c r="G162" s="19" t="str">
        <f>IFERROR(PROPER(TRIM(tblCustomers[[#This Row],[Occupation]])),"")</f>
        <v>Marketing Manager</v>
      </c>
      <c r="H162" s="20">
        <f>IFERROR(tblCustomers[[#This Row],[JoinDate]],"")</f>
        <v>45601</v>
      </c>
      <c r="I162" s="19" t="str">
        <f>IFERROR(PROPER(TRIM(tblCustomers[[#This Row],[PurchaseChannel]])),"")</f>
        <v>Online</v>
      </c>
      <c r="J162" s="19" t="str">
        <f>IFERROR(PROPER(TRIM(tblCustomers[[#This Row],[CustomerType]])),"")</f>
        <v>New</v>
      </c>
      <c r="K162" s="19" t="str">
        <f>IFERROR(PROPER(TRIM(tblCustomers[[#This Row],[EngagementLevel]])),"")</f>
        <v>Medium</v>
      </c>
      <c r="L162" s="19" t="str">
        <f>IFERROR(PROPER(TRIM(tblCustomers[[#This Row],[DiscountSensitivity]])),"")</f>
        <v>Low</v>
      </c>
      <c r="M162" s="20">
        <f>IFERROR(tblCustomers[[#This Row],[LastPurchaseDate]],"")</f>
        <v>45784</v>
      </c>
      <c r="N162" s="19" t="str">
        <f>IFERROR(IF(tblCustomers[[#This Row],[Age]]&lt;25,"&lt;25",IF(tblCustomers[[#This Row],[Age]]&lt;40,"25-39",IF(tblCustomers[[#This Row],[Age]]&lt;55,"40-54","55+"))),"N/A")</f>
        <v>25-39</v>
      </c>
      <c r="O162" s="19" t="str">
        <f>IFERROR(IF(tblCustomers[[#This Row],[IncomeRange]]&lt;25000,"Low",IF(tblCustomers[[#This Row],[IncomeRange]]&lt;75000,"Mid","High")),"N/A")</f>
        <v>Mid</v>
      </c>
      <c r="P162" s="19" t="str">
        <f>IFERROR(TEXT(tblCustomers[[#This Row],[JoinDate]],"DDDD"),"")</f>
        <v>Tuesday</v>
      </c>
      <c r="Q162" s="21" t="b">
        <f>IFERROR(IF(WEEKDAY(tblCustomers[[#This Row],[JoinDate]],2)&gt;=6,TRUE(),FALSE()),FALSE())</f>
        <v>0</v>
      </c>
      <c r="R162" s="19">
        <f ca="1">IFERROR(DATEDIF(tblCustomers[[#This Row],[JoinDate]],TODAY(),"M"),0)</f>
        <v>17</v>
      </c>
      <c r="S162" s="19" t="str">
        <f>IFERROR(IF(AND(tblCustomers[[#This Row],[Age]]&gt;=18,tblCustomers[[#This Row],[IncomeRange]]&gt;0,tblCustomers[[#This Row],[CustomerID]]&lt;&gt;""),"OK","CHECK"),"CHECK")</f>
        <v>OK</v>
      </c>
    </row>
    <row r="163" spans="1:19" ht="15" customHeight="1" x14ac:dyDescent="0.3">
      <c r="A163" s="16" t="str">
        <f>IFERROR(TRIM(tblCustomers[[#This Row],[CustomerID]]),"")</f>
        <v>C0161</v>
      </c>
      <c r="B163" s="16" t="str">
        <f>IFERROR(PROPER(TRIM(tblCustomers[[#This Row],[Name]])),"")</f>
        <v>Swati Verma</v>
      </c>
      <c r="C163" s="16" t="str">
        <f>IFERROR(PROPER(TRIM(tblCustomers[[#This Row],[Gender]])),"")</f>
        <v>Female</v>
      </c>
      <c r="D163" s="16">
        <f>IFERROR(tblCustomers[[#This Row],[Age]],"")</f>
        <v>50</v>
      </c>
      <c r="E163" s="16" t="str">
        <f>IFERROR(PROPER(TRIM(tblCustomers[[#This Row],[City/Region]])),"")</f>
        <v>Hyderabad</v>
      </c>
      <c r="F163" s="16">
        <f>IFERROR(tblCustomers[[#This Row],[IncomeRange]],"")</f>
        <v>140866</v>
      </c>
      <c r="G163" s="16" t="str">
        <f>IFERROR(PROPER(TRIM(tblCustomers[[#This Row],[Occupation]])),"")</f>
        <v>Product Manager</v>
      </c>
      <c r="H163" s="17">
        <f>IFERROR(tblCustomers[[#This Row],[JoinDate]],"")</f>
        <v>45407</v>
      </c>
      <c r="I163" s="16" t="str">
        <f>IFERROR(PROPER(TRIM(tblCustomers[[#This Row],[PurchaseChannel]])),"")</f>
        <v>Offline</v>
      </c>
      <c r="J163" s="16" t="str">
        <f>IFERROR(PROPER(TRIM(tblCustomers[[#This Row],[CustomerType]])),"")</f>
        <v>Returning</v>
      </c>
      <c r="K163" s="16" t="str">
        <f>IFERROR(PROPER(TRIM(tblCustomers[[#This Row],[EngagementLevel]])),"")</f>
        <v>High</v>
      </c>
      <c r="L163" s="16" t="str">
        <f>IFERROR(PROPER(TRIM(tblCustomers[[#This Row],[DiscountSensitivity]])),"")</f>
        <v>High</v>
      </c>
      <c r="M163" s="17">
        <f>IFERROR(tblCustomers[[#This Row],[LastPurchaseDate]],"")</f>
        <v>46000</v>
      </c>
      <c r="N163" s="16" t="str">
        <f>IFERROR(IF(tblCustomers[[#This Row],[Age]]&lt;25,"&lt;25",IF(tblCustomers[[#This Row],[Age]]&lt;40,"25-39",IF(tblCustomers[[#This Row],[Age]]&lt;55,"40-54","55+"))),"N/A")</f>
        <v>40-54</v>
      </c>
      <c r="O163" s="16" t="str">
        <f>IFERROR(IF(tblCustomers[[#This Row],[IncomeRange]]&lt;25000,"Low",IF(tblCustomers[[#This Row],[IncomeRange]]&lt;75000,"Mid","High")),"N/A")</f>
        <v>High</v>
      </c>
      <c r="P163" s="16" t="str">
        <f>IFERROR(TEXT(tblCustomers[[#This Row],[JoinDate]],"DDDD"),"")</f>
        <v>Thursday</v>
      </c>
      <c r="Q163" s="18" t="b">
        <f>IFERROR(IF(WEEKDAY(tblCustomers[[#This Row],[JoinDate]],2)&gt;=6,TRUE(),FALSE()),FALSE())</f>
        <v>0</v>
      </c>
      <c r="R163" s="16">
        <f ca="1">IFERROR(DATEDIF(tblCustomers[[#This Row],[JoinDate]],TODAY(),"M"),0)</f>
        <v>23</v>
      </c>
      <c r="S163" s="16" t="str">
        <f>IFERROR(IF(AND(tblCustomers[[#This Row],[Age]]&gt;=18,tblCustomers[[#This Row],[IncomeRange]]&gt;0,tblCustomers[[#This Row],[CustomerID]]&lt;&gt;""),"OK","CHECK"),"CHECK")</f>
        <v>OK</v>
      </c>
    </row>
    <row r="164" spans="1:19" ht="15" customHeight="1" x14ac:dyDescent="0.3">
      <c r="A164" s="19" t="str">
        <f>IFERROR(TRIM(tblCustomers[[#This Row],[CustomerID]]),"")</f>
        <v>C0162</v>
      </c>
      <c r="B164" s="19" t="str">
        <f>IFERROR(PROPER(TRIM(tblCustomers[[#This Row],[Name]])),"")</f>
        <v>Swati Reddy</v>
      </c>
      <c r="C164" s="19" t="str">
        <f>IFERROR(PROPER(TRIM(tblCustomers[[#This Row],[Gender]])),"")</f>
        <v>Female</v>
      </c>
      <c r="D164" s="19">
        <f>IFERROR(tblCustomers[[#This Row],[Age]],"")</f>
        <v>60</v>
      </c>
      <c r="E164" s="19" t="str">
        <f>IFERROR(PROPER(TRIM(tblCustomers[[#This Row],[City/Region]])),"")</f>
        <v>Jaipur</v>
      </c>
      <c r="F164" s="19">
        <f>IFERROR(tblCustomers[[#This Row],[IncomeRange]],"")</f>
        <v>24780</v>
      </c>
      <c r="G164" s="19" t="str">
        <f>IFERROR(PROPER(TRIM(tblCustomers[[#This Row],[Occupation]])),"")</f>
        <v>Doctor</v>
      </c>
      <c r="H164" s="20">
        <f>IFERROR(tblCustomers[[#This Row],[JoinDate]],"")</f>
        <v>45484</v>
      </c>
      <c r="I164" s="19" t="str">
        <f>IFERROR(PROPER(TRIM(tblCustomers[[#This Row],[PurchaseChannel]])),"")</f>
        <v>Online</v>
      </c>
      <c r="J164" s="19" t="str">
        <f>IFERROR(PROPER(TRIM(tblCustomers[[#This Row],[CustomerType]])),"")</f>
        <v>Returning</v>
      </c>
      <c r="K164" s="19" t="str">
        <f>IFERROR(PROPER(TRIM(tblCustomers[[#This Row],[EngagementLevel]])),"")</f>
        <v>High</v>
      </c>
      <c r="L164" s="19" t="str">
        <f>IFERROR(PROPER(TRIM(tblCustomers[[#This Row],[DiscountSensitivity]])),"")</f>
        <v>Low</v>
      </c>
      <c r="M164" s="20">
        <f>IFERROR(tblCustomers[[#This Row],[LastPurchaseDate]],"")</f>
        <v>45837</v>
      </c>
      <c r="N164" s="19" t="str">
        <f>IFERROR(IF(tblCustomers[[#This Row],[Age]]&lt;25,"&lt;25",IF(tblCustomers[[#This Row],[Age]]&lt;40,"25-39",IF(tblCustomers[[#This Row],[Age]]&lt;55,"40-54","55+"))),"N/A")</f>
        <v>55+</v>
      </c>
      <c r="O164" s="19" t="str">
        <f>IFERROR(IF(tblCustomers[[#This Row],[IncomeRange]]&lt;25000,"Low",IF(tblCustomers[[#This Row],[IncomeRange]]&lt;75000,"Mid","High")),"N/A")</f>
        <v>Low</v>
      </c>
      <c r="P164" s="19" t="str">
        <f>IFERROR(TEXT(tblCustomers[[#This Row],[JoinDate]],"DDDD"),"")</f>
        <v>Thursday</v>
      </c>
      <c r="Q164" s="21" t="b">
        <f>IFERROR(IF(WEEKDAY(tblCustomers[[#This Row],[JoinDate]],2)&gt;=6,TRUE(),FALSE()),FALSE())</f>
        <v>0</v>
      </c>
      <c r="R164" s="19">
        <f ca="1">IFERROR(DATEDIF(tblCustomers[[#This Row],[JoinDate]],TODAY(),"M"),0)</f>
        <v>21</v>
      </c>
      <c r="S164" s="19" t="str">
        <f>IFERROR(IF(AND(tblCustomers[[#This Row],[Age]]&gt;=18,tblCustomers[[#This Row],[IncomeRange]]&gt;0,tblCustomers[[#This Row],[CustomerID]]&lt;&gt;""),"OK","CHECK"),"CHECK")</f>
        <v>OK</v>
      </c>
    </row>
    <row r="165" spans="1:19" ht="15" customHeight="1" x14ac:dyDescent="0.3">
      <c r="A165" s="16" t="str">
        <f>IFERROR(TRIM(tblCustomers[[#This Row],[CustomerID]]),"")</f>
        <v>C0163</v>
      </c>
      <c r="B165" s="16" t="str">
        <f>IFERROR(PROPER(TRIM(tblCustomers[[#This Row],[Name]])),"")</f>
        <v>Amit Jain</v>
      </c>
      <c r="C165" s="16" t="str">
        <f>IFERROR(PROPER(TRIM(tblCustomers[[#This Row],[Gender]])),"")</f>
        <v>Male</v>
      </c>
      <c r="D165" s="16">
        <f>IFERROR(tblCustomers[[#This Row],[Age]],"")</f>
        <v>59</v>
      </c>
      <c r="E165" s="16" t="str">
        <f>IFERROR(PROPER(TRIM(tblCustomers[[#This Row],[City/Region]])),"")</f>
        <v>Surat</v>
      </c>
      <c r="F165" s="16">
        <f>IFERROR(tblCustomers[[#This Row],[IncomeRange]],"")</f>
        <v>146902</v>
      </c>
      <c r="G165" s="16" t="str">
        <f>IFERROR(PROPER(TRIM(tblCustomers[[#This Row],[Occupation]])),"")</f>
        <v>Doctor</v>
      </c>
      <c r="H165" s="17">
        <f>IFERROR(tblCustomers[[#This Row],[JoinDate]],"")</f>
        <v>45237</v>
      </c>
      <c r="I165" s="16" t="str">
        <f>IFERROR(PROPER(TRIM(tblCustomers[[#This Row],[PurchaseChannel]])),"")</f>
        <v>Offline</v>
      </c>
      <c r="J165" s="16" t="str">
        <f>IFERROR(PROPER(TRIM(tblCustomers[[#This Row],[CustomerType]])),"")</f>
        <v>Returning</v>
      </c>
      <c r="K165" s="16" t="str">
        <f>IFERROR(PROPER(TRIM(tblCustomers[[#This Row],[EngagementLevel]])),"")</f>
        <v>Medium</v>
      </c>
      <c r="L165" s="16" t="str">
        <f>IFERROR(PROPER(TRIM(tblCustomers[[#This Row],[DiscountSensitivity]])),"")</f>
        <v>Medium</v>
      </c>
      <c r="M165" s="17">
        <f>IFERROR(tblCustomers[[#This Row],[LastPurchaseDate]],"")</f>
        <v>46091</v>
      </c>
      <c r="N165" s="16" t="str">
        <f>IFERROR(IF(tblCustomers[[#This Row],[Age]]&lt;25,"&lt;25",IF(tblCustomers[[#This Row],[Age]]&lt;40,"25-39",IF(tblCustomers[[#This Row],[Age]]&lt;55,"40-54","55+"))),"N/A")</f>
        <v>55+</v>
      </c>
      <c r="O165" s="16" t="str">
        <f>IFERROR(IF(tblCustomers[[#This Row],[IncomeRange]]&lt;25000,"Low",IF(tblCustomers[[#This Row],[IncomeRange]]&lt;75000,"Mid","High")),"N/A")</f>
        <v>High</v>
      </c>
      <c r="P165" s="16" t="str">
        <f>IFERROR(TEXT(tblCustomers[[#This Row],[JoinDate]],"DDDD"),"")</f>
        <v>Tuesday</v>
      </c>
      <c r="Q165" s="18" t="b">
        <f>IFERROR(IF(WEEKDAY(tblCustomers[[#This Row],[JoinDate]],2)&gt;=6,TRUE(),FALSE()),FALSE())</f>
        <v>0</v>
      </c>
      <c r="R165" s="16">
        <f ca="1">IFERROR(DATEDIF(tblCustomers[[#This Row],[JoinDate]],TODAY(),"M"),0)</f>
        <v>29</v>
      </c>
      <c r="S165" s="16" t="str">
        <f>IFERROR(IF(AND(tblCustomers[[#This Row],[Age]]&gt;=18,tblCustomers[[#This Row],[IncomeRange]]&gt;0,tblCustomers[[#This Row],[CustomerID]]&lt;&gt;""),"OK","CHECK"),"CHECK")</f>
        <v>OK</v>
      </c>
    </row>
    <row r="166" spans="1:19" ht="15" customHeight="1" x14ac:dyDescent="0.3">
      <c r="A166" s="19" t="str">
        <f>IFERROR(TRIM(tblCustomers[[#This Row],[CustomerID]]),"")</f>
        <v>C0164</v>
      </c>
      <c r="B166" s="19" t="str">
        <f>IFERROR(PROPER(TRIM(tblCustomers[[#This Row],[Name]])),"")</f>
        <v>Sunita Reddy</v>
      </c>
      <c r="C166" s="19" t="str">
        <f>IFERROR(PROPER(TRIM(tblCustomers[[#This Row],[Gender]])),"")</f>
        <v>Female</v>
      </c>
      <c r="D166" s="19">
        <f>IFERROR(tblCustomers[[#This Row],[Age]],"")</f>
        <v>40</v>
      </c>
      <c r="E166" s="19" t="str">
        <f>IFERROR(PROPER(TRIM(tblCustomers[[#This Row],[City/Region]])),"")</f>
        <v>Bhopal</v>
      </c>
      <c r="F166" s="19">
        <f>IFERROR(tblCustomers[[#This Row],[IncomeRange]],"")</f>
        <v>27619</v>
      </c>
      <c r="G166" s="19" t="str">
        <f>IFERROR(PROPER(TRIM(tblCustomers[[#This Row],[Occupation]])),"")</f>
        <v>Sales Executive</v>
      </c>
      <c r="H166" s="20">
        <f>IFERROR(tblCustomers[[#This Row],[JoinDate]],"")</f>
        <v>45628</v>
      </c>
      <c r="I166" s="19" t="str">
        <f>IFERROR(PROPER(TRIM(tblCustomers[[#This Row],[PurchaseChannel]])),"")</f>
        <v>Offline</v>
      </c>
      <c r="J166" s="19" t="str">
        <f>IFERROR(PROPER(TRIM(tblCustomers[[#This Row],[CustomerType]])),"")</f>
        <v>Returning</v>
      </c>
      <c r="K166" s="19" t="str">
        <f>IFERROR(PROPER(TRIM(tblCustomers[[#This Row],[EngagementLevel]])),"")</f>
        <v>Medium</v>
      </c>
      <c r="L166" s="19" t="str">
        <f>IFERROR(PROPER(TRIM(tblCustomers[[#This Row],[DiscountSensitivity]])),"")</f>
        <v>Low</v>
      </c>
      <c r="M166" s="20">
        <f>IFERROR(tblCustomers[[#This Row],[LastPurchaseDate]],"")</f>
        <v>45954</v>
      </c>
      <c r="N166" s="19" t="str">
        <f>IFERROR(IF(tblCustomers[[#This Row],[Age]]&lt;25,"&lt;25",IF(tblCustomers[[#This Row],[Age]]&lt;40,"25-39",IF(tblCustomers[[#This Row],[Age]]&lt;55,"40-54","55+"))),"N/A")</f>
        <v>40-54</v>
      </c>
      <c r="O166" s="19" t="str">
        <f>IFERROR(IF(tblCustomers[[#This Row],[IncomeRange]]&lt;25000,"Low",IF(tblCustomers[[#This Row],[IncomeRange]]&lt;75000,"Mid","High")),"N/A")</f>
        <v>Mid</v>
      </c>
      <c r="P166" s="19" t="str">
        <f>IFERROR(TEXT(tblCustomers[[#This Row],[JoinDate]],"DDDD"),"")</f>
        <v>Monday</v>
      </c>
      <c r="Q166" s="21" t="b">
        <f>IFERROR(IF(WEEKDAY(tblCustomers[[#This Row],[JoinDate]],2)&gt;=6,TRUE(),FALSE()),FALSE())</f>
        <v>0</v>
      </c>
      <c r="R166" s="19">
        <f ca="1">IFERROR(DATEDIF(tblCustomers[[#This Row],[JoinDate]],TODAY(),"M"),0)</f>
        <v>16</v>
      </c>
      <c r="S166" s="19" t="str">
        <f>IFERROR(IF(AND(tblCustomers[[#This Row],[Age]]&gt;=18,tblCustomers[[#This Row],[IncomeRange]]&gt;0,tblCustomers[[#This Row],[CustomerID]]&lt;&gt;""),"OK","CHECK"),"CHECK")</f>
        <v>OK</v>
      </c>
    </row>
    <row r="167" spans="1:19" ht="15" customHeight="1" x14ac:dyDescent="0.3">
      <c r="A167" s="16" t="str">
        <f>IFERROR(TRIM(tblCustomers[[#This Row],[CustomerID]]),"")</f>
        <v>C0165</v>
      </c>
      <c r="B167" s="16" t="str">
        <f>IFERROR(PROPER(TRIM(tblCustomers[[#This Row],[Name]])),"")</f>
        <v>Geeta Singh</v>
      </c>
      <c r="C167" s="16" t="str">
        <f>IFERROR(PROPER(TRIM(tblCustomers[[#This Row],[Gender]])),"")</f>
        <v>Female</v>
      </c>
      <c r="D167" s="16">
        <f>IFERROR(tblCustomers[[#This Row],[Age]],"")</f>
        <v>48</v>
      </c>
      <c r="E167" s="16" t="str">
        <f>IFERROR(PROPER(TRIM(tblCustomers[[#This Row],[City/Region]])),"")</f>
        <v>Delhi</v>
      </c>
      <c r="F167" s="16">
        <f>IFERROR(tblCustomers[[#This Row],[IncomeRange]],"")</f>
        <v>67173</v>
      </c>
      <c r="G167" s="16" t="str">
        <f>IFERROR(PROPER(TRIM(tblCustomers[[#This Row],[Occupation]])),"")</f>
        <v>Lawyer</v>
      </c>
      <c r="H167" s="17">
        <f>IFERROR(tblCustomers[[#This Row],[JoinDate]],"")</f>
        <v>45348</v>
      </c>
      <c r="I167" s="16" t="str">
        <f>IFERROR(PROPER(TRIM(tblCustomers[[#This Row],[PurchaseChannel]])),"")</f>
        <v>Offline</v>
      </c>
      <c r="J167" s="16" t="str">
        <f>IFERROR(PROPER(TRIM(tblCustomers[[#This Row],[CustomerType]])),"")</f>
        <v>Returning</v>
      </c>
      <c r="K167" s="16" t="str">
        <f>IFERROR(PROPER(TRIM(tblCustomers[[#This Row],[EngagementLevel]])),"")</f>
        <v>Low</v>
      </c>
      <c r="L167" s="16" t="str">
        <f>IFERROR(PROPER(TRIM(tblCustomers[[#This Row],[DiscountSensitivity]])),"")</f>
        <v>Low</v>
      </c>
      <c r="M167" s="17">
        <f>IFERROR(tblCustomers[[#This Row],[LastPurchaseDate]],"")</f>
        <v>45884</v>
      </c>
      <c r="N167" s="16" t="str">
        <f>IFERROR(IF(tblCustomers[[#This Row],[Age]]&lt;25,"&lt;25",IF(tblCustomers[[#This Row],[Age]]&lt;40,"25-39",IF(tblCustomers[[#This Row],[Age]]&lt;55,"40-54","55+"))),"N/A")</f>
        <v>40-54</v>
      </c>
      <c r="O167" s="16" t="str">
        <f>IFERROR(IF(tblCustomers[[#This Row],[IncomeRange]]&lt;25000,"Low",IF(tblCustomers[[#This Row],[IncomeRange]]&lt;75000,"Mid","High")),"N/A")</f>
        <v>Mid</v>
      </c>
      <c r="P167" s="16" t="str">
        <f>IFERROR(TEXT(tblCustomers[[#This Row],[JoinDate]],"DDDD"),"")</f>
        <v>Monday</v>
      </c>
      <c r="Q167" s="18" t="b">
        <f>IFERROR(IF(WEEKDAY(tblCustomers[[#This Row],[JoinDate]],2)&gt;=6,TRUE(),FALSE()),FALSE())</f>
        <v>0</v>
      </c>
      <c r="R167" s="16">
        <f ca="1">IFERROR(DATEDIF(tblCustomers[[#This Row],[JoinDate]],TODAY(),"M"),0)</f>
        <v>25</v>
      </c>
      <c r="S167" s="16" t="str">
        <f>IFERROR(IF(AND(tblCustomers[[#This Row],[Age]]&gt;=18,tblCustomers[[#This Row],[IncomeRange]]&gt;0,tblCustomers[[#This Row],[CustomerID]]&lt;&gt;""),"OK","CHECK"),"CHECK")</f>
        <v>OK</v>
      </c>
    </row>
    <row r="168" spans="1:19" ht="15" customHeight="1" x14ac:dyDescent="0.3">
      <c r="A168" s="19" t="str">
        <f>IFERROR(TRIM(tblCustomers[[#This Row],[CustomerID]]),"")</f>
        <v>C0166</v>
      </c>
      <c r="B168" s="19" t="str">
        <f>IFERROR(PROPER(TRIM(tblCustomers[[#This Row],[Name]])),"")</f>
        <v>Kavya Jain</v>
      </c>
      <c r="C168" s="19" t="str">
        <f>IFERROR(PROPER(TRIM(tblCustomers[[#This Row],[Gender]])),"")</f>
        <v>Female</v>
      </c>
      <c r="D168" s="19">
        <f>IFERROR(tblCustomers[[#This Row],[Age]],"")</f>
        <v>29</v>
      </c>
      <c r="E168" s="19" t="str">
        <f>IFERROR(PROPER(TRIM(tblCustomers[[#This Row],[City/Region]])),"")</f>
        <v>Mumbai</v>
      </c>
      <c r="F168" s="19">
        <f>IFERROR(tblCustomers[[#This Row],[IncomeRange]],"")</f>
        <v>80730</v>
      </c>
      <c r="G168" s="19" t="str">
        <f>IFERROR(PROPER(TRIM(tblCustomers[[#This Row],[Occupation]])),"")</f>
        <v>Product Manager</v>
      </c>
      <c r="H168" s="20">
        <f>IFERROR(tblCustomers[[#This Row],[JoinDate]],"")</f>
        <v>45556</v>
      </c>
      <c r="I168" s="19" t="str">
        <f>IFERROR(PROPER(TRIM(tblCustomers[[#This Row],[PurchaseChannel]])),"")</f>
        <v>Offline</v>
      </c>
      <c r="J168" s="19" t="str">
        <f>IFERROR(PROPER(TRIM(tblCustomers[[#This Row],[CustomerType]])),"")</f>
        <v>New</v>
      </c>
      <c r="K168" s="19" t="str">
        <f>IFERROR(PROPER(TRIM(tblCustomers[[#This Row],[EngagementLevel]])),"")</f>
        <v>High</v>
      </c>
      <c r="L168" s="19" t="str">
        <f>IFERROR(PROPER(TRIM(tblCustomers[[#This Row],[DiscountSensitivity]])),"")</f>
        <v>Medium</v>
      </c>
      <c r="M168" s="20">
        <f>IFERROR(tblCustomers[[#This Row],[LastPurchaseDate]],"")</f>
        <v>45795</v>
      </c>
      <c r="N168" s="19" t="str">
        <f>IFERROR(IF(tblCustomers[[#This Row],[Age]]&lt;25,"&lt;25",IF(tblCustomers[[#This Row],[Age]]&lt;40,"25-39",IF(tblCustomers[[#This Row],[Age]]&lt;55,"40-54","55+"))),"N/A")</f>
        <v>25-39</v>
      </c>
      <c r="O168" s="19" t="str">
        <f>IFERROR(IF(tblCustomers[[#This Row],[IncomeRange]]&lt;25000,"Low",IF(tblCustomers[[#This Row],[IncomeRange]]&lt;75000,"Mid","High")),"N/A")</f>
        <v>High</v>
      </c>
      <c r="P168" s="19" t="str">
        <f>IFERROR(TEXT(tblCustomers[[#This Row],[JoinDate]],"DDDD"),"")</f>
        <v>Saturday</v>
      </c>
      <c r="Q168" s="21" t="b">
        <f>IFERROR(IF(WEEKDAY(tblCustomers[[#This Row],[JoinDate]],2)&gt;=6,TRUE(),FALSE()),FALSE())</f>
        <v>1</v>
      </c>
      <c r="R168" s="19">
        <f ca="1">IFERROR(DATEDIF(tblCustomers[[#This Row],[JoinDate]],TODAY(),"M"),0)</f>
        <v>18</v>
      </c>
      <c r="S168" s="19" t="str">
        <f>IFERROR(IF(AND(tblCustomers[[#This Row],[Age]]&gt;=18,tblCustomers[[#This Row],[IncomeRange]]&gt;0,tblCustomers[[#This Row],[CustomerID]]&lt;&gt;""),"OK","CHECK"),"CHECK")</f>
        <v>OK</v>
      </c>
    </row>
    <row r="169" spans="1:19" ht="15" customHeight="1" x14ac:dyDescent="0.3">
      <c r="A169" s="16" t="str">
        <f>IFERROR(TRIM(tblCustomers[[#This Row],[CustomerID]]),"")</f>
        <v>C0167</v>
      </c>
      <c r="B169" s="16" t="str">
        <f>IFERROR(PROPER(TRIM(tblCustomers[[#This Row],[Name]])),"")</f>
        <v>Deepak Mehta</v>
      </c>
      <c r="C169" s="16" t="str">
        <f>IFERROR(PROPER(TRIM(tblCustomers[[#This Row],[Gender]])),"")</f>
        <v>Male</v>
      </c>
      <c r="D169" s="16">
        <f>IFERROR(tblCustomers[[#This Row],[Age]],"")</f>
        <v>63</v>
      </c>
      <c r="E169" s="16" t="str">
        <f>IFERROR(PROPER(TRIM(tblCustomers[[#This Row],[City/Region]])),"")</f>
        <v>Chennai</v>
      </c>
      <c r="F169" s="16">
        <f>IFERROR(tblCustomers[[#This Row],[IncomeRange]],"")</f>
        <v>148646</v>
      </c>
      <c r="G169" s="16" t="str">
        <f>IFERROR(PROPER(TRIM(tblCustomers[[#This Row],[Occupation]])),"")</f>
        <v>Professor</v>
      </c>
      <c r="H169" s="17">
        <f>IFERROR(tblCustomers[[#This Row],[JoinDate]],"")</f>
        <v>44985</v>
      </c>
      <c r="I169" s="16" t="str">
        <f>IFERROR(PROPER(TRIM(tblCustomers[[#This Row],[PurchaseChannel]])),"")</f>
        <v>Offline</v>
      </c>
      <c r="J169" s="16" t="str">
        <f>IFERROR(PROPER(TRIM(tblCustomers[[#This Row],[CustomerType]])),"")</f>
        <v>Returning</v>
      </c>
      <c r="K169" s="16" t="str">
        <f>IFERROR(PROPER(TRIM(tblCustomers[[#This Row],[EngagementLevel]])),"")</f>
        <v>Medium</v>
      </c>
      <c r="L169" s="16" t="str">
        <f>IFERROR(PROPER(TRIM(tblCustomers[[#This Row],[DiscountSensitivity]])),"")</f>
        <v>Medium</v>
      </c>
      <c r="M169" s="17">
        <f>IFERROR(tblCustomers[[#This Row],[LastPurchaseDate]],"")</f>
        <v>45989</v>
      </c>
      <c r="N169" s="16" t="str">
        <f>IFERROR(IF(tblCustomers[[#This Row],[Age]]&lt;25,"&lt;25",IF(tblCustomers[[#This Row],[Age]]&lt;40,"25-39",IF(tblCustomers[[#This Row],[Age]]&lt;55,"40-54","55+"))),"N/A")</f>
        <v>55+</v>
      </c>
      <c r="O169" s="16" t="str">
        <f>IFERROR(IF(tblCustomers[[#This Row],[IncomeRange]]&lt;25000,"Low",IF(tblCustomers[[#This Row],[IncomeRange]]&lt;75000,"Mid","High")),"N/A")</f>
        <v>High</v>
      </c>
      <c r="P169" s="16" t="str">
        <f>IFERROR(TEXT(tblCustomers[[#This Row],[JoinDate]],"DDDD"),"")</f>
        <v>Tuesday</v>
      </c>
      <c r="Q169" s="18" t="b">
        <f>IFERROR(IF(WEEKDAY(tblCustomers[[#This Row],[JoinDate]],2)&gt;=6,TRUE(),FALSE()),FALSE())</f>
        <v>0</v>
      </c>
      <c r="R169" s="16">
        <f ca="1">IFERROR(DATEDIF(tblCustomers[[#This Row],[JoinDate]],TODAY(),"M"),0)</f>
        <v>37</v>
      </c>
      <c r="S169" s="16" t="str">
        <f>IFERROR(IF(AND(tblCustomers[[#This Row],[Age]]&gt;=18,tblCustomers[[#This Row],[IncomeRange]]&gt;0,tblCustomers[[#This Row],[CustomerID]]&lt;&gt;""),"OK","CHECK"),"CHECK")</f>
        <v>OK</v>
      </c>
    </row>
    <row r="170" spans="1:19" ht="15" customHeight="1" x14ac:dyDescent="0.3">
      <c r="A170" s="19" t="str">
        <f>IFERROR(TRIM(tblCustomers[[#This Row],[CustomerID]]),"")</f>
        <v>C0168</v>
      </c>
      <c r="B170" s="19" t="str">
        <f>IFERROR(PROPER(TRIM(tblCustomers[[#This Row],[Name]])),"")</f>
        <v>Pranav Nair</v>
      </c>
      <c r="C170" s="19" t="str">
        <f>IFERROR(PROPER(TRIM(tblCustomers[[#This Row],[Gender]])),"")</f>
        <v>Male</v>
      </c>
      <c r="D170" s="19">
        <f>IFERROR(tblCustomers[[#This Row],[Age]],"")</f>
        <v>26</v>
      </c>
      <c r="E170" s="19" t="str">
        <f>IFERROR(PROPER(TRIM(tblCustomers[[#This Row],[City/Region]])),"")</f>
        <v>Jaipur</v>
      </c>
      <c r="F170" s="19">
        <f>IFERROR(tblCustomers[[#This Row],[IncomeRange]],"")</f>
        <v>126774</v>
      </c>
      <c r="G170" s="19" t="str">
        <f>IFERROR(PROPER(TRIM(tblCustomers[[#This Row],[Occupation]])),"")</f>
        <v>Hr Manager</v>
      </c>
      <c r="H170" s="20">
        <f>IFERROR(tblCustomers[[#This Row],[JoinDate]],"")</f>
        <v>44912</v>
      </c>
      <c r="I170" s="19" t="str">
        <f>IFERROR(PROPER(TRIM(tblCustomers[[#This Row],[PurchaseChannel]])),"")</f>
        <v>Offline</v>
      </c>
      <c r="J170" s="19" t="str">
        <f>IFERROR(PROPER(TRIM(tblCustomers[[#This Row],[CustomerType]])),"")</f>
        <v>New</v>
      </c>
      <c r="K170" s="19" t="str">
        <f>IFERROR(PROPER(TRIM(tblCustomers[[#This Row],[EngagementLevel]])),"")</f>
        <v>Medium</v>
      </c>
      <c r="L170" s="19" t="str">
        <f>IFERROR(PROPER(TRIM(tblCustomers[[#This Row],[DiscountSensitivity]])),"")</f>
        <v>High</v>
      </c>
      <c r="M170" s="20">
        <f>IFERROR(tblCustomers[[#This Row],[LastPurchaseDate]],"")</f>
        <v>45900</v>
      </c>
      <c r="N170" s="19" t="str">
        <f>IFERROR(IF(tblCustomers[[#This Row],[Age]]&lt;25,"&lt;25",IF(tblCustomers[[#This Row],[Age]]&lt;40,"25-39",IF(tblCustomers[[#This Row],[Age]]&lt;55,"40-54","55+"))),"N/A")</f>
        <v>25-39</v>
      </c>
      <c r="O170" s="19" t="str">
        <f>IFERROR(IF(tblCustomers[[#This Row],[IncomeRange]]&lt;25000,"Low",IF(tblCustomers[[#This Row],[IncomeRange]]&lt;75000,"Mid","High")),"N/A")</f>
        <v>High</v>
      </c>
      <c r="P170" s="19" t="str">
        <f>IFERROR(TEXT(tblCustomers[[#This Row],[JoinDate]],"DDDD"),"")</f>
        <v>Saturday</v>
      </c>
      <c r="Q170" s="21" t="b">
        <f>IFERROR(IF(WEEKDAY(tblCustomers[[#This Row],[JoinDate]],2)&gt;=6,TRUE(),FALSE()),FALSE())</f>
        <v>1</v>
      </c>
      <c r="R170" s="19">
        <f ca="1">IFERROR(DATEDIF(tblCustomers[[#This Row],[JoinDate]],TODAY(),"M"),0)</f>
        <v>39</v>
      </c>
      <c r="S170" s="19" t="str">
        <f>IFERROR(IF(AND(tblCustomers[[#This Row],[Age]]&gt;=18,tblCustomers[[#This Row],[IncomeRange]]&gt;0,tblCustomers[[#This Row],[CustomerID]]&lt;&gt;""),"OK","CHECK"),"CHECK")</f>
        <v>OK</v>
      </c>
    </row>
    <row r="171" spans="1:19" ht="15" customHeight="1" x14ac:dyDescent="0.3">
      <c r="A171" s="16" t="str">
        <f>IFERROR(TRIM(tblCustomers[[#This Row],[CustomerID]]),"")</f>
        <v>C0169</v>
      </c>
      <c r="B171" s="16" t="str">
        <f>IFERROR(PROPER(TRIM(tblCustomers[[#This Row],[Name]])),"")</f>
        <v>Deepak Nair</v>
      </c>
      <c r="C171" s="16" t="str">
        <f>IFERROR(PROPER(TRIM(tblCustomers[[#This Row],[Gender]])),"")</f>
        <v>Male</v>
      </c>
      <c r="D171" s="16">
        <f>IFERROR(tblCustomers[[#This Row],[Age]],"")</f>
        <v>50</v>
      </c>
      <c r="E171" s="16" t="str">
        <f>IFERROR(PROPER(TRIM(tblCustomers[[#This Row],[City/Region]])),"")</f>
        <v>Chandigarh</v>
      </c>
      <c r="F171" s="16">
        <f>IFERROR(tblCustomers[[#This Row],[IncomeRange]],"")</f>
        <v>144967</v>
      </c>
      <c r="G171" s="16" t="str">
        <f>IFERROR(PROPER(TRIM(tblCustomers[[#This Row],[Occupation]])),"")</f>
        <v>Hr Manager</v>
      </c>
      <c r="H171" s="17">
        <f>IFERROR(tblCustomers[[#This Row],[JoinDate]],"")</f>
        <v>45378</v>
      </c>
      <c r="I171" s="16" t="str">
        <f>IFERROR(PROPER(TRIM(tblCustomers[[#This Row],[PurchaseChannel]])),"")</f>
        <v>Offline</v>
      </c>
      <c r="J171" s="16" t="str">
        <f>IFERROR(PROPER(TRIM(tblCustomers[[#This Row],[CustomerType]])),"")</f>
        <v>Returning</v>
      </c>
      <c r="K171" s="16" t="str">
        <f>IFERROR(PROPER(TRIM(tblCustomers[[#This Row],[EngagementLevel]])),"")</f>
        <v>Medium</v>
      </c>
      <c r="L171" s="16" t="str">
        <f>IFERROR(PROPER(TRIM(tblCustomers[[#This Row],[DiscountSensitivity]])),"")</f>
        <v>Low</v>
      </c>
      <c r="M171" s="17">
        <f>IFERROR(tblCustomers[[#This Row],[LastPurchaseDate]],"")</f>
        <v>46105</v>
      </c>
      <c r="N171" s="16" t="str">
        <f>IFERROR(IF(tblCustomers[[#This Row],[Age]]&lt;25,"&lt;25",IF(tblCustomers[[#This Row],[Age]]&lt;40,"25-39",IF(tblCustomers[[#This Row],[Age]]&lt;55,"40-54","55+"))),"N/A")</f>
        <v>40-54</v>
      </c>
      <c r="O171" s="16" t="str">
        <f>IFERROR(IF(tblCustomers[[#This Row],[IncomeRange]]&lt;25000,"Low",IF(tblCustomers[[#This Row],[IncomeRange]]&lt;75000,"Mid","High")),"N/A")</f>
        <v>High</v>
      </c>
      <c r="P171" s="16" t="str">
        <f>IFERROR(TEXT(tblCustomers[[#This Row],[JoinDate]],"DDDD"),"")</f>
        <v>Wednesday</v>
      </c>
      <c r="Q171" s="18" t="b">
        <f>IFERROR(IF(WEEKDAY(tblCustomers[[#This Row],[JoinDate]],2)&gt;=6,TRUE(),FALSE()),FALSE())</f>
        <v>0</v>
      </c>
      <c r="R171" s="16">
        <f ca="1">IFERROR(DATEDIF(tblCustomers[[#This Row],[JoinDate]],TODAY(),"M"),0)</f>
        <v>24</v>
      </c>
      <c r="S171" s="16" t="str">
        <f>IFERROR(IF(AND(tblCustomers[[#This Row],[Age]]&gt;=18,tblCustomers[[#This Row],[IncomeRange]]&gt;0,tblCustomers[[#This Row],[CustomerID]]&lt;&gt;""),"OK","CHECK"),"CHECK")</f>
        <v>OK</v>
      </c>
    </row>
    <row r="172" spans="1:19" ht="15" customHeight="1" x14ac:dyDescent="0.3">
      <c r="A172" s="19" t="str">
        <f>IFERROR(TRIM(tblCustomers[[#This Row],[CustomerID]]),"")</f>
        <v>C0170</v>
      </c>
      <c r="B172" s="19" t="str">
        <f>IFERROR(PROPER(TRIM(tblCustomers[[#This Row],[Name]])),"")</f>
        <v>Swati Sharma</v>
      </c>
      <c r="C172" s="19" t="str">
        <f>IFERROR(PROPER(TRIM(tblCustomers[[#This Row],[Gender]])),"")</f>
        <v>Female</v>
      </c>
      <c r="D172" s="19">
        <f>IFERROR(tblCustomers[[#This Row],[Age]],"")</f>
        <v>24</v>
      </c>
      <c r="E172" s="19" t="str">
        <f>IFERROR(PROPER(TRIM(tblCustomers[[#This Row],[City/Region]])),"")</f>
        <v>Noida</v>
      </c>
      <c r="F172" s="19">
        <f>IFERROR(tblCustomers[[#This Row],[IncomeRange]],"")</f>
        <v>141987</v>
      </c>
      <c r="G172" s="19" t="str">
        <f>IFERROR(PROPER(TRIM(tblCustomers[[#This Row],[Occupation]])),"")</f>
        <v>Product Manager</v>
      </c>
      <c r="H172" s="20">
        <f>IFERROR(tblCustomers[[#This Row],[JoinDate]],"")</f>
        <v>44888</v>
      </c>
      <c r="I172" s="19" t="str">
        <f>IFERROR(PROPER(TRIM(tblCustomers[[#This Row],[PurchaseChannel]])),"")</f>
        <v>Offline</v>
      </c>
      <c r="J172" s="19" t="str">
        <f>IFERROR(PROPER(TRIM(tblCustomers[[#This Row],[CustomerType]])),"")</f>
        <v>Returning</v>
      </c>
      <c r="K172" s="19" t="str">
        <f>IFERROR(PROPER(TRIM(tblCustomers[[#This Row],[EngagementLevel]])),"")</f>
        <v>High</v>
      </c>
      <c r="L172" s="19" t="str">
        <f>IFERROR(PROPER(TRIM(tblCustomers[[#This Row],[DiscountSensitivity]])),"")</f>
        <v>High</v>
      </c>
      <c r="M172" s="20">
        <f>IFERROR(tblCustomers[[#This Row],[LastPurchaseDate]],"")</f>
        <v>45825</v>
      </c>
      <c r="N172" s="19" t="str">
        <f>IFERROR(IF(tblCustomers[[#This Row],[Age]]&lt;25,"&lt;25",IF(tblCustomers[[#This Row],[Age]]&lt;40,"25-39",IF(tblCustomers[[#This Row],[Age]]&lt;55,"40-54","55+"))),"N/A")</f>
        <v>&lt;25</v>
      </c>
      <c r="O172" s="19" t="str">
        <f>IFERROR(IF(tblCustomers[[#This Row],[IncomeRange]]&lt;25000,"Low",IF(tblCustomers[[#This Row],[IncomeRange]]&lt;75000,"Mid","High")),"N/A")</f>
        <v>High</v>
      </c>
      <c r="P172" s="19" t="str">
        <f>IFERROR(TEXT(tblCustomers[[#This Row],[JoinDate]],"DDDD"),"")</f>
        <v>Wednesday</v>
      </c>
      <c r="Q172" s="21" t="b">
        <f>IFERROR(IF(WEEKDAY(tblCustomers[[#This Row],[JoinDate]],2)&gt;=6,TRUE(),FALSE()),FALSE())</f>
        <v>0</v>
      </c>
      <c r="R172" s="19">
        <f ca="1">IFERROR(DATEDIF(tblCustomers[[#This Row],[JoinDate]],TODAY(),"M"),0)</f>
        <v>40</v>
      </c>
      <c r="S172" s="19" t="str">
        <f>IFERROR(IF(AND(tblCustomers[[#This Row],[Age]]&gt;=18,tblCustomers[[#This Row],[IncomeRange]]&gt;0,tblCustomers[[#This Row],[CustomerID]]&lt;&gt;""),"OK","CHECK"),"CHECK")</f>
        <v>OK</v>
      </c>
    </row>
    <row r="173" spans="1:19" ht="15" customHeight="1" x14ac:dyDescent="0.3">
      <c r="A173" s="16" t="str">
        <f>IFERROR(TRIM(tblCustomers[[#This Row],[CustomerID]]),"")</f>
        <v>C0171</v>
      </c>
      <c r="B173" s="16" t="str">
        <f>IFERROR(PROPER(TRIM(tblCustomers[[#This Row],[Name]])),"")</f>
        <v>Sneha Mehta</v>
      </c>
      <c r="C173" s="16" t="str">
        <f>IFERROR(PROPER(TRIM(tblCustomers[[#This Row],[Gender]])),"")</f>
        <v>Female</v>
      </c>
      <c r="D173" s="16">
        <f>IFERROR(tblCustomers[[#This Row],[Age]],"")</f>
        <v>28</v>
      </c>
      <c r="E173" s="16" t="str">
        <f>IFERROR(PROPER(TRIM(tblCustomers[[#This Row],[City/Region]])),"")</f>
        <v>Nagpur</v>
      </c>
      <c r="F173" s="16">
        <f>IFERROR(tblCustomers[[#This Row],[IncomeRange]],"")</f>
        <v>44138</v>
      </c>
      <c r="G173" s="16" t="str">
        <f>IFERROR(PROPER(TRIM(tblCustomers[[#This Row],[Occupation]])),"")</f>
        <v>Lawyer</v>
      </c>
      <c r="H173" s="17">
        <f>IFERROR(tblCustomers[[#This Row],[JoinDate]],"")</f>
        <v>45251</v>
      </c>
      <c r="I173" s="16" t="str">
        <f>IFERROR(PROPER(TRIM(tblCustomers[[#This Row],[PurchaseChannel]])),"")</f>
        <v>Online</v>
      </c>
      <c r="J173" s="16" t="str">
        <f>IFERROR(PROPER(TRIM(tblCustomers[[#This Row],[CustomerType]])),"")</f>
        <v>New</v>
      </c>
      <c r="K173" s="16" t="str">
        <f>IFERROR(PROPER(TRIM(tblCustomers[[#This Row],[EngagementLevel]])),"")</f>
        <v>Medium</v>
      </c>
      <c r="L173" s="16" t="str">
        <f>IFERROR(PROPER(TRIM(tblCustomers[[#This Row],[DiscountSensitivity]])),"")</f>
        <v>High</v>
      </c>
      <c r="M173" s="17">
        <f>IFERROR(tblCustomers[[#This Row],[LastPurchaseDate]],"")</f>
        <v>45827</v>
      </c>
      <c r="N173" s="16" t="str">
        <f>IFERROR(IF(tblCustomers[[#This Row],[Age]]&lt;25,"&lt;25",IF(tblCustomers[[#This Row],[Age]]&lt;40,"25-39",IF(tblCustomers[[#This Row],[Age]]&lt;55,"40-54","55+"))),"N/A")</f>
        <v>25-39</v>
      </c>
      <c r="O173" s="16" t="str">
        <f>IFERROR(IF(tblCustomers[[#This Row],[IncomeRange]]&lt;25000,"Low",IF(tblCustomers[[#This Row],[IncomeRange]]&lt;75000,"Mid","High")),"N/A")</f>
        <v>Mid</v>
      </c>
      <c r="P173" s="16" t="str">
        <f>IFERROR(TEXT(tblCustomers[[#This Row],[JoinDate]],"DDDD"),"")</f>
        <v>Tuesday</v>
      </c>
      <c r="Q173" s="18" t="b">
        <f>IFERROR(IF(WEEKDAY(tblCustomers[[#This Row],[JoinDate]],2)&gt;=6,TRUE(),FALSE()),FALSE())</f>
        <v>0</v>
      </c>
      <c r="R173" s="16">
        <f ca="1">IFERROR(DATEDIF(tblCustomers[[#This Row],[JoinDate]],TODAY(),"M"),0)</f>
        <v>28</v>
      </c>
      <c r="S173" s="16" t="str">
        <f>IFERROR(IF(AND(tblCustomers[[#This Row],[Age]]&gt;=18,tblCustomers[[#This Row],[IncomeRange]]&gt;0,tblCustomers[[#This Row],[CustomerID]]&lt;&gt;""),"OK","CHECK"),"CHECK")</f>
        <v>OK</v>
      </c>
    </row>
    <row r="174" spans="1:19" ht="15" customHeight="1" x14ac:dyDescent="0.3">
      <c r="A174" s="19" t="str">
        <f>IFERROR(TRIM(tblCustomers[[#This Row],[CustomerID]]),"")</f>
        <v>C0172</v>
      </c>
      <c r="B174" s="19" t="str">
        <f>IFERROR(PROPER(TRIM(tblCustomers[[#This Row],[Name]])),"")</f>
        <v>Sunita Reddy</v>
      </c>
      <c r="C174" s="19" t="str">
        <f>IFERROR(PROPER(TRIM(tblCustomers[[#This Row],[Gender]])),"")</f>
        <v>Female</v>
      </c>
      <c r="D174" s="19">
        <f>IFERROR(tblCustomers[[#This Row],[Age]],"")</f>
        <v>63</v>
      </c>
      <c r="E174" s="19" t="str">
        <f>IFERROR(PROPER(TRIM(tblCustomers[[#This Row],[City/Region]])),"")</f>
        <v>Bangalore</v>
      </c>
      <c r="F174" s="19">
        <f>IFERROR(tblCustomers[[#This Row],[IncomeRange]],"")</f>
        <v>104131</v>
      </c>
      <c r="G174" s="19" t="str">
        <f>IFERROR(PROPER(TRIM(tblCustomers[[#This Row],[Occupation]])),"")</f>
        <v>Nurse</v>
      </c>
      <c r="H174" s="20">
        <f>IFERROR(tblCustomers[[#This Row],[JoinDate]],"")</f>
        <v>45028</v>
      </c>
      <c r="I174" s="19" t="str">
        <f>IFERROR(PROPER(TRIM(tblCustomers[[#This Row],[PurchaseChannel]])),"")</f>
        <v>Offline</v>
      </c>
      <c r="J174" s="19" t="str">
        <f>IFERROR(PROPER(TRIM(tblCustomers[[#This Row],[CustomerType]])),"")</f>
        <v>Returning</v>
      </c>
      <c r="K174" s="19" t="str">
        <f>IFERROR(PROPER(TRIM(tblCustomers[[#This Row],[EngagementLevel]])),"")</f>
        <v>High</v>
      </c>
      <c r="L174" s="19" t="str">
        <f>IFERROR(PROPER(TRIM(tblCustomers[[#This Row],[DiscountSensitivity]])),"")</f>
        <v>High</v>
      </c>
      <c r="M174" s="20">
        <f>IFERROR(tblCustomers[[#This Row],[LastPurchaseDate]],"")</f>
        <v>45997</v>
      </c>
      <c r="N174" s="19" t="str">
        <f>IFERROR(IF(tblCustomers[[#This Row],[Age]]&lt;25,"&lt;25",IF(tblCustomers[[#This Row],[Age]]&lt;40,"25-39",IF(tblCustomers[[#This Row],[Age]]&lt;55,"40-54","55+"))),"N/A")</f>
        <v>55+</v>
      </c>
      <c r="O174" s="19" t="str">
        <f>IFERROR(IF(tblCustomers[[#This Row],[IncomeRange]]&lt;25000,"Low",IF(tblCustomers[[#This Row],[IncomeRange]]&lt;75000,"Mid","High")),"N/A")</f>
        <v>High</v>
      </c>
      <c r="P174" s="19" t="str">
        <f>IFERROR(TEXT(tblCustomers[[#This Row],[JoinDate]],"DDDD"),"")</f>
        <v>Wednesday</v>
      </c>
      <c r="Q174" s="21" t="b">
        <f>IFERROR(IF(WEEKDAY(tblCustomers[[#This Row],[JoinDate]],2)&gt;=6,TRUE(),FALSE()),FALSE())</f>
        <v>0</v>
      </c>
      <c r="R174" s="19">
        <f ca="1">IFERROR(DATEDIF(tblCustomers[[#This Row],[JoinDate]],TODAY(),"M"),0)</f>
        <v>36</v>
      </c>
      <c r="S174" s="19" t="str">
        <f>IFERROR(IF(AND(tblCustomers[[#This Row],[Age]]&gt;=18,tblCustomers[[#This Row],[IncomeRange]]&gt;0,tblCustomers[[#This Row],[CustomerID]]&lt;&gt;""),"OK","CHECK"),"CHECK")</f>
        <v>OK</v>
      </c>
    </row>
    <row r="175" spans="1:19" ht="15" customHeight="1" x14ac:dyDescent="0.3">
      <c r="A175" s="16" t="str">
        <f>IFERROR(TRIM(tblCustomers[[#This Row],[CustomerID]]),"")</f>
        <v>C0173</v>
      </c>
      <c r="B175" s="16" t="str">
        <f>IFERROR(PROPER(TRIM(tblCustomers[[#This Row],[Name]])),"")</f>
        <v>Rekha Sharma</v>
      </c>
      <c r="C175" s="16" t="str">
        <f>IFERROR(PROPER(TRIM(tblCustomers[[#This Row],[Gender]])),"")</f>
        <v>Female</v>
      </c>
      <c r="D175" s="16">
        <f>IFERROR(tblCustomers[[#This Row],[Age]],"")</f>
        <v>36</v>
      </c>
      <c r="E175" s="16" t="str">
        <f>IFERROR(PROPER(TRIM(tblCustomers[[#This Row],[City/Region]])),"")</f>
        <v>Bangalore</v>
      </c>
      <c r="F175" s="16">
        <f>IFERROR(tblCustomers[[#This Row],[IncomeRange]],"")</f>
        <v>131763</v>
      </c>
      <c r="G175" s="16" t="str">
        <f>IFERROR(PROPER(TRIM(tblCustomers[[#This Row],[Occupation]])),"")</f>
        <v>Doctor</v>
      </c>
      <c r="H175" s="17">
        <f>IFERROR(tblCustomers[[#This Row],[JoinDate]],"")</f>
        <v>44940</v>
      </c>
      <c r="I175" s="16" t="str">
        <f>IFERROR(PROPER(TRIM(tblCustomers[[#This Row],[PurchaseChannel]])),"")</f>
        <v>Online</v>
      </c>
      <c r="J175" s="16" t="str">
        <f>IFERROR(PROPER(TRIM(tblCustomers[[#This Row],[CustomerType]])),"")</f>
        <v>Returning</v>
      </c>
      <c r="K175" s="16" t="str">
        <f>IFERROR(PROPER(TRIM(tblCustomers[[#This Row],[EngagementLevel]])),"")</f>
        <v>Low</v>
      </c>
      <c r="L175" s="16" t="str">
        <f>IFERROR(PROPER(TRIM(tblCustomers[[#This Row],[DiscountSensitivity]])),"")</f>
        <v>High</v>
      </c>
      <c r="M175" s="17">
        <f>IFERROR(tblCustomers[[#This Row],[LastPurchaseDate]],"")</f>
        <v>45901</v>
      </c>
      <c r="N175" s="16" t="str">
        <f>IFERROR(IF(tblCustomers[[#This Row],[Age]]&lt;25,"&lt;25",IF(tblCustomers[[#This Row],[Age]]&lt;40,"25-39",IF(tblCustomers[[#This Row],[Age]]&lt;55,"40-54","55+"))),"N/A")</f>
        <v>25-39</v>
      </c>
      <c r="O175" s="16" t="str">
        <f>IFERROR(IF(tblCustomers[[#This Row],[IncomeRange]]&lt;25000,"Low",IF(tblCustomers[[#This Row],[IncomeRange]]&lt;75000,"Mid","High")),"N/A")</f>
        <v>High</v>
      </c>
      <c r="P175" s="16" t="str">
        <f>IFERROR(TEXT(tblCustomers[[#This Row],[JoinDate]],"DDDD"),"")</f>
        <v>Saturday</v>
      </c>
      <c r="Q175" s="18" t="b">
        <f>IFERROR(IF(WEEKDAY(tblCustomers[[#This Row],[JoinDate]],2)&gt;=6,TRUE(),FALSE()),FALSE())</f>
        <v>1</v>
      </c>
      <c r="R175" s="16">
        <f ca="1">IFERROR(DATEDIF(tblCustomers[[#This Row],[JoinDate]],TODAY(),"M"),0)</f>
        <v>38</v>
      </c>
      <c r="S175" s="16" t="str">
        <f>IFERROR(IF(AND(tblCustomers[[#This Row],[Age]]&gt;=18,tblCustomers[[#This Row],[IncomeRange]]&gt;0,tblCustomers[[#This Row],[CustomerID]]&lt;&gt;""),"OK","CHECK"),"CHECK")</f>
        <v>OK</v>
      </c>
    </row>
    <row r="176" spans="1:19" ht="15" customHeight="1" x14ac:dyDescent="0.3">
      <c r="A176" s="19" t="str">
        <f>IFERROR(TRIM(tblCustomers[[#This Row],[CustomerID]]),"")</f>
        <v>C0174</v>
      </c>
      <c r="B176" s="19" t="str">
        <f>IFERROR(PROPER(TRIM(tblCustomers[[#This Row],[Name]])),"")</f>
        <v>Meena Jain</v>
      </c>
      <c r="C176" s="19" t="str">
        <f>IFERROR(PROPER(TRIM(tblCustomers[[#This Row],[Gender]])),"")</f>
        <v>Female</v>
      </c>
      <c r="D176" s="19">
        <f>IFERROR(tblCustomers[[#This Row],[Age]],"")</f>
        <v>44</v>
      </c>
      <c r="E176" s="19" t="str">
        <f>IFERROR(PROPER(TRIM(tblCustomers[[#This Row],[City/Region]])),"")</f>
        <v>Indore</v>
      </c>
      <c r="F176" s="19">
        <f>IFERROR(tblCustomers[[#This Row],[IncomeRange]],"")</f>
        <v>130901</v>
      </c>
      <c r="G176" s="19" t="str">
        <f>IFERROR(PROPER(TRIM(tblCustomers[[#This Row],[Occupation]])),"")</f>
        <v>Teacher</v>
      </c>
      <c r="H176" s="20">
        <f>IFERROR(tblCustomers[[#This Row],[JoinDate]],"")</f>
        <v>45468</v>
      </c>
      <c r="I176" s="19" t="str">
        <f>IFERROR(PROPER(TRIM(tblCustomers[[#This Row],[PurchaseChannel]])),"")</f>
        <v>Offline</v>
      </c>
      <c r="J176" s="19" t="str">
        <f>IFERROR(PROPER(TRIM(tblCustomers[[#This Row],[CustomerType]])),"")</f>
        <v>New</v>
      </c>
      <c r="K176" s="19" t="str">
        <f>IFERROR(PROPER(TRIM(tblCustomers[[#This Row],[EngagementLevel]])),"")</f>
        <v>Low</v>
      </c>
      <c r="L176" s="19" t="str">
        <f>IFERROR(PROPER(TRIM(tblCustomers[[#This Row],[DiscountSensitivity]])),"")</f>
        <v>Low</v>
      </c>
      <c r="M176" s="20">
        <f>IFERROR(tblCustomers[[#This Row],[LastPurchaseDate]],"")</f>
        <v>45788</v>
      </c>
      <c r="N176" s="19" t="str">
        <f>IFERROR(IF(tblCustomers[[#This Row],[Age]]&lt;25,"&lt;25",IF(tblCustomers[[#This Row],[Age]]&lt;40,"25-39",IF(tblCustomers[[#This Row],[Age]]&lt;55,"40-54","55+"))),"N/A")</f>
        <v>40-54</v>
      </c>
      <c r="O176" s="19" t="str">
        <f>IFERROR(IF(tblCustomers[[#This Row],[IncomeRange]]&lt;25000,"Low",IF(tblCustomers[[#This Row],[IncomeRange]]&lt;75000,"Mid","High")),"N/A")</f>
        <v>High</v>
      </c>
      <c r="P176" s="19" t="str">
        <f>IFERROR(TEXT(tblCustomers[[#This Row],[JoinDate]],"DDDD"),"")</f>
        <v>Tuesday</v>
      </c>
      <c r="Q176" s="21" t="b">
        <f>IFERROR(IF(WEEKDAY(tblCustomers[[#This Row],[JoinDate]],2)&gt;=6,TRUE(),FALSE()),FALSE())</f>
        <v>0</v>
      </c>
      <c r="R176" s="19">
        <f ca="1">IFERROR(DATEDIF(tblCustomers[[#This Row],[JoinDate]],TODAY(),"M"),0)</f>
        <v>21</v>
      </c>
      <c r="S176" s="19" t="str">
        <f>IFERROR(IF(AND(tblCustomers[[#This Row],[Age]]&gt;=18,tblCustomers[[#This Row],[IncomeRange]]&gt;0,tblCustomers[[#This Row],[CustomerID]]&lt;&gt;""),"OK","CHECK"),"CHECK")</f>
        <v>OK</v>
      </c>
    </row>
    <row r="177" spans="1:19" ht="15" customHeight="1" x14ac:dyDescent="0.3">
      <c r="A177" s="16" t="str">
        <f>IFERROR(TRIM(tblCustomers[[#This Row],[CustomerID]]),"")</f>
        <v>C0175</v>
      </c>
      <c r="B177" s="16" t="str">
        <f>IFERROR(PROPER(TRIM(tblCustomers[[#This Row],[Name]])),"")</f>
        <v>Rekha Rao</v>
      </c>
      <c r="C177" s="16" t="str">
        <f>IFERROR(PROPER(TRIM(tblCustomers[[#This Row],[Gender]])),"")</f>
        <v>Female</v>
      </c>
      <c r="D177" s="16">
        <f>IFERROR(tblCustomers[[#This Row],[Age]],"")</f>
        <v>59</v>
      </c>
      <c r="E177" s="16" t="str">
        <f>IFERROR(PROPER(TRIM(tblCustomers[[#This Row],[City/Region]])),"")</f>
        <v>Chennai</v>
      </c>
      <c r="F177" s="16">
        <f>IFERROR(tblCustomers[[#This Row],[IncomeRange]],"")</f>
        <v>78866</v>
      </c>
      <c r="G177" s="16" t="str">
        <f>IFERROR(PROPER(TRIM(tblCustomers[[#This Row],[Occupation]])),"")</f>
        <v>Sales Executive</v>
      </c>
      <c r="H177" s="17">
        <f>IFERROR(tblCustomers[[#This Row],[JoinDate]],"")</f>
        <v>45065</v>
      </c>
      <c r="I177" s="16" t="str">
        <f>IFERROR(PROPER(TRIM(tblCustomers[[#This Row],[PurchaseChannel]])),"")</f>
        <v>Offline</v>
      </c>
      <c r="J177" s="16" t="str">
        <f>IFERROR(PROPER(TRIM(tblCustomers[[#This Row],[CustomerType]])),"")</f>
        <v>Returning</v>
      </c>
      <c r="K177" s="16" t="str">
        <f>IFERROR(PROPER(TRIM(tblCustomers[[#This Row],[EngagementLevel]])),"")</f>
        <v>Medium</v>
      </c>
      <c r="L177" s="16" t="str">
        <f>IFERROR(PROPER(TRIM(tblCustomers[[#This Row],[DiscountSensitivity]])),"")</f>
        <v>High</v>
      </c>
      <c r="M177" s="17">
        <f>IFERROR(tblCustomers[[#This Row],[LastPurchaseDate]],"")</f>
        <v>45752</v>
      </c>
      <c r="N177" s="16" t="str">
        <f>IFERROR(IF(tblCustomers[[#This Row],[Age]]&lt;25,"&lt;25",IF(tblCustomers[[#This Row],[Age]]&lt;40,"25-39",IF(tblCustomers[[#This Row],[Age]]&lt;55,"40-54","55+"))),"N/A")</f>
        <v>55+</v>
      </c>
      <c r="O177" s="16" t="str">
        <f>IFERROR(IF(tblCustomers[[#This Row],[IncomeRange]]&lt;25000,"Low",IF(tblCustomers[[#This Row],[IncomeRange]]&lt;75000,"Mid","High")),"N/A")</f>
        <v>High</v>
      </c>
      <c r="P177" s="16" t="str">
        <f>IFERROR(TEXT(tblCustomers[[#This Row],[JoinDate]],"DDDD"),"")</f>
        <v>Friday</v>
      </c>
      <c r="Q177" s="18" t="b">
        <f>IFERROR(IF(WEEKDAY(tblCustomers[[#This Row],[JoinDate]],2)&gt;=6,TRUE(),FALSE()),FALSE())</f>
        <v>0</v>
      </c>
      <c r="R177" s="16">
        <f ca="1">IFERROR(DATEDIF(tblCustomers[[#This Row],[JoinDate]],TODAY(),"M"),0)</f>
        <v>34</v>
      </c>
      <c r="S177" s="16" t="str">
        <f>IFERROR(IF(AND(tblCustomers[[#This Row],[Age]]&gt;=18,tblCustomers[[#This Row],[IncomeRange]]&gt;0,tblCustomers[[#This Row],[CustomerID]]&lt;&gt;""),"OK","CHECK"),"CHECK")</f>
        <v>OK</v>
      </c>
    </row>
    <row r="178" spans="1:19" ht="15" customHeight="1" x14ac:dyDescent="0.3">
      <c r="A178" s="19" t="str">
        <f>IFERROR(TRIM(tblCustomers[[#This Row],[CustomerID]]),"")</f>
        <v>C0176</v>
      </c>
      <c r="B178" s="19" t="str">
        <f>IFERROR(PROPER(TRIM(tblCustomers[[#This Row],[Name]])),"")</f>
        <v>Ajay Jain</v>
      </c>
      <c r="C178" s="19" t="str">
        <f>IFERROR(PROPER(TRIM(tblCustomers[[#This Row],[Gender]])),"")</f>
        <v>Male</v>
      </c>
      <c r="D178" s="19">
        <f>IFERROR(tblCustomers[[#This Row],[Age]],"")</f>
        <v>26</v>
      </c>
      <c r="E178" s="19" t="str">
        <f>IFERROR(PROPER(TRIM(tblCustomers[[#This Row],[City/Region]])),"")</f>
        <v>Nagpur</v>
      </c>
      <c r="F178" s="19">
        <f>IFERROR(tblCustomers[[#This Row],[IncomeRange]],"")</f>
        <v>108587</v>
      </c>
      <c r="G178" s="19" t="str">
        <f>IFERROR(PROPER(TRIM(tblCustomers[[#This Row],[Occupation]])),"")</f>
        <v>Accountant</v>
      </c>
      <c r="H178" s="20">
        <f>IFERROR(tblCustomers[[#This Row],[JoinDate]],"")</f>
        <v>45412</v>
      </c>
      <c r="I178" s="19" t="str">
        <f>IFERROR(PROPER(TRIM(tblCustomers[[#This Row],[PurchaseChannel]])),"")</f>
        <v>Offline</v>
      </c>
      <c r="J178" s="19" t="str">
        <f>IFERROR(PROPER(TRIM(tblCustomers[[#This Row],[CustomerType]])),"")</f>
        <v>Returning</v>
      </c>
      <c r="K178" s="19" t="str">
        <f>IFERROR(PROPER(TRIM(tblCustomers[[#This Row],[EngagementLevel]])),"")</f>
        <v>Medium</v>
      </c>
      <c r="L178" s="19" t="str">
        <f>IFERROR(PROPER(TRIM(tblCustomers[[#This Row],[DiscountSensitivity]])),"")</f>
        <v>Medium</v>
      </c>
      <c r="M178" s="20">
        <f>IFERROR(tblCustomers[[#This Row],[LastPurchaseDate]],"")</f>
        <v>45849</v>
      </c>
      <c r="N178" s="19" t="str">
        <f>IFERROR(IF(tblCustomers[[#This Row],[Age]]&lt;25,"&lt;25",IF(tblCustomers[[#This Row],[Age]]&lt;40,"25-39",IF(tblCustomers[[#This Row],[Age]]&lt;55,"40-54","55+"))),"N/A")</f>
        <v>25-39</v>
      </c>
      <c r="O178" s="19" t="str">
        <f>IFERROR(IF(tblCustomers[[#This Row],[IncomeRange]]&lt;25000,"Low",IF(tblCustomers[[#This Row],[IncomeRange]]&lt;75000,"Mid","High")),"N/A")</f>
        <v>High</v>
      </c>
      <c r="P178" s="19" t="str">
        <f>IFERROR(TEXT(tblCustomers[[#This Row],[JoinDate]],"DDDD"),"")</f>
        <v>Tuesday</v>
      </c>
      <c r="Q178" s="21" t="b">
        <f>IFERROR(IF(WEEKDAY(tblCustomers[[#This Row],[JoinDate]],2)&gt;=6,TRUE(),FALSE()),FALSE())</f>
        <v>0</v>
      </c>
      <c r="R178" s="19">
        <f ca="1">IFERROR(DATEDIF(tblCustomers[[#This Row],[JoinDate]],TODAY(),"M"),0)</f>
        <v>23</v>
      </c>
      <c r="S178" s="19" t="str">
        <f>IFERROR(IF(AND(tblCustomers[[#This Row],[Age]]&gt;=18,tblCustomers[[#This Row],[IncomeRange]]&gt;0,tblCustomers[[#This Row],[CustomerID]]&lt;&gt;""),"OK","CHECK"),"CHECK")</f>
        <v>OK</v>
      </c>
    </row>
    <row r="179" spans="1:19" ht="15" customHeight="1" x14ac:dyDescent="0.3">
      <c r="A179" s="16" t="str">
        <f>IFERROR(TRIM(tblCustomers[[#This Row],[CustomerID]]),"")</f>
        <v>C0177</v>
      </c>
      <c r="B179" s="16" t="str">
        <f>IFERROR(PROPER(TRIM(tblCustomers[[#This Row],[Name]])),"")</f>
        <v>Lakshmi Pillai</v>
      </c>
      <c r="C179" s="16" t="str">
        <f>IFERROR(PROPER(TRIM(tblCustomers[[#This Row],[Gender]])),"")</f>
        <v>Female</v>
      </c>
      <c r="D179" s="16">
        <f>IFERROR(tblCustomers[[#This Row],[Age]],"")</f>
        <v>58</v>
      </c>
      <c r="E179" s="16" t="str">
        <f>IFERROR(PROPER(TRIM(tblCustomers[[#This Row],[City/Region]])),"")</f>
        <v>Lucknow</v>
      </c>
      <c r="F179" s="16">
        <f>IFERROR(tblCustomers[[#This Row],[IncomeRange]],"")</f>
        <v>95392</v>
      </c>
      <c r="G179" s="16" t="str">
        <f>IFERROR(PROPER(TRIM(tblCustomers[[#This Row],[Occupation]])),"")</f>
        <v>Software Engineer</v>
      </c>
      <c r="H179" s="17">
        <f>IFERROR(tblCustomers[[#This Row],[JoinDate]],"")</f>
        <v>44869</v>
      </c>
      <c r="I179" s="16" t="str">
        <f>IFERROR(PROPER(TRIM(tblCustomers[[#This Row],[PurchaseChannel]])),"")</f>
        <v>Offline</v>
      </c>
      <c r="J179" s="16" t="str">
        <f>IFERROR(PROPER(TRIM(tblCustomers[[#This Row],[CustomerType]])),"")</f>
        <v>Returning</v>
      </c>
      <c r="K179" s="16" t="str">
        <f>IFERROR(PROPER(TRIM(tblCustomers[[#This Row],[EngagementLevel]])),"")</f>
        <v>Low</v>
      </c>
      <c r="L179" s="16" t="str">
        <f>IFERROR(PROPER(TRIM(tblCustomers[[#This Row],[DiscountSensitivity]])),"")</f>
        <v>High</v>
      </c>
      <c r="M179" s="17">
        <f>IFERROR(tblCustomers[[#This Row],[LastPurchaseDate]],"")</f>
        <v>46099</v>
      </c>
      <c r="N179" s="16" t="str">
        <f>IFERROR(IF(tblCustomers[[#This Row],[Age]]&lt;25,"&lt;25",IF(tblCustomers[[#This Row],[Age]]&lt;40,"25-39",IF(tblCustomers[[#This Row],[Age]]&lt;55,"40-54","55+"))),"N/A")</f>
        <v>55+</v>
      </c>
      <c r="O179" s="16" t="str">
        <f>IFERROR(IF(tblCustomers[[#This Row],[IncomeRange]]&lt;25000,"Low",IF(tblCustomers[[#This Row],[IncomeRange]]&lt;75000,"Mid","High")),"N/A")</f>
        <v>High</v>
      </c>
      <c r="P179" s="16" t="str">
        <f>IFERROR(TEXT(tblCustomers[[#This Row],[JoinDate]],"DDDD"),"")</f>
        <v>Friday</v>
      </c>
      <c r="Q179" s="18" t="b">
        <f>IFERROR(IF(WEEKDAY(tblCustomers[[#This Row],[JoinDate]],2)&gt;=6,TRUE(),FALSE()),FALSE())</f>
        <v>0</v>
      </c>
      <c r="R179" s="16">
        <f ca="1">IFERROR(DATEDIF(tblCustomers[[#This Row],[JoinDate]],TODAY(),"M"),0)</f>
        <v>41</v>
      </c>
      <c r="S179" s="16" t="str">
        <f>IFERROR(IF(AND(tblCustomers[[#This Row],[Age]]&gt;=18,tblCustomers[[#This Row],[IncomeRange]]&gt;0,tblCustomers[[#This Row],[CustomerID]]&lt;&gt;""),"OK","CHECK"),"CHECK")</f>
        <v>OK</v>
      </c>
    </row>
    <row r="180" spans="1:19" ht="15" customHeight="1" x14ac:dyDescent="0.3">
      <c r="A180" s="19" t="str">
        <f>IFERROR(TRIM(tblCustomers[[#This Row],[CustomerID]]),"")</f>
        <v>C0178</v>
      </c>
      <c r="B180" s="19" t="str">
        <f>IFERROR(PROPER(TRIM(tblCustomers[[#This Row],[Name]])),"")</f>
        <v>Divya Jain</v>
      </c>
      <c r="C180" s="19" t="str">
        <f>IFERROR(PROPER(TRIM(tblCustomers[[#This Row],[Gender]])),"")</f>
        <v>Female</v>
      </c>
      <c r="D180" s="19">
        <f>IFERROR(tblCustomers[[#This Row],[Age]],"")</f>
        <v>40</v>
      </c>
      <c r="E180" s="19" t="str">
        <f>IFERROR(PROPER(TRIM(tblCustomers[[#This Row],[City/Region]])),"")</f>
        <v>Ahmedabad</v>
      </c>
      <c r="F180" s="19">
        <f>IFERROR(tblCustomers[[#This Row],[IncomeRange]],"")</f>
        <v>110358</v>
      </c>
      <c r="G180" s="19" t="str">
        <f>IFERROR(PROPER(TRIM(tblCustomers[[#This Row],[Occupation]])),"")</f>
        <v>Business Owner</v>
      </c>
      <c r="H180" s="20">
        <f>IFERROR(tblCustomers[[#This Row],[JoinDate]],"")</f>
        <v>45067</v>
      </c>
      <c r="I180" s="19" t="str">
        <f>IFERROR(PROPER(TRIM(tblCustomers[[#This Row],[PurchaseChannel]])),"")</f>
        <v>Online</v>
      </c>
      <c r="J180" s="19" t="str">
        <f>IFERROR(PROPER(TRIM(tblCustomers[[#This Row],[CustomerType]])),"")</f>
        <v>Returning</v>
      </c>
      <c r="K180" s="19" t="str">
        <f>IFERROR(PROPER(TRIM(tblCustomers[[#This Row],[EngagementLevel]])),"")</f>
        <v>High</v>
      </c>
      <c r="L180" s="19" t="str">
        <f>IFERROR(PROPER(TRIM(tblCustomers[[#This Row],[DiscountSensitivity]])),"")</f>
        <v>High</v>
      </c>
      <c r="M180" s="20">
        <f>IFERROR(tblCustomers[[#This Row],[LastPurchaseDate]],"")</f>
        <v>46085</v>
      </c>
      <c r="N180" s="19" t="str">
        <f>IFERROR(IF(tblCustomers[[#This Row],[Age]]&lt;25,"&lt;25",IF(tblCustomers[[#This Row],[Age]]&lt;40,"25-39",IF(tblCustomers[[#This Row],[Age]]&lt;55,"40-54","55+"))),"N/A")</f>
        <v>40-54</v>
      </c>
      <c r="O180" s="19" t="str">
        <f>IFERROR(IF(tblCustomers[[#This Row],[IncomeRange]]&lt;25000,"Low",IF(tblCustomers[[#This Row],[IncomeRange]]&lt;75000,"Mid","High")),"N/A")</f>
        <v>High</v>
      </c>
      <c r="P180" s="19" t="str">
        <f>IFERROR(TEXT(tblCustomers[[#This Row],[JoinDate]],"DDDD"),"")</f>
        <v>Sunday</v>
      </c>
      <c r="Q180" s="21" t="b">
        <f>IFERROR(IF(WEEKDAY(tblCustomers[[#This Row],[JoinDate]],2)&gt;=6,TRUE(),FALSE()),FALSE())</f>
        <v>1</v>
      </c>
      <c r="R180" s="19">
        <f ca="1">IFERROR(DATEDIF(tblCustomers[[#This Row],[JoinDate]],TODAY(),"M"),0)</f>
        <v>34</v>
      </c>
      <c r="S180" s="19" t="str">
        <f>IFERROR(IF(AND(tblCustomers[[#This Row],[Age]]&gt;=18,tblCustomers[[#This Row],[IncomeRange]]&gt;0,tblCustomers[[#This Row],[CustomerID]]&lt;&gt;""),"OK","CHECK"),"CHECK")</f>
        <v>OK</v>
      </c>
    </row>
    <row r="181" spans="1:19" ht="15" customHeight="1" x14ac:dyDescent="0.3">
      <c r="A181" s="16" t="str">
        <f>IFERROR(TRIM(tblCustomers[[#This Row],[CustomerID]]),"")</f>
        <v>C0179</v>
      </c>
      <c r="B181" s="16" t="str">
        <f>IFERROR(PROPER(TRIM(tblCustomers[[#This Row],[Name]])),"")</f>
        <v>Suresh Patel</v>
      </c>
      <c r="C181" s="16" t="str">
        <f>IFERROR(PROPER(TRIM(tblCustomers[[#This Row],[Gender]])),"")</f>
        <v>Male</v>
      </c>
      <c r="D181" s="16">
        <f>IFERROR(tblCustomers[[#This Row],[Age]],"")</f>
        <v>41</v>
      </c>
      <c r="E181" s="16" t="str">
        <f>IFERROR(PROPER(TRIM(tblCustomers[[#This Row],[City/Region]])),"")</f>
        <v>Nagpur</v>
      </c>
      <c r="F181" s="16">
        <f>IFERROR(tblCustomers[[#This Row],[IncomeRange]],"")</f>
        <v>26746</v>
      </c>
      <c r="G181" s="16" t="str">
        <f>IFERROR(PROPER(TRIM(tblCustomers[[#This Row],[Occupation]])),"")</f>
        <v>Accountant</v>
      </c>
      <c r="H181" s="17">
        <f>IFERROR(tblCustomers[[#This Row],[JoinDate]],"")</f>
        <v>45345</v>
      </c>
      <c r="I181" s="16" t="str">
        <f>IFERROR(PROPER(TRIM(tblCustomers[[#This Row],[PurchaseChannel]])),"")</f>
        <v>Online</v>
      </c>
      <c r="J181" s="16" t="str">
        <f>IFERROR(PROPER(TRIM(tblCustomers[[#This Row],[CustomerType]])),"")</f>
        <v>New</v>
      </c>
      <c r="K181" s="16" t="str">
        <f>IFERROR(PROPER(TRIM(tblCustomers[[#This Row],[EngagementLevel]])),"")</f>
        <v>Medium</v>
      </c>
      <c r="L181" s="16" t="str">
        <f>IFERROR(PROPER(TRIM(tblCustomers[[#This Row],[DiscountSensitivity]])),"")</f>
        <v>Medium</v>
      </c>
      <c r="M181" s="17">
        <f>IFERROR(tblCustomers[[#This Row],[LastPurchaseDate]],"")</f>
        <v>45960</v>
      </c>
      <c r="N181" s="16" t="str">
        <f>IFERROR(IF(tblCustomers[[#This Row],[Age]]&lt;25,"&lt;25",IF(tblCustomers[[#This Row],[Age]]&lt;40,"25-39",IF(tblCustomers[[#This Row],[Age]]&lt;55,"40-54","55+"))),"N/A")</f>
        <v>40-54</v>
      </c>
      <c r="O181" s="16" t="str">
        <f>IFERROR(IF(tblCustomers[[#This Row],[IncomeRange]]&lt;25000,"Low",IF(tblCustomers[[#This Row],[IncomeRange]]&lt;75000,"Mid","High")),"N/A")</f>
        <v>Mid</v>
      </c>
      <c r="P181" s="16" t="str">
        <f>IFERROR(TEXT(tblCustomers[[#This Row],[JoinDate]],"DDDD"),"")</f>
        <v>Friday</v>
      </c>
      <c r="Q181" s="18" t="b">
        <f>IFERROR(IF(WEEKDAY(tblCustomers[[#This Row],[JoinDate]],2)&gt;=6,TRUE(),FALSE()),FALSE())</f>
        <v>0</v>
      </c>
      <c r="R181" s="16">
        <f ca="1">IFERROR(DATEDIF(tblCustomers[[#This Row],[JoinDate]],TODAY(),"M"),0)</f>
        <v>25</v>
      </c>
      <c r="S181" s="16" t="str">
        <f>IFERROR(IF(AND(tblCustomers[[#This Row],[Age]]&gt;=18,tblCustomers[[#This Row],[IncomeRange]]&gt;0,tblCustomers[[#This Row],[CustomerID]]&lt;&gt;""),"OK","CHECK"),"CHECK")</f>
        <v>OK</v>
      </c>
    </row>
    <row r="182" spans="1:19" ht="15" customHeight="1" x14ac:dyDescent="0.3">
      <c r="A182" s="19" t="str">
        <f>IFERROR(TRIM(tblCustomers[[#This Row],[CustomerID]]),"")</f>
        <v>C0180</v>
      </c>
      <c r="B182" s="19" t="str">
        <f>IFERROR(PROPER(TRIM(tblCustomers[[#This Row],[Name]])),"")</f>
        <v>Lakshmi Verma</v>
      </c>
      <c r="C182" s="19" t="str">
        <f>IFERROR(PROPER(TRIM(tblCustomers[[#This Row],[Gender]])),"")</f>
        <v>Female</v>
      </c>
      <c r="D182" s="19">
        <f>IFERROR(tblCustomers[[#This Row],[Age]],"")</f>
        <v>55</v>
      </c>
      <c r="E182" s="19" t="str">
        <f>IFERROR(PROPER(TRIM(tblCustomers[[#This Row],[City/Region]])),"")</f>
        <v>Bhubaneswar</v>
      </c>
      <c r="F182" s="19">
        <f>IFERROR(tblCustomers[[#This Row],[IncomeRange]],"")</f>
        <v>89441</v>
      </c>
      <c r="G182" s="19" t="str">
        <f>IFERROR(PROPER(TRIM(tblCustomers[[#This Row],[Occupation]])),"")</f>
        <v>Nurse</v>
      </c>
      <c r="H182" s="20">
        <f>IFERROR(tblCustomers[[#This Row],[JoinDate]],"")</f>
        <v>45550</v>
      </c>
      <c r="I182" s="19" t="str">
        <f>IFERROR(PROPER(TRIM(tblCustomers[[#This Row],[PurchaseChannel]])),"")</f>
        <v>Offline</v>
      </c>
      <c r="J182" s="19" t="str">
        <f>IFERROR(PROPER(TRIM(tblCustomers[[#This Row],[CustomerType]])),"")</f>
        <v>Returning</v>
      </c>
      <c r="K182" s="19" t="str">
        <f>IFERROR(PROPER(TRIM(tblCustomers[[#This Row],[EngagementLevel]])),"")</f>
        <v>Medium</v>
      </c>
      <c r="L182" s="19" t="str">
        <f>IFERROR(PROPER(TRIM(tblCustomers[[#This Row],[DiscountSensitivity]])),"")</f>
        <v>High</v>
      </c>
      <c r="M182" s="20">
        <f>IFERROR(tblCustomers[[#This Row],[LastPurchaseDate]],"")</f>
        <v>45921</v>
      </c>
      <c r="N182" s="19" t="str">
        <f>IFERROR(IF(tblCustomers[[#This Row],[Age]]&lt;25,"&lt;25",IF(tblCustomers[[#This Row],[Age]]&lt;40,"25-39",IF(tblCustomers[[#This Row],[Age]]&lt;55,"40-54","55+"))),"N/A")</f>
        <v>55+</v>
      </c>
      <c r="O182" s="19" t="str">
        <f>IFERROR(IF(tblCustomers[[#This Row],[IncomeRange]]&lt;25000,"Low",IF(tblCustomers[[#This Row],[IncomeRange]]&lt;75000,"Mid","High")),"N/A")</f>
        <v>High</v>
      </c>
      <c r="P182" s="19" t="str">
        <f>IFERROR(TEXT(tblCustomers[[#This Row],[JoinDate]],"DDDD"),"")</f>
        <v>Sunday</v>
      </c>
      <c r="Q182" s="21" t="b">
        <f>IFERROR(IF(WEEKDAY(tblCustomers[[#This Row],[JoinDate]],2)&gt;=6,TRUE(),FALSE()),FALSE())</f>
        <v>1</v>
      </c>
      <c r="R182" s="19">
        <f ca="1">IFERROR(DATEDIF(tblCustomers[[#This Row],[JoinDate]],TODAY(),"M"),0)</f>
        <v>18</v>
      </c>
      <c r="S182" s="19" t="str">
        <f>IFERROR(IF(AND(tblCustomers[[#This Row],[Age]]&gt;=18,tblCustomers[[#This Row],[IncomeRange]]&gt;0,tblCustomers[[#This Row],[CustomerID]]&lt;&gt;""),"OK","CHECK"),"CHECK")</f>
        <v>OK</v>
      </c>
    </row>
    <row r="183" spans="1:19" ht="15" customHeight="1" x14ac:dyDescent="0.3">
      <c r="A183" s="16" t="str">
        <f>IFERROR(TRIM(tblCustomers[[#This Row],[CustomerID]]),"")</f>
        <v>C0181</v>
      </c>
      <c r="B183" s="16" t="str">
        <f>IFERROR(PROPER(TRIM(tblCustomers[[#This Row],[Name]])),"")</f>
        <v>Manoj Gupta</v>
      </c>
      <c r="C183" s="16" t="str">
        <f>IFERROR(PROPER(TRIM(tblCustomers[[#This Row],[Gender]])),"")</f>
        <v>Male</v>
      </c>
      <c r="D183" s="16">
        <f>IFERROR(tblCustomers[[#This Row],[Age]],"")</f>
        <v>65</v>
      </c>
      <c r="E183" s="16" t="str">
        <f>IFERROR(PROPER(TRIM(tblCustomers[[#This Row],[City/Region]])),"")</f>
        <v>Bhopal</v>
      </c>
      <c r="F183" s="16">
        <f>IFERROR(tblCustomers[[#This Row],[IncomeRange]],"")</f>
        <v>113885</v>
      </c>
      <c r="G183" s="16" t="str">
        <f>IFERROR(PROPER(TRIM(tblCustomers[[#This Row],[Occupation]])),"")</f>
        <v>Doctor</v>
      </c>
      <c r="H183" s="17">
        <f>IFERROR(tblCustomers[[#This Row],[JoinDate]],"")</f>
        <v>44909</v>
      </c>
      <c r="I183" s="16" t="str">
        <f>IFERROR(PROPER(TRIM(tblCustomers[[#This Row],[PurchaseChannel]])),"")</f>
        <v>Offline</v>
      </c>
      <c r="J183" s="16" t="str">
        <f>IFERROR(PROPER(TRIM(tblCustomers[[#This Row],[CustomerType]])),"")</f>
        <v>New</v>
      </c>
      <c r="K183" s="16" t="str">
        <f>IFERROR(PROPER(TRIM(tblCustomers[[#This Row],[EngagementLevel]])),"")</f>
        <v>Medium</v>
      </c>
      <c r="L183" s="16" t="str">
        <f>IFERROR(PROPER(TRIM(tblCustomers[[#This Row],[DiscountSensitivity]])),"")</f>
        <v>High</v>
      </c>
      <c r="M183" s="17">
        <f>IFERROR(tblCustomers[[#This Row],[LastPurchaseDate]],"")</f>
        <v>45811</v>
      </c>
      <c r="N183" s="16" t="str">
        <f>IFERROR(IF(tblCustomers[[#This Row],[Age]]&lt;25,"&lt;25",IF(tblCustomers[[#This Row],[Age]]&lt;40,"25-39",IF(tblCustomers[[#This Row],[Age]]&lt;55,"40-54","55+"))),"N/A")</f>
        <v>55+</v>
      </c>
      <c r="O183" s="16" t="str">
        <f>IFERROR(IF(tblCustomers[[#This Row],[IncomeRange]]&lt;25000,"Low",IF(tblCustomers[[#This Row],[IncomeRange]]&lt;75000,"Mid","High")),"N/A")</f>
        <v>High</v>
      </c>
      <c r="P183" s="16" t="str">
        <f>IFERROR(TEXT(tblCustomers[[#This Row],[JoinDate]],"DDDD"),"")</f>
        <v>Wednesday</v>
      </c>
      <c r="Q183" s="18" t="b">
        <f>IFERROR(IF(WEEKDAY(tblCustomers[[#This Row],[JoinDate]],2)&gt;=6,TRUE(),FALSE()),FALSE())</f>
        <v>0</v>
      </c>
      <c r="R183" s="16">
        <f ca="1">IFERROR(DATEDIF(tblCustomers[[#This Row],[JoinDate]],TODAY(),"M"),0)</f>
        <v>39</v>
      </c>
      <c r="S183" s="16" t="str">
        <f>IFERROR(IF(AND(tblCustomers[[#This Row],[Age]]&gt;=18,tblCustomers[[#This Row],[IncomeRange]]&gt;0,tblCustomers[[#This Row],[CustomerID]]&lt;&gt;""),"OK","CHECK"),"CHECK")</f>
        <v>OK</v>
      </c>
    </row>
    <row r="184" spans="1:19" ht="15" customHeight="1" x14ac:dyDescent="0.3">
      <c r="A184" s="19" t="str">
        <f>IFERROR(TRIM(tblCustomers[[#This Row],[CustomerID]]),"")</f>
        <v>C0182</v>
      </c>
      <c r="B184" s="19" t="str">
        <f>IFERROR(PROPER(TRIM(tblCustomers[[#This Row],[Name]])),"")</f>
        <v>Rekha Nair</v>
      </c>
      <c r="C184" s="19" t="str">
        <f>IFERROR(PROPER(TRIM(tblCustomers[[#This Row],[Gender]])),"")</f>
        <v>Female</v>
      </c>
      <c r="D184" s="19">
        <f>IFERROR(tblCustomers[[#This Row],[Age]],"")</f>
        <v>62</v>
      </c>
      <c r="E184" s="19" t="str">
        <f>IFERROR(PROPER(TRIM(tblCustomers[[#This Row],[City/Region]])),"")</f>
        <v>Indore</v>
      </c>
      <c r="F184" s="19">
        <f>IFERROR(tblCustomers[[#This Row],[IncomeRange]],"")</f>
        <v>46402</v>
      </c>
      <c r="G184" s="19" t="str">
        <f>IFERROR(PROPER(TRIM(tblCustomers[[#This Row],[Occupation]])),"")</f>
        <v>Data Analyst</v>
      </c>
      <c r="H184" s="20">
        <f>IFERROR(tblCustomers[[#This Row],[JoinDate]],"")</f>
        <v>45479</v>
      </c>
      <c r="I184" s="19" t="str">
        <f>IFERROR(PROPER(TRIM(tblCustomers[[#This Row],[PurchaseChannel]])),"")</f>
        <v>Offline</v>
      </c>
      <c r="J184" s="19" t="str">
        <f>IFERROR(PROPER(TRIM(tblCustomers[[#This Row],[CustomerType]])),"")</f>
        <v>New</v>
      </c>
      <c r="K184" s="19" t="str">
        <f>IFERROR(PROPER(TRIM(tblCustomers[[#This Row],[EngagementLevel]])),"")</f>
        <v>High</v>
      </c>
      <c r="L184" s="19" t="str">
        <f>IFERROR(PROPER(TRIM(tblCustomers[[#This Row],[DiscountSensitivity]])),"")</f>
        <v>High</v>
      </c>
      <c r="M184" s="20">
        <f>IFERROR(tblCustomers[[#This Row],[LastPurchaseDate]],"")</f>
        <v>45915</v>
      </c>
      <c r="N184" s="19" t="str">
        <f>IFERROR(IF(tblCustomers[[#This Row],[Age]]&lt;25,"&lt;25",IF(tblCustomers[[#This Row],[Age]]&lt;40,"25-39",IF(tblCustomers[[#This Row],[Age]]&lt;55,"40-54","55+"))),"N/A")</f>
        <v>55+</v>
      </c>
      <c r="O184" s="19" t="str">
        <f>IFERROR(IF(tblCustomers[[#This Row],[IncomeRange]]&lt;25000,"Low",IF(tblCustomers[[#This Row],[IncomeRange]]&lt;75000,"Mid","High")),"N/A")</f>
        <v>Mid</v>
      </c>
      <c r="P184" s="19" t="str">
        <f>IFERROR(TEXT(tblCustomers[[#This Row],[JoinDate]],"DDDD"),"")</f>
        <v>Saturday</v>
      </c>
      <c r="Q184" s="21" t="b">
        <f>IFERROR(IF(WEEKDAY(tblCustomers[[#This Row],[JoinDate]],2)&gt;=6,TRUE(),FALSE()),FALSE())</f>
        <v>1</v>
      </c>
      <c r="R184" s="19">
        <f ca="1">IFERROR(DATEDIF(tblCustomers[[#This Row],[JoinDate]],TODAY(),"M"),0)</f>
        <v>21</v>
      </c>
      <c r="S184" s="19" t="str">
        <f>IFERROR(IF(AND(tblCustomers[[#This Row],[Age]]&gt;=18,tblCustomers[[#This Row],[IncomeRange]]&gt;0,tblCustomers[[#This Row],[CustomerID]]&lt;&gt;""),"OK","CHECK"),"CHECK")</f>
        <v>OK</v>
      </c>
    </row>
    <row r="185" spans="1:19" ht="15" customHeight="1" x14ac:dyDescent="0.3">
      <c r="A185" s="16" t="str">
        <f>IFERROR(TRIM(tblCustomers[[#This Row],[CustomerID]]),"")</f>
        <v>C0183</v>
      </c>
      <c r="B185" s="16" t="str">
        <f>IFERROR(PROPER(TRIM(tblCustomers[[#This Row],[Name]])),"")</f>
        <v>Kavya Mishra</v>
      </c>
      <c r="C185" s="16" t="str">
        <f>IFERROR(PROPER(TRIM(tblCustomers[[#This Row],[Gender]])),"")</f>
        <v>Female</v>
      </c>
      <c r="D185" s="16">
        <f>IFERROR(tblCustomers[[#This Row],[Age]],"")</f>
        <v>41</v>
      </c>
      <c r="E185" s="16" t="str">
        <f>IFERROR(PROPER(TRIM(tblCustomers[[#This Row],[City/Region]])),"")</f>
        <v>Surat</v>
      </c>
      <c r="F185" s="16">
        <f>IFERROR(tblCustomers[[#This Row],[IncomeRange]],"")</f>
        <v>48585</v>
      </c>
      <c r="G185" s="16" t="str">
        <f>IFERROR(PROPER(TRIM(tblCustomers[[#This Row],[Occupation]])),"")</f>
        <v>Teacher</v>
      </c>
      <c r="H185" s="17">
        <f>IFERROR(tblCustomers[[#This Row],[JoinDate]],"")</f>
        <v>45672</v>
      </c>
      <c r="I185" s="16" t="str">
        <f>IFERROR(PROPER(TRIM(tblCustomers[[#This Row],[PurchaseChannel]])),"")</f>
        <v>Online</v>
      </c>
      <c r="J185" s="16" t="str">
        <f>IFERROR(PROPER(TRIM(tblCustomers[[#This Row],[CustomerType]])),"")</f>
        <v>Returning</v>
      </c>
      <c r="K185" s="16" t="str">
        <f>IFERROR(PROPER(TRIM(tblCustomers[[#This Row],[EngagementLevel]])),"")</f>
        <v>Medium</v>
      </c>
      <c r="L185" s="16" t="str">
        <f>IFERROR(PROPER(TRIM(tblCustomers[[#This Row],[DiscountSensitivity]])),"")</f>
        <v>Low</v>
      </c>
      <c r="M185" s="17">
        <f>IFERROR(tblCustomers[[#This Row],[LastPurchaseDate]],"")</f>
        <v>45797</v>
      </c>
      <c r="N185" s="16" t="str">
        <f>IFERROR(IF(tblCustomers[[#This Row],[Age]]&lt;25,"&lt;25",IF(tblCustomers[[#This Row],[Age]]&lt;40,"25-39",IF(tblCustomers[[#This Row],[Age]]&lt;55,"40-54","55+"))),"N/A")</f>
        <v>40-54</v>
      </c>
      <c r="O185" s="16" t="str">
        <f>IFERROR(IF(tblCustomers[[#This Row],[IncomeRange]]&lt;25000,"Low",IF(tblCustomers[[#This Row],[IncomeRange]]&lt;75000,"Mid","High")),"N/A")</f>
        <v>Mid</v>
      </c>
      <c r="P185" s="16" t="str">
        <f>IFERROR(TEXT(tblCustomers[[#This Row],[JoinDate]],"DDDD"),"")</f>
        <v>Wednesday</v>
      </c>
      <c r="Q185" s="18" t="b">
        <f>IFERROR(IF(WEEKDAY(tblCustomers[[#This Row],[JoinDate]],2)&gt;=6,TRUE(),FALSE()),FALSE())</f>
        <v>0</v>
      </c>
      <c r="R185" s="16">
        <f ca="1">IFERROR(DATEDIF(tblCustomers[[#This Row],[JoinDate]],TODAY(),"M"),0)</f>
        <v>14</v>
      </c>
      <c r="S185" s="16" t="str">
        <f>IFERROR(IF(AND(tblCustomers[[#This Row],[Age]]&gt;=18,tblCustomers[[#This Row],[IncomeRange]]&gt;0,tblCustomers[[#This Row],[CustomerID]]&lt;&gt;""),"OK","CHECK"),"CHECK")</f>
        <v>OK</v>
      </c>
    </row>
    <row r="186" spans="1:19" ht="15" customHeight="1" x14ac:dyDescent="0.3">
      <c r="A186" s="19" t="str">
        <f>IFERROR(TRIM(tblCustomers[[#This Row],[CustomerID]]),"")</f>
        <v>C0184</v>
      </c>
      <c r="B186" s="19" t="str">
        <f>IFERROR(PROPER(TRIM(tblCustomers[[#This Row],[Name]])),"")</f>
        <v>Meena Joshi</v>
      </c>
      <c r="C186" s="19" t="str">
        <f>IFERROR(PROPER(TRIM(tblCustomers[[#This Row],[Gender]])),"")</f>
        <v>Female</v>
      </c>
      <c r="D186" s="19">
        <f>IFERROR(tblCustomers[[#This Row],[Age]],"")</f>
        <v>64</v>
      </c>
      <c r="E186" s="19" t="str">
        <f>IFERROR(PROPER(TRIM(tblCustomers[[#This Row],[City/Region]])),"")</f>
        <v>Chandigarh</v>
      </c>
      <c r="F186" s="19">
        <f>IFERROR(tblCustomers[[#This Row],[IncomeRange]],"")</f>
        <v>127871</v>
      </c>
      <c r="G186" s="19" t="str">
        <f>IFERROR(PROPER(TRIM(tblCustomers[[#This Row],[Occupation]])),"")</f>
        <v>Accountant</v>
      </c>
      <c r="H186" s="20">
        <f>IFERROR(tblCustomers[[#This Row],[JoinDate]],"")</f>
        <v>44958</v>
      </c>
      <c r="I186" s="19" t="str">
        <f>IFERROR(PROPER(TRIM(tblCustomers[[#This Row],[PurchaseChannel]])),"")</f>
        <v>Online</v>
      </c>
      <c r="J186" s="19" t="str">
        <f>IFERROR(PROPER(TRIM(tblCustomers[[#This Row],[CustomerType]])),"")</f>
        <v>Returning</v>
      </c>
      <c r="K186" s="19" t="str">
        <f>IFERROR(PROPER(TRIM(tblCustomers[[#This Row],[EngagementLevel]])),"")</f>
        <v>High</v>
      </c>
      <c r="L186" s="19" t="str">
        <f>IFERROR(PROPER(TRIM(tblCustomers[[#This Row],[DiscountSensitivity]])),"")</f>
        <v>Low</v>
      </c>
      <c r="M186" s="20">
        <f>IFERROR(tblCustomers[[#This Row],[LastPurchaseDate]],"")</f>
        <v>45998</v>
      </c>
      <c r="N186" s="19" t="str">
        <f>IFERROR(IF(tblCustomers[[#This Row],[Age]]&lt;25,"&lt;25",IF(tblCustomers[[#This Row],[Age]]&lt;40,"25-39",IF(tblCustomers[[#This Row],[Age]]&lt;55,"40-54","55+"))),"N/A")</f>
        <v>55+</v>
      </c>
      <c r="O186" s="19" t="str">
        <f>IFERROR(IF(tblCustomers[[#This Row],[IncomeRange]]&lt;25000,"Low",IF(tblCustomers[[#This Row],[IncomeRange]]&lt;75000,"Mid","High")),"N/A")</f>
        <v>High</v>
      </c>
      <c r="P186" s="19" t="str">
        <f>IFERROR(TEXT(tblCustomers[[#This Row],[JoinDate]],"DDDD"),"")</f>
        <v>Wednesday</v>
      </c>
      <c r="Q186" s="21" t="b">
        <f>IFERROR(IF(WEEKDAY(tblCustomers[[#This Row],[JoinDate]],2)&gt;=6,TRUE(),FALSE()),FALSE())</f>
        <v>0</v>
      </c>
      <c r="R186" s="19">
        <f ca="1">IFERROR(DATEDIF(tblCustomers[[#This Row],[JoinDate]],TODAY(),"M"),0)</f>
        <v>38</v>
      </c>
      <c r="S186" s="19" t="str">
        <f>IFERROR(IF(AND(tblCustomers[[#This Row],[Age]]&gt;=18,tblCustomers[[#This Row],[IncomeRange]]&gt;0,tblCustomers[[#This Row],[CustomerID]]&lt;&gt;""),"OK","CHECK"),"CHECK")</f>
        <v>OK</v>
      </c>
    </row>
    <row r="187" spans="1:19" ht="15" customHeight="1" x14ac:dyDescent="0.3">
      <c r="A187" s="16" t="str">
        <f>IFERROR(TRIM(tblCustomers[[#This Row],[CustomerID]]),"")</f>
        <v>C0185</v>
      </c>
      <c r="B187" s="16" t="str">
        <f>IFERROR(PROPER(TRIM(tblCustomers[[#This Row],[Name]])),"")</f>
        <v>Priya Joshi</v>
      </c>
      <c r="C187" s="16" t="str">
        <f>IFERROR(PROPER(TRIM(tblCustomers[[#This Row],[Gender]])),"")</f>
        <v>Female</v>
      </c>
      <c r="D187" s="16">
        <f>IFERROR(tblCustomers[[#This Row],[Age]],"")</f>
        <v>35</v>
      </c>
      <c r="E187" s="16" t="str">
        <f>IFERROR(PROPER(TRIM(tblCustomers[[#This Row],[City/Region]])),"")</f>
        <v>Nagpur</v>
      </c>
      <c r="F187" s="16">
        <f>IFERROR(tblCustomers[[#This Row],[IncomeRange]],"")</f>
        <v>134574</v>
      </c>
      <c r="G187" s="16" t="str">
        <f>IFERROR(PROPER(TRIM(tblCustomers[[#This Row],[Occupation]])),"")</f>
        <v>Business Owner</v>
      </c>
      <c r="H187" s="17">
        <f>IFERROR(tblCustomers[[#This Row],[JoinDate]],"")</f>
        <v>45347</v>
      </c>
      <c r="I187" s="16" t="str">
        <f>IFERROR(PROPER(TRIM(tblCustomers[[#This Row],[PurchaseChannel]])),"")</f>
        <v>Online</v>
      </c>
      <c r="J187" s="16" t="str">
        <f>IFERROR(PROPER(TRIM(tblCustomers[[#This Row],[CustomerType]])),"")</f>
        <v>Returning</v>
      </c>
      <c r="K187" s="16" t="str">
        <f>IFERROR(PROPER(TRIM(tblCustomers[[#This Row],[EngagementLevel]])),"")</f>
        <v>High</v>
      </c>
      <c r="L187" s="16" t="str">
        <f>IFERROR(PROPER(TRIM(tblCustomers[[#This Row],[DiscountSensitivity]])),"")</f>
        <v>High</v>
      </c>
      <c r="M187" s="17">
        <f>IFERROR(tblCustomers[[#This Row],[LastPurchaseDate]],"")</f>
        <v>45931</v>
      </c>
      <c r="N187" s="16" t="str">
        <f>IFERROR(IF(tblCustomers[[#This Row],[Age]]&lt;25,"&lt;25",IF(tblCustomers[[#This Row],[Age]]&lt;40,"25-39",IF(tblCustomers[[#This Row],[Age]]&lt;55,"40-54","55+"))),"N/A")</f>
        <v>25-39</v>
      </c>
      <c r="O187" s="16" t="str">
        <f>IFERROR(IF(tblCustomers[[#This Row],[IncomeRange]]&lt;25000,"Low",IF(tblCustomers[[#This Row],[IncomeRange]]&lt;75000,"Mid","High")),"N/A")</f>
        <v>High</v>
      </c>
      <c r="P187" s="16" t="str">
        <f>IFERROR(TEXT(tblCustomers[[#This Row],[JoinDate]],"DDDD"),"")</f>
        <v>Sunday</v>
      </c>
      <c r="Q187" s="18" t="b">
        <f>IFERROR(IF(WEEKDAY(tblCustomers[[#This Row],[JoinDate]],2)&gt;=6,TRUE(),FALSE()),FALSE())</f>
        <v>1</v>
      </c>
      <c r="R187" s="16">
        <f ca="1">IFERROR(DATEDIF(tblCustomers[[#This Row],[JoinDate]],TODAY(),"M"),0)</f>
        <v>25</v>
      </c>
      <c r="S187" s="16" t="str">
        <f>IFERROR(IF(AND(tblCustomers[[#This Row],[Age]]&gt;=18,tblCustomers[[#This Row],[IncomeRange]]&gt;0,tblCustomers[[#This Row],[CustomerID]]&lt;&gt;""),"OK","CHECK"),"CHECK")</f>
        <v>OK</v>
      </c>
    </row>
    <row r="188" spans="1:19" ht="15" customHeight="1" x14ac:dyDescent="0.3">
      <c r="A188" s="19" t="str">
        <f>IFERROR(TRIM(tblCustomers[[#This Row],[CustomerID]]),"")</f>
        <v>C0186</v>
      </c>
      <c r="B188" s="19" t="str">
        <f>IFERROR(PROPER(TRIM(tblCustomers[[#This Row],[Name]])),"")</f>
        <v>Sneha Jain</v>
      </c>
      <c r="C188" s="19" t="str">
        <f>IFERROR(PROPER(TRIM(tblCustomers[[#This Row],[Gender]])),"")</f>
        <v>Female</v>
      </c>
      <c r="D188" s="19">
        <f>IFERROR(tblCustomers[[#This Row],[Age]],"")</f>
        <v>27</v>
      </c>
      <c r="E188" s="19" t="str">
        <f>IFERROR(PROPER(TRIM(tblCustomers[[#This Row],[City/Region]])),"")</f>
        <v>Pune</v>
      </c>
      <c r="F188" s="19">
        <f>IFERROR(tblCustomers[[#This Row],[IncomeRange]],"")</f>
        <v>23598</v>
      </c>
      <c r="G188" s="19" t="str">
        <f>IFERROR(PROPER(TRIM(tblCustomers[[#This Row],[Occupation]])),"")</f>
        <v>Software Engineer</v>
      </c>
      <c r="H188" s="20">
        <f>IFERROR(tblCustomers[[#This Row],[JoinDate]],"")</f>
        <v>44913</v>
      </c>
      <c r="I188" s="19" t="str">
        <f>IFERROR(PROPER(TRIM(tblCustomers[[#This Row],[PurchaseChannel]])),"")</f>
        <v>Offline</v>
      </c>
      <c r="J188" s="19" t="str">
        <f>IFERROR(PROPER(TRIM(tblCustomers[[#This Row],[CustomerType]])),"")</f>
        <v>New</v>
      </c>
      <c r="K188" s="19" t="str">
        <f>IFERROR(PROPER(TRIM(tblCustomers[[#This Row],[EngagementLevel]])),"")</f>
        <v>Low</v>
      </c>
      <c r="L188" s="19" t="str">
        <f>IFERROR(PROPER(TRIM(tblCustomers[[#This Row],[DiscountSensitivity]])),"")</f>
        <v>High</v>
      </c>
      <c r="M188" s="20">
        <f>IFERROR(tblCustomers[[#This Row],[LastPurchaseDate]],"")</f>
        <v>45853</v>
      </c>
      <c r="N188" s="19" t="str">
        <f>IFERROR(IF(tblCustomers[[#This Row],[Age]]&lt;25,"&lt;25",IF(tblCustomers[[#This Row],[Age]]&lt;40,"25-39",IF(tblCustomers[[#This Row],[Age]]&lt;55,"40-54","55+"))),"N/A")</f>
        <v>25-39</v>
      </c>
      <c r="O188" s="19" t="str">
        <f>IFERROR(IF(tblCustomers[[#This Row],[IncomeRange]]&lt;25000,"Low",IF(tblCustomers[[#This Row],[IncomeRange]]&lt;75000,"Mid","High")),"N/A")</f>
        <v>Low</v>
      </c>
      <c r="P188" s="19" t="str">
        <f>IFERROR(TEXT(tblCustomers[[#This Row],[JoinDate]],"DDDD"),"")</f>
        <v>Sunday</v>
      </c>
      <c r="Q188" s="21" t="b">
        <f>IFERROR(IF(WEEKDAY(tblCustomers[[#This Row],[JoinDate]],2)&gt;=6,TRUE(),FALSE()),FALSE())</f>
        <v>1</v>
      </c>
      <c r="R188" s="19">
        <f ca="1">IFERROR(DATEDIF(tblCustomers[[#This Row],[JoinDate]],TODAY(),"M"),0)</f>
        <v>39</v>
      </c>
      <c r="S188" s="19" t="str">
        <f>IFERROR(IF(AND(tblCustomers[[#This Row],[Age]]&gt;=18,tblCustomers[[#This Row],[IncomeRange]]&gt;0,tblCustomers[[#This Row],[CustomerID]]&lt;&gt;""),"OK","CHECK"),"CHECK")</f>
        <v>OK</v>
      </c>
    </row>
    <row r="189" spans="1:19" ht="15" customHeight="1" x14ac:dyDescent="0.3">
      <c r="A189" s="16" t="str">
        <f>IFERROR(TRIM(tblCustomers[[#This Row],[CustomerID]]),"")</f>
        <v>C0187</v>
      </c>
      <c r="B189" s="16" t="str">
        <f>IFERROR(PROPER(TRIM(tblCustomers[[#This Row],[Name]])),"")</f>
        <v>Naveen Rao</v>
      </c>
      <c r="C189" s="16" t="str">
        <f>IFERROR(PROPER(TRIM(tblCustomers[[#This Row],[Gender]])),"")</f>
        <v>Male</v>
      </c>
      <c r="D189" s="16">
        <f>IFERROR(tblCustomers[[#This Row],[Age]],"")</f>
        <v>36</v>
      </c>
      <c r="E189" s="16" t="str">
        <f>IFERROR(PROPER(TRIM(tblCustomers[[#This Row],[City/Region]])),"")</f>
        <v>Noida</v>
      </c>
      <c r="F189" s="16">
        <f>IFERROR(tblCustomers[[#This Row],[IncomeRange]],"")</f>
        <v>56680</v>
      </c>
      <c r="G189" s="16" t="str">
        <f>IFERROR(PROPER(TRIM(tblCustomers[[#This Row],[Occupation]])),"")</f>
        <v>Consultant</v>
      </c>
      <c r="H189" s="17">
        <f>IFERROR(tblCustomers[[#This Row],[JoinDate]],"")</f>
        <v>45108</v>
      </c>
      <c r="I189" s="16" t="str">
        <f>IFERROR(PROPER(TRIM(tblCustomers[[#This Row],[PurchaseChannel]])),"")</f>
        <v>Online</v>
      </c>
      <c r="J189" s="16" t="str">
        <f>IFERROR(PROPER(TRIM(tblCustomers[[#This Row],[CustomerType]])),"")</f>
        <v>Returning</v>
      </c>
      <c r="K189" s="16" t="str">
        <f>IFERROR(PROPER(TRIM(tblCustomers[[#This Row],[EngagementLevel]])),"")</f>
        <v>Low</v>
      </c>
      <c r="L189" s="16" t="str">
        <f>IFERROR(PROPER(TRIM(tblCustomers[[#This Row],[DiscountSensitivity]])),"")</f>
        <v>Low</v>
      </c>
      <c r="M189" s="17">
        <f>IFERROR(tblCustomers[[#This Row],[LastPurchaseDate]],"")</f>
        <v>46024</v>
      </c>
      <c r="N189" s="16" t="str">
        <f>IFERROR(IF(tblCustomers[[#This Row],[Age]]&lt;25,"&lt;25",IF(tblCustomers[[#This Row],[Age]]&lt;40,"25-39",IF(tblCustomers[[#This Row],[Age]]&lt;55,"40-54","55+"))),"N/A")</f>
        <v>25-39</v>
      </c>
      <c r="O189" s="16" t="str">
        <f>IFERROR(IF(tblCustomers[[#This Row],[IncomeRange]]&lt;25000,"Low",IF(tblCustomers[[#This Row],[IncomeRange]]&lt;75000,"Mid","High")),"N/A")</f>
        <v>Mid</v>
      </c>
      <c r="P189" s="16" t="str">
        <f>IFERROR(TEXT(tblCustomers[[#This Row],[JoinDate]],"DDDD"),"")</f>
        <v>Saturday</v>
      </c>
      <c r="Q189" s="18" t="b">
        <f>IFERROR(IF(WEEKDAY(tblCustomers[[#This Row],[JoinDate]],2)&gt;=6,TRUE(),FALSE()),FALSE())</f>
        <v>1</v>
      </c>
      <c r="R189" s="16">
        <f ca="1">IFERROR(DATEDIF(tblCustomers[[#This Row],[JoinDate]],TODAY(),"M"),0)</f>
        <v>33</v>
      </c>
      <c r="S189" s="16" t="str">
        <f>IFERROR(IF(AND(tblCustomers[[#This Row],[Age]]&gt;=18,tblCustomers[[#This Row],[IncomeRange]]&gt;0,tblCustomers[[#This Row],[CustomerID]]&lt;&gt;""),"OK","CHECK"),"CHECK")</f>
        <v>OK</v>
      </c>
    </row>
    <row r="190" spans="1:19" ht="15" customHeight="1" x14ac:dyDescent="0.3">
      <c r="A190" s="19" t="str">
        <f>IFERROR(TRIM(tblCustomers[[#This Row],[CustomerID]]),"")</f>
        <v>C0188</v>
      </c>
      <c r="B190" s="19" t="str">
        <f>IFERROR(PROPER(TRIM(tblCustomers[[#This Row],[Name]])),"")</f>
        <v>Rahul Singh</v>
      </c>
      <c r="C190" s="19" t="str">
        <f>IFERROR(PROPER(TRIM(tblCustomers[[#This Row],[Gender]])),"")</f>
        <v>Male</v>
      </c>
      <c r="D190" s="19">
        <f>IFERROR(tblCustomers[[#This Row],[Age]],"")</f>
        <v>30</v>
      </c>
      <c r="E190" s="19" t="str">
        <f>IFERROR(PROPER(TRIM(tblCustomers[[#This Row],[City/Region]])),"")</f>
        <v>Mumbai</v>
      </c>
      <c r="F190" s="19">
        <f>IFERROR(tblCustomers[[#This Row],[IncomeRange]],"")</f>
        <v>111911</v>
      </c>
      <c r="G190" s="19" t="str">
        <f>IFERROR(PROPER(TRIM(tblCustomers[[#This Row],[Occupation]])),"")</f>
        <v>Consultant</v>
      </c>
      <c r="H190" s="20">
        <f>IFERROR(tblCustomers[[#This Row],[JoinDate]],"")</f>
        <v>44911</v>
      </c>
      <c r="I190" s="19" t="str">
        <f>IFERROR(PROPER(TRIM(tblCustomers[[#This Row],[PurchaseChannel]])),"")</f>
        <v>Online</v>
      </c>
      <c r="J190" s="19" t="str">
        <f>IFERROR(PROPER(TRIM(tblCustomers[[#This Row],[CustomerType]])),"")</f>
        <v>Returning</v>
      </c>
      <c r="K190" s="19" t="str">
        <f>IFERROR(PROPER(TRIM(tblCustomers[[#This Row],[EngagementLevel]])),"")</f>
        <v>Low</v>
      </c>
      <c r="L190" s="19" t="str">
        <f>IFERROR(PROPER(TRIM(tblCustomers[[#This Row],[DiscountSensitivity]])),"")</f>
        <v>Low</v>
      </c>
      <c r="M190" s="20">
        <f>IFERROR(tblCustomers[[#This Row],[LastPurchaseDate]],"")</f>
        <v>45883</v>
      </c>
      <c r="N190" s="19" t="str">
        <f>IFERROR(IF(tblCustomers[[#This Row],[Age]]&lt;25,"&lt;25",IF(tblCustomers[[#This Row],[Age]]&lt;40,"25-39",IF(tblCustomers[[#This Row],[Age]]&lt;55,"40-54","55+"))),"N/A")</f>
        <v>25-39</v>
      </c>
      <c r="O190" s="19" t="str">
        <f>IFERROR(IF(tblCustomers[[#This Row],[IncomeRange]]&lt;25000,"Low",IF(tblCustomers[[#This Row],[IncomeRange]]&lt;75000,"Mid","High")),"N/A")</f>
        <v>High</v>
      </c>
      <c r="P190" s="19" t="str">
        <f>IFERROR(TEXT(tblCustomers[[#This Row],[JoinDate]],"DDDD"),"")</f>
        <v>Friday</v>
      </c>
      <c r="Q190" s="21" t="b">
        <f>IFERROR(IF(WEEKDAY(tblCustomers[[#This Row],[JoinDate]],2)&gt;=6,TRUE(),FALSE()),FALSE())</f>
        <v>0</v>
      </c>
      <c r="R190" s="19">
        <f ca="1">IFERROR(DATEDIF(tblCustomers[[#This Row],[JoinDate]],TODAY(),"M"),0)</f>
        <v>39</v>
      </c>
      <c r="S190" s="19" t="str">
        <f>IFERROR(IF(AND(tblCustomers[[#This Row],[Age]]&gt;=18,tblCustomers[[#This Row],[IncomeRange]]&gt;0,tblCustomers[[#This Row],[CustomerID]]&lt;&gt;""),"OK","CHECK"),"CHECK")</f>
        <v>OK</v>
      </c>
    </row>
    <row r="191" spans="1:19" ht="15" customHeight="1" x14ac:dyDescent="0.3">
      <c r="A191" s="16" t="str">
        <f>IFERROR(TRIM(tblCustomers[[#This Row],[CustomerID]]),"")</f>
        <v>C0189</v>
      </c>
      <c r="B191" s="16" t="str">
        <f>IFERROR(PROPER(TRIM(tblCustomers[[#This Row],[Name]])),"")</f>
        <v>Rahul Pillai</v>
      </c>
      <c r="C191" s="16" t="str">
        <f>IFERROR(PROPER(TRIM(tblCustomers[[#This Row],[Gender]])),"")</f>
        <v>Male</v>
      </c>
      <c r="D191" s="16">
        <f>IFERROR(tblCustomers[[#This Row],[Age]],"")</f>
        <v>52</v>
      </c>
      <c r="E191" s="16" t="str">
        <f>IFERROR(PROPER(TRIM(tblCustomers[[#This Row],[City/Region]])),"")</f>
        <v>Nagpur</v>
      </c>
      <c r="F191" s="16">
        <f>IFERROR(tblCustomers[[#This Row],[IncomeRange]],"")</f>
        <v>112906</v>
      </c>
      <c r="G191" s="16" t="str">
        <f>IFERROR(PROPER(TRIM(tblCustomers[[#This Row],[Occupation]])),"")</f>
        <v>Lawyer</v>
      </c>
      <c r="H191" s="17">
        <f>IFERROR(tblCustomers[[#This Row],[JoinDate]],"")</f>
        <v>45111</v>
      </c>
      <c r="I191" s="16" t="str">
        <f>IFERROR(PROPER(TRIM(tblCustomers[[#This Row],[PurchaseChannel]])),"")</f>
        <v>Online</v>
      </c>
      <c r="J191" s="16" t="str">
        <f>IFERROR(PROPER(TRIM(tblCustomers[[#This Row],[CustomerType]])),"")</f>
        <v>Returning</v>
      </c>
      <c r="K191" s="16" t="str">
        <f>IFERROR(PROPER(TRIM(tblCustomers[[#This Row],[EngagementLevel]])),"")</f>
        <v>High</v>
      </c>
      <c r="L191" s="16" t="str">
        <f>IFERROR(PROPER(TRIM(tblCustomers[[#This Row],[DiscountSensitivity]])),"")</f>
        <v>Low</v>
      </c>
      <c r="M191" s="17">
        <f>IFERROR(tblCustomers[[#This Row],[LastPurchaseDate]],"")</f>
        <v>46062</v>
      </c>
      <c r="N191" s="16" t="str">
        <f>IFERROR(IF(tblCustomers[[#This Row],[Age]]&lt;25,"&lt;25",IF(tblCustomers[[#This Row],[Age]]&lt;40,"25-39",IF(tblCustomers[[#This Row],[Age]]&lt;55,"40-54","55+"))),"N/A")</f>
        <v>40-54</v>
      </c>
      <c r="O191" s="16" t="str">
        <f>IFERROR(IF(tblCustomers[[#This Row],[IncomeRange]]&lt;25000,"Low",IF(tblCustomers[[#This Row],[IncomeRange]]&lt;75000,"Mid","High")),"N/A")</f>
        <v>High</v>
      </c>
      <c r="P191" s="16" t="str">
        <f>IFERROR(TEXT(tblCustomers[[#This Row],[JoinDate]],"DDDD"),"")</f>
        <v>Tuesday</v>
      </c>
      <c r="Q191" s="18" t="b">
        <f>IFERROR(IF(WEEKDAY(tblCustomers[[#This Row],[JoinDate]],2)&gt;=6,TRUE(),FALSE()),FALSE())</f>
        <v>0</v>
      </c>
      <c r="R191" s="16">
        <f ca="1">IFERROR(DATEDIF(tblCustomers[[#This Row],[JoinDate]],TODAY(),"M"),0)</f>
        <v>33</v>
      </c>
      <c r="S191" s="16" t="str">
        <f>IFERROR(IF(AND(tblCustomers[[#This Row],[Age]]&gt;=18,tblCustomers[[#This Row],[IncomeRange]]&gt;0,tblCustomers[[#This Row],[CustomerID]]&lt;&gt;""),"OK","CHECK"),"CHECK")</f>
        <v>OK</v>
      </c>
    </row>
    <row r="192" spans="1:19" ht="15" customHeight="1" x14ac:dyDescent="0.3">
      <c r="A192" s="19" t="str">
        <f>IFERROR(TRIM(tblCustomers[[#This Row],[CustomerID]]),"")</f>
        <v>C0190</v>
      </c>
      <c r="B192" s="19" t="str">
        <f>IFERROR(PROPER(TRIM(tblCustomers[[#This Row],[Name]])),"")</f>
        <v>Aarti Mishra</v>
      </c>
      <c r="C192" s="19" t="str">
        <f>IFERROR(PROPER(TRIM(tblCustomers[[#This Row],[Gender]])),"")</f>
        <v>Female</v>
      </c>
      <c r="D192" s="19">
        <f>IFERROR(tblCustomers[[#This Row],[Age]],"")</f>
        <v>51</v>
      </c>
      <c r="E192" s="19" t="str">
        <f>IFERROR(PROPER(TRIM(tblCustomers[[#This Row],[City/Region]])),"")</f>
        <v>Mumbai</v>
      </c>
      <c r="F192" s="19">
        <f>IFERROR(tblCustomers[[#This Row],[IncomeRange]],"")</f>
        <v>33945</v>
      </c>
      <c r="G192" s="19" t="str">
        <f>IFERROR(PROPER(TRIM(tblCustomers[[#This Row],[Occupation]])),"")</f>
        <v>Sales Executive</v>
      </c>
      <c r="H192" s="20">
        <f>IFERROR(tblCustomers[[#This Row],[JoinDate]],"")</f>
        <v>44851</v>
      </c>
      <c r="I192" s="19" t="str">
        <f>IFERROR(PROPER(TRIM(tblCustomers[[#This Row],[PurchaseChannel]])),"")</f>
        <v>Offline</v>
      </c>
      <c r="J192" s="19" t="str">
        <f>IFERROR(PROPER(TRIM(tblCustomers[[#This Row],[CustomerType]])),"")</f>
        <v>Returning</v>
      </c>
      <c r="K192" s="19" t="str">
        <f>IFERROR(PROPER(TRIM(tblCustomers[[#This Row],[EngagementLevel]])),"")</f>
        <v>High</v>
      </c>
      <c r="L192" s="19" t="str">
        <f>IFERROR(PROPER(TRIM(tblCustomers[[#This Row],[DiscountSensitivity]])),"")</f>
        <v>Low</v>
      </c>
      <c r="M192" s="20">
        <f>IFERROR(tblCustomers[[#This Row],[LastPurchaseDate]],"")</f>
        <v>45999</v>
      </c>
      <c r="N192" s="19" t="str">
        <f>IFERROR(IF(tblCustomers[[#This Row],[Age]]&lt;25,"&lt;25",IF(tblCustomers[[#This Row],[Age]]&lt;40,"25-39",IF(tblCustomers[[#This Row],[Age]]&lt;55,"40-54","55+"))),"N/A")</f>
        <v>40-54</v>
      </c>
      <c r="O192" s="19" t="str">
        <f>IFERROR(IF(tblCustomers[[#This Row],[IncomeRange]]&lt;25000,"Low",IF(tblCustomers[[#This Row],[IncomeRange]]&lt;75000,"Mid","High")),"N/A")</f>
        <v>Mid</v>
      </c>
      <c r="P192" s="19" t="str">
        <f>IFERROR(TEXT(tblCustomers[[#This Row],[JoinDate]],"DDDD"),"")</f>
        <v>Monday</v>
      </c>
      <c r="Q192" s="21" t="b">
        <f>IFERROR(IF(WEEKDAY(tblCustomers[[#This Row],[JoinDate]],2)&gt;=6,TRUE(),FALSE()),FALSE())</f>
        <v>0</v>
      </c>
      <c r="R192" s="19">
        <f ca="1">IFERROR(DATEDIF(tblCustomers[[#This Row],[JoinDate]],TODAY(),"M"),0)</f>
        <v>41</v>
      </c>
      <c r="S192" s="19" t="str">
        <f>IFERROR(IF(AND(tblCustomers[[#This Row],[Age]]&gt;=18,tblCustomers[[#This Row],[IncomeRange]]&gt;0,tblCustomers[[#This Row],[CustomerID]]&lt;&gt;""),"OK","CHECK"),"CHECK")</f>
        <v>OK</v>
      </c>
    </row>
    <row r="193" spans="1:19" ht="15" customHeight="1" x14ac:dyDescent="0.3">
      <c r="A193" s="16" t="str">
        <f>IFERROR(TRIM(tblCustomers[[#This Row],[CustomerID]]),"")</f>
        <v>C0191</v>
      </c>
      <c r="B193" s="16" t="str">
        <f>IFERROR(PROPER(TRIM(tblCustomers[[#This Row],[Name]])),"")</f>
        <v>Swati Reddy</v>
      </c>
      <c r="C193" s="16" t="str">
        <f>IFERROR(PROPER(TRIM(tblCustomers[[#This Row],[Gender]])),"")</f>
        <v>Female</v>
      </c>
      <c r="D193" s="16">
        <f>IFERROR(tblCustomers[[#This Row],[Age]],"")</f>
        <v>60</v>
      </c>
      <c r="E193" s="16" t="str">
        <f>IFERROR(PROPER(TRIM(tblCustomers[[#This Row],[City/Region]])),"")</f>
        <v>Chennai</v>
      </c>
      <c r="F193" s="16">
        <f>IFERROR(tblCustomers[[#This Row],[IncomeRange]],"")</f>
        <v>35218</v>
      </c>
      <c r="G193" s="16" t="str">
        <f>IFERROR(PROPER(TRIM(tblCustomers[[#This Row],[Occupation]])),"")</f>
        <v>Teacher</v>
      </c>
      <c r="H193" s="17">
        <f>IFERROR(tblCustomers[[#This Row],[JoinDate]],"")</f>
        <v>45437</v>
      </c>
      <c r="I193" s="16" t="str">
        <f>IFERROR(PROPER(TRIM(tblCustomers[[#This Row],[PurchaseChannel]])),"")</f>
        <v>Offline</v>
      </c>
      <c r="J193" s="16" t="str">
        <f>IFERROR(PROPER(TRIM(tblCustomers[[#This Row],[CustomerType]])),"")</f>
        <v>Returning</v>
      </c>
      <c r="K193" s="16" t="str">
        <f>IFERROR(PROPER(TRIM(tblCustomers[[#This Row],[EngagementLevel]])),"")</f>
        <v>High</v>
      </c>
      <c r="L193" s="16" t="str">
        <f>IFERROR(PROPER(TRIM(tblCustomers[[#This Row],[DiscountSensitivity]])),"")</f>
        <v>High</v>
      </c>
      <c r="M193" s="17">
        <f>IFERROR(tblCustomers[[#This Row],[LastPurchaseDate]],"")</f>
        <v>45898</v>
      </c>
      <c r="N193" s="16" t="str">
        <f>IFERROR(IF(tblCustomers[[#This Row],[Age]]&lt;25,"&lt;25",IF(tblCustomers[[#This Row],[Age]]&lt;40,"25-39",IF(tblCustomers[[#This Row],[Age]]&lt;55,"40-54","55+"))),"N/A")</f>
        <v>55+</v>
      </c>
      <c r="O193" s="16" t="str">
        <f>IFERROR(IF(tblCustomers[[#This Row],[IncomeRange]]&lt;25000,"Low",IF(tblCustomers[[#This Row],[IncomeRange]]&lt;75000,"Mid","High")),"N/A")</f>
        <v>Mid</v>
      </c>
      <c r="P193" s="16" t="str">
        <f>IFERROR(TEXT(tblCustomers[[#This Row],[JoinDate]],"DDDD"),"")</f>
        <v>Saturday</v>
      </c>
      <c r="Q193" s="18" t="b">
        <f>IFERROR(IF(WEEKDAY(tblCustomers[[#This Row],[JoinDate]],2)&gt;=6,TRUE(),FALSE()),FALSE())</f>
        <v>1</v>
      </c>
      <c r="R193" s="16">
        <f ca="1">IFERROR(DATEDIF(tblCustomers[[#This Row],[JoinDate]],TODAY(),"M"),0)</f>
        <v>22</v>
      </c>
      <c r="S193" s="16" t="str">
        <f>IFERROR(IF(AND(tblCustomers[[#This Row],[Age]]&gt;=18,tblCustomers[[#This Row],[IncomeRange]]&gt;0,tblCustomers[[#This Row],[CustomerID]]&lt;&gt;""),"OK","CHECK"),"CHECK")</f>
        <v>OK</v>
      </c>
    </row>
    <row r="194" spans="1:19" ht="15" customHeight="1" x14ac:dyDescent="0.3">
      <c r="A194" s="19" t="str">
        <f>IFERROR(TRIM(tblCustomers[[#This Row],[CustomerID]]),"")</f>
        <v>C0192</v>
      </c>
      <c r="B194" s="19" t="str">
        <f>IFERROR(PROPER(TRIM(tblCustomers[[#This Row],[Name]])),"")</f>
        <v>Ajay Pillai</v>
      </c>
      <c r="C194" s="19" t="str">
        <f>IFERROR(PROPER(TRIM(tblCustomers[[#This Row],[Gender]])),"")</f>
        <v>Male</v>
      </c>
      <c r="D194" s="19">
        <f>IFERROR(tblCustomers[[#This Row],[Age]],"")</f>
        <v>63</v>
      </c>
      <c r="E194" s="19" t="str">
        <f>IFERROR(PROPER(TRIM(tblCustomers[[#This Row],[City/Region]])),"")</f>
        <v>Chandigarh</v>
      </c>
      <c r="F194" s="19">
        <f>IFERROR(tblCustomers[[#This Row],[IncomeRange]],"")</f>
        <v>74367</v>
      </c>
      <c r="G194" s="19" t="str">
        <f>IFERROR(PROPER(TRIM(tblCustomers[[#This Row],[Occupation]])),"")</f>
        <v>Marketing Manager</v>
      </c>
      <c r="H194" s="20">
        <f>IFERROR(tblCustomers[[#This Row],[JoinDate]],"")</f>
        <v>45256</v>
      </c>
      <c r="I194" s="19" t="str">
        <f>IFERROR(PROPER(TRIM(tblCustomers[[#This Row],[PurchaseChannel]])),"")</f>
        <v>Online</v>
      </c>
      <c r="J194" s="19" t="str">
        <f>IFERROR(PROPER(TRIM(tblCustomers[[#This Row],[CustomerType]])),"")</f>
        <v>Returning</v>
      </c>
      <c r="K194" s="19" t="str">
        <f>IFERROR(PROPER(TRIM(tblCustomers[[#This Row],[EngagementLevel]])),"")</f>
        <v>Medium</v>
      </c>
      <c r="L194" s="19" t="str">
        <f>IFERROR(PROPER(TRIM(tblCustomers[[#This Row],[DiscountSensitivity]])),"")</f>
        <v>Medium</v>
      </c>
      <c r="M194" s="20">
        <f>IFERROR(tblCustomers[[#This Row],[LastPurchaseDate]],"")</f>
        <v>45952</v>
      </c>
      <c r="N194" s="19" t="str">
        <f>IFERROR(IF(tblCustomers[[#This Row],[Age]]&lt;25,"&lt;25",IF(tblCustomers[[#This Row],[Age]]&lt;40,"25-39",IF(tblCustomers[[#This Row],[Age]]&lt;55,"40-54","55+"))),"N/A")</f>
        <v>55+</v>
      </c>
      <c r="O194" s="19" t="str">
        <f>IFERROR(IF(tblCustomers[[#This Row],[IncomeRange]]&lt;25000,"Low",IF(tblCustomers[[#This Row],[IncomeRange]]&lt;75000,"Mid","High")),"N/A")</f>
        <v>Mid</v>
      </c>
      <c r="P194" s="19" t="str">
        <f>IFERROR(TEXT(tblCustomers[[#This Row],[JoinDate]],"DDDD"),"")</f>
        <v>Sunday</v>
      </c>
      <c r="Q194" s="21" t="b">
        <f>IFERROR(IF(WEEKDAY(tblCustomers[[#This Row],[JoinDate]],2)&gt;=6,TRUE(),FALSE()),FALSE())</f>
        <v>1</v>
      </c>
      <c r="R194" s="19">
        <f ca="1">IFERROR(DATEDIF(tblCustomers[[#This Row],[JoinDate]],TODAY(),"M"),0)</f>
        <v>28</v>
      </c>
      <c r="S194" s="19" t="str">
        <f>IFERROR(IF(AND(tblCustomers[[#This Row],[Age]]&gt;=18,tblCustomers[[#This Row],[IncomeRange]]&gt;0,tblCustomers[[#This Row],[CustomerID]]&lt;&gt;""),"OK","CHECK"),"CHECK")</f>
        <v>OK</v>
      </c>
    </row>
    <row r="195" spans="1:19" ht="15" customHeight="1" x14ac:dyDescent="0.3">
      <c r="A195" s="16" t="str">
        <f>IFERROR(TRIM(tblCustomers[[#This Row],[CustomerID]]),"")</f>
        <v>C0193</v>
      </c>
      <c r="B195" s="16" t="str">
        <f>IFERROR(PROPER(TRIM(tblCustomers[[#This Row],[Name]])),"")</f>
        <v>Lakshmi Singh</v>
      </c>
      <c r="C195" s="16" t="str">
        <f>IFERROR(PROPER(TRIM(tblCustomers[[#This Row],[Gender]])),"")</f>
        <v>Female</v>
      </c>
      <c r="D195" s="16">
        <f>IFERROR(tblCustomers[[#This Row],[Age]],"")</f>
        <v>45</v>
      </c>
      <c r="E195" s="16" t="str">
        <f>IFERROR(PROPER(TRIM(tblCustomers[[#This Row],[City/Region]])),"")</f>
        <v>Chennai</v>
      </c>
      <c r="F195" s="16">
        <f>IFERROR(tblCustomers[[#This Row],[IncomeRange]],"")</f>
        <v>142326</v>
      </c>
      <c r="G195" s="16" t="str">
        <f>IFERROR(PROPER(TRIM(tblCustomers[[#This Row],[Occupation]])),"")</f>
        <v>Doctor</v>
      </c>
      <c r="H195" s="17">
        <f>IFERROR(tblCustomers[[#This Row],[JoinDate]],"")</f>
        <v>45625</v>
      </c>
      <c r="I195" s="16" t="str">
        <f>IFERROR(PROPER(TRIM(tblCustomers[[#This Row],[PurchaseChannel]])),"")</f>
        <v>Online</v>
      </c>
      <c r="J195" s="16" t="str">
        <f>IFERROR(PROPER(TRIM(tblCustomers[[#This Row],[CustomerType]])),"")</f>
        <v>New</v>
      </c>
      <c r="K195" s="16" t="str">
        <f>IFERROR(PROPER(TRIM(tblCustomers[[#This Row],[EngagementLevel]])),"")</f>
        <v>Medium</v>
      </c>
      <c r="L195" s="16" t="str">
        <f>IFERROR(PROPER(TRIM(tblCustomers[[#This Row],[DiscountSensitivity]])),"")</f>
        <v>Low</v>
      </c>
      <c r="M195" s="17">
        <f>IFERROR(tblCustomers[[#This Row],[LastPurchaseDate]],"")</f>
        <v>45938</v>
      </c>
      <c r="N195" s="16" t="str">
        <f>IFERROR(IF(tblCustomers[[#This Row],[Age]]&lt;25,"&lt;25",IF(tblCustomers[[#This Row],[Age]]&lt;40,"25-39",IF(tblCustomers[[#This Row],[Age]]&lt;55,"40-54","55+"))),"N/A")</f>
        <v>40-54</v>
      </c>
      <c r="O195" s="16" t="str">
        <f>IFERROR(IF(tblCustomers[[#This Row],[IncomeRange]]&lt;25000,"Low",IF(tblCustomers[[#This Row],[IncomeRange]]&lt;75000,"Mid","High")),"N/A")</f>
        <v>High</v>
      </c>
      <c r="P195" s="16" t="str">
        <f>IFERROR(TEXT(tblCustomers[[#This Row],[JoinDate]],"DDDD"),"")</f>
        <v>Friday</v>
      </c>
      <c r="Q195" s="18" t="b">
        <f>IFERROR(IF(WEEKDAY(tblCustomers[[#This Row],[JoinDate]],2)&gt;=6,TRUE(),FALSE()),FALSE())</f>
        <v>0</v>
      </c>
      <c r="R195" s="16">
        <f ca="1">IFERROR(DATEDIF(tblCustomers[[#This Row],[JoinDate]],TODAY(),"M"),0)</f>
        <v>16</v>
      </c>
      <c r="S195" s="16" t="str">
        <f>IFERROR(IF(AND(tblCustomers[[#This Row],[Age]]&gt;=18,tblCustomers[[#This Row],[IncomeRange]]&gt;0,tblCustomers[[#This Row],[CustomerID]]&lt;&gt;""),"OK","CHECK"),"CHECK")</f>
        <v>OK</v>
      </c>
    </row>
    <row r="196" spans="1:19" ht="15" customHeight="1" x14ac:dyDescent="0.3">
      <c r="A196" s="19" t="str">
        <f>IFERROR(TRIM(tblCustomers[[#This Row],[CustomerID]]),"")</f>
        <v>C0194</v>
      </c>
      <c r="B196" s="19" t="str">
        <f>IFERROR(PROPER(TRIM(tblCustomers[[#This Row],[Name]])),"")</f>
        <v>Pooja Verma</v>
      </c>
      <c r="C196" s="19" t="str">
        <f>IFERROR(PROPER(TRIM(tblCustomers[[#This Row],[Gender]])),"")</f>
        <v>Female</v>
      </c>
      <c r="D196" s="19">
        <f>IFERROR(tblCustomers[[#This Row],[Age]],"")</f>
        <v>64</v>
      </c>
      <c r="E196" s="19" t="str">
        <f>IFERROR(PROPER(TRIM(tblCustomers[[#This Row],[City/Region]])),"")</f>
        <v>Hyderabad</v>
      </c>
      <c r="F196" s="19">
        <f>IFERROR(tblCustomers[[#This Row],[IncomeRange]],"")</f>
        <v>125691</v>
      </c>
      <c r="G196" s="19" t="str">
        <f>IFERROR(PROPER(TRIM(tblCustomers[[#This Row],[Occupation]])),"")</f>
        <v>Hr Manager</v>
      </c>
      <c r="H196" s="20">
        <f>IFERROR(tblCustomers[[#This Row],[JoinDate]],"")</f>
        <v>45037</v>
      </c>
      <c r="I196" s="19" t="str">
        <f>IFERROR(PROPER(TRIM(tblCustomers[[#This Row],[PurchaseChannel]])),"")</f>
        <v>Offline</v>
      </c>
      <c r="J196" s="19" t="str">
        <f>IFERROR(PROPER(TRIM(tblCustomers[[#This Row],[CustomerType]])),"")</f>
        <v>New</v>
      </c>
      <c r="K196" s="19" t="str">
        <f>IFERROR(PROPER(TRIM(tblCustomers[[#This Row],[EngagementLevel]])),"")</f>
        <v>Medium</v>
      </c>
      <c r="L196" s="19" t="str">
        <f>IFERROR(PROPER(TRIM(tblCustomers[[#This Row],[DiscountSensitivity]])),"")</f>
        <v>High</v>
      </c>
      <c r="M196" s="20">
        <f>IFERROR(tblCustomers[[#This Row],[LastPurchaseDate]],"")</f>
        <v>45907</v>
      </c>
      <c r="N196" s="19" t="str">
        <f>IFERROR(IF(tblCustomers[[#This Row],[Age]]&lt;25,"&lt;25",IF(tblCustomers[[#This Row],[Age]]&lt;40,"25-39",IF(tblCustomers[[#This Row],[Age]]&lt;55,"40-54","55+"))),"N/A")</f>
        <v>55+</v>
      </c>
      <c r="O196" s="19" t="str">
        <f>IFERROR(IF(tblCustomers[[#This Row],[IncomeRange]]&lt;25000,"Low",IF(tblCustomers[[#This Row],[IncomeRange]]&lt;75000,"Mid","High")),"N/A")</f>
        <v>High</v>
      </c>
      <c r="P196" s="19" t="str">
        <f>IFERROR(TEXT(tblCustomers[[#This Row],[JoinDate]],"DDDD"),"")</f>
        <v>Friday</v>
      </c>
      <c r="Q196" s="21" t="b">
        <f>IFERROR(IF(WEEKDAY(tblCustomers[[#This Row],[JoinDate]],2)&gt;=6,TRUE(),FALSE()),FALSE())</f>
        <v>0</v>
      </c>
      <c r="R196" s="19">
        <f ca="1">IFERROR(DATEDIF(tblCustomers[[#This Row],[JoinDate]],TODAY(),"M"),0)</f>
        <v>35</v>
      </c>
      <c r="S196" s="19" t="str">
        <f>IFERROR(IF(AND(tblCustomers[[#This Row],[Age]]&gt;=18,tblCustomers[[#This Row],[IncomeRange]]&gt;0,tblCustomers[[#This Row],[CustomerID]]&lt;&gt;""),"OK","CHECK"),"CHECK")</f>
        <v>OK</v>
      </c>
    </row>
    <row r="197" spans="1:19" ht="15" customHeight="1" x14ac:dyDescent="0.3">
      <c r="A197" s="16" t="str">
        <f>IFERROR(TRIM(tblCustomers[[#This Row],[CustomerID]]),"")</f>
        <v>C0195</v>
      </c>
      <c r="B197" s="16" t="str">
        <f>IFERROR(PROPER(TRIM(tblCustomers[[#This Row],[Name]])),"")</f>
        <v>Lakshmi Joshi</v>
      </c>
      <c r="C197" s="16" t="str">
        <f>IFERROR(PROPER(TRIM(tblCustomers[[#This Row],[Gender]])),"")</f>
        <v>Female</v>
      </c>
      <c r="D197" s="16">
        <f>IFERROR(tblCustomers[[#This Row],[Age]],"")</f>
        <v>36</v>
      </c>
      <c r="E197" s="16" t="str">
        <f>IFERROR(PROPER(TRIM(tblCustomers[[#This Row],[City/Region]])),"")</f>
        <v>Hyderabad</v>
      </c>
      <c r="F197" s="16">
        <f>IFERROR(tblCustomers[[#This Row],[IncomeRange]],"")</f>
        <v>109780</v>
      </c>
      <c r="G197" s="16" t="str">
        <f>IFERROR(PROPER(TRIM(tblCustomers[[#This Row],[Occupation]])),"")</f>
        <v>Nurse</v>
      </c>
      <c r="H197" s="17">
        <f>IFERROR(tblCustomers[[#This Row],[JoinDate]],"")</f>
        <v>45149</v>
      </c>
      <c r="I197" s="16" t="str">
        <f>IFERROR(PROPER(TRIM(tblCustomers[[#This Row],[PurchaseChannel]])),"")</f>
        <v>Offline</v>
      </c>
      <c r="J197" s="16" t="str">
        <f>IFERROR(PROPER(TRIM(tblCustomers[[#This Row],[CustomerType]])),"")</f>
        <v>New</v>
      </c>
      <c r="K197" s="16" t="str">
        <f>IFERROR(PROPER(TRIM(tblCustomers[[#This Row],[EngagementLevel]])),"")</f>
        <v>Medium</v>
      </c>
      <c r="L197" s="16" t="str">
        <f>IFERROR(PROPER(TRIM(tblCustomers[[#This Row],[DiscountSensitivity]])),"")</f>
        <v>High</v>
      </c>
      <c r="M197" s="17">
        <f>IFERROR(tblCustomers[[#This Row],[LastPurchaseDate]],"")</f>
        <v>45863</v>
      </c>
      <c r="N197" s="16" t="str">
        <f>IFERROR(IF(tblCustomers[[#This Row],[Age]]&lt;25,"&lt;25",IF(tblCustomers[[#This Row],[Age]]&lt;40,"25-39",IF(tblCustomers[[#This Row],[Age]]&lt;55,"40-54","55+"))),"N/A")</f>
        <v>25-39</v>
      </c>
      <c r="O197" s="16" t="str">
        <f>IFERROR(IF(tblCustomers[[#This Row],[IncomeRange]]&lt;25000,"Low",IF(tblCustomers[[#This Row],[IncomeRange]]&lt;75000,"Mid","High")),"N/A")</f>
        <v>High</v>
      </c>
      <c r="P197" s="16" t="str">
        <f>IFERROR(TEXT(tblCustomers[[#This Row],[JoinDate]],"DDDD"),"")</f>
        <v>Friday</v>
      </c>
      <c r="Q197" s="18" t="b">
        <f>IFERROR(IF(WEEKDAY(tblCustomers[[#This Row],[JoinDate]],2)&gt;=6,TRUE(),FALSE()),FALSE())</f>
        <v>0</v>
      </c>
      <c r="R197" s="16">
        <f ca="1">IFERROR(DATEDIF(tblCustomers[[#This Row],[JoinDate]],TODAY(),"M"),0)</f>
        <v>32</v>
      </c>
      <c r="S197" s="16" t="str">
        <f>IFERROR(IF(AND(tblCustomers[[#This Row],[Age]]&gt;=18,tblCustomers[[#This Row],[IncomeRange]]&gt;0,tblCustomers[[#This Row],[CustomerID]]&lt;&gt;""),"OK","CHECK"),"CHECK")</f>
        <v>OK</v>
      </c>
    </row>
    <row r="198" spans="1:19" ht="15" customHeight="1" x14ac:dyDescent="0.3">
      <c r="A198" s="19" t="str">
        <f>IFERROR(TRIM(tblCustomers[[#This Row],[CustomerID]]),"")</f>
        <v>C0196</v>
      </c>
      <c r="B198" s="19" t="str">
        <f>IFERROR(PROPER(TRIM(tblCustomers[[#This Row],[Name]])),"")</f>
        <v>Pranav Singh</v>
      </c>
      <c r="C198" s="19" t="str">
        <f>IFERROR(PROPER(TRIM(tblCustomers[[#This Row],[Gender]])),"")</f>
        <v>Male</v>
      </c>
      <c r="D198" s="19">
        <f>IFERROR(tblCustomers[[#This Row],[Age]],"")</f>
        <v>60</v>
      </c>
      <c r="E198" s="19" t="str">
        <f>IFERROR(PROPER(TRIM(tblCustomers[[#This Row],[City/Region]])),"")</f>
        <v>Jaipur</v>
      </c>
      <c r="F198" s="19">
        <f>IFERROR(tblCustomers[[#This Row],[IncomeRange]],"")</f>
        <v>25589</v>
      </c>
      <c r="G198" s="19" t="str">
        <f>IFERROR(PROPER(TRIM(tblCustomers[[#This Row],[Occupation]])),"")</f>
        <v>Teacher</v>
      </c>
      <c r="H198" s="20">
        <f>IFERROR(tblCustomers[[#This Row],[JoinDate]],"")</f>
        <v>45439</v>
      </c>
      <c r="I198" s="19" t="str">
        <f>IFERROR(PROPER(TRIM(tblCustomers[[#This Row],[PurchaseChannel]])),"")</f>
        <v>Offline</v>
      </c>
      <c r="J198" s="19" t="str">
        <f>IFERROR(PROPER(TRIM(tblCustomers[[#This Row],[CustomerType]])),"")</f>
        <v>Returning</v>
      </c>
      <c r="K198" s="19" t="str">
        <f>IFERROR(PROPER(TRIM(tblCustomers[[#This Row],[EngagementLevel]])),"")</f>
        <v>Medium</v>
      </c>
      <c r="L198" s="19" t="str">
        <f>IFERROR(PROPER(TRIM(tblCustomers[[#This Row],[DiscountSensitivity]])),"")</f>
        <v>Low</v>
      </c>
      <c r="M198" s="20">
        <f>IFERROR(tblCustomers[[#This Row],[LastPurchaseDate]],"")</f>
        <v>45840</v>
      </c>
      <c r="N198" s="19" t="str">
        <f>IFERROR(IF(tblCustomers[[#This Row],[Age]]&lt;25,"&lt;25",IF(tblCustomers[[#This Row],[Age]]&lt;40,"25-39",IF(tblCustomers[[#This Row],[Age]]&lt;55,"40-54","55+"))),"N/A")</f>
        <v>55+</v>
      </c>
      <c r="O198" s="19" t="str">
        <f>IFERROR(IF(tblCustomers[[#This Row],[IncomeRange]]&lt;25000,"Low",IF(tblCustomers[[#This Row],[IncomeRange]]&lt;75000,"Mid","High")),"N/A")</f>
        <v>Mid</v>
      </c>
      <c r="P198" s="19" t="str">
        <f>IFERROR(TEXT(tblCustomers[[#This Row],[JoinDate]],"DDDD"),"")</f>
        <v>Monday</v>
      </c>
      <c r="Q198" s="21" t="b">
        <f>IFERROR(IF(WEEKDAY(tblCustomers[[#This Row],[JoinDate]],2)&gt;=6,TRUE(),FALSE()),FALSE())</f>
        <v>0</v>
      </c>
      <c r="R198" s="19">
        <f ca="1">IFERROR(DATEDIF(tblCustomers[[#This Row],[JoinDate]],TODAY(),"M"),0)</f>
        <v>22</v>
      </c>
      <c r="S198" s="19" t="str">
        <f>IFERROR(IF(AND(tblCustomers[[#This Row],[Age]]&gt;=18,tblCustomers[[#This Row],[IncomeRange]]&gt;0,tblCustomers[[#This Row],[CustomerID]]&lt;&gt;""),"OK","CHECK"),"CHECK")</f>
        <v>OK</v>
      </c>
    </row>
    <row r="199" spans="1:19" ht="15" customHeight="1" x14ac:dyDescent="0.3">
      <c r="A199" s="16" t="str">
        <f>IFERROR(TRIM(tblCustomers[[#This Row],[CustomerID]]),"")</f>
        <v>C0197</v>
      </c>
      <c r="B199" s="16" t="str">
        <f>IFERROR(PROPER(TRIM(tblCustomers[[#This Row],[Name]])),"")</f>
        <v>Suresh Gupta</v>
      </c>
      <c r="C199" s="16" t="str">
        <f>IFERROR(PROPER(TRIM(tblCustomers[[#This Row],[Gender]])),"")</f>
        <v>Male</v>
      </c>
      <c r="D199" s="16">
        <f>IFERROR(tblCustomers[[#This Row],[Age]],"")</f>
        <v>62</v>
      </c>
      <c r="E199" s="16" t="str">
        <f>IFERROR(PROPER(TRIM(tblCustomers[[#This Row],[City/Region]])),"")</f>
        <v>Mumbai</v>
      </c>
      <c r="F199" s="16">
        <f>IFERROR(tblCustomers[[#This Row],[IncomeRange]],"")</f>
        <v>42053</v>
      </c>
      <c r="G199" s="16" t="str">
        <f>IFERROR(PROPER(TRIM(tblCustomers[[#This Row],[Occupation]])),"")</f>
        <v>Product Manager</v>
      </c>
      <c r="H199" s="17">
        <f>IFERROR(tblCustomers[[#This Row],[JoinDate]],"")</f>
        <v>45175</v>
      </c>
      <c r="I199" s="16" t="str">
        <f>IFERROR(PROPER(TRIM(tblCustomers[[#This Row],[PurchaseChannel]])),"")</f>
        <v>Online</v>
      </c>
      <c r="J199" s="16" t="str">
        <f>IFERROR(PROPER(TRIM(tblCustomers[[#This Row],[CustomerType]])),"")</f>
        <v>Returning</v>
      </c>
      <c r="K199" s="16" t="str">
        <f>IFERROR(PROPER(TRIM(tblCustomers[[#This Row],[EngagementLevel]])),"")</f>
        <v>Medium</v>
      </c>
      <c r="L199" s="16" t="str">
        <f>IFERROR(PROPER(TRIM(tblCustomers[[#This Row],[DiscountSensitivity]])),"")</f>
        <v>Medium</v>
      </c>
      <c r="M199" s="17">
        <f>IFERROR(tblCustomers[[#This Row],[LastPurchaseDate]],"")</f>
        <v>45922</v>
      </c>
      <c r="N199" s="16" t="str">
        <f>IFERROR(IF(tblCustomers[[#This Row],[Age]]&lt;25,"&lt;25",IF(tblCustomers[[#This Row],[Age]]&lt;40,"25-39",IF(tblCustomers[[#This Row],[Age]]&lt;55,"40-54","55+"))),"N/A")</f>
        <v>55+</v>
      </c>
      <c r="O199" s="16" t="str">
        <f>IFERROR(IF(tblCustomers[[#This Row],[IncomeRange]]&lt;25000,"Low",IF(tblCustomers[[#This Row],[IncomeRange]]&lt;75000,"Mid","High")),"N/A")</f>
        <v>Mid</v>
      </c>
      <c r="P199" s="16" t="str">
        <f>IFERROR(TEXT(tblCustomers[[#This Row],[JoinDate]],"DDDD"),"")</f>
        <v>Wednesday</v>
      </c>
      <c r="Q199" s="18" t="b">
        <f>IFERROR(IF(WEEKDAY(tblCustomers[[#This Row],[JoinDate]],2)&gt;=6,TRUE(),FALSE()),FALSE())</f>
        <v>0</v>
      </c>
      <c r="R199" s="16">
        <f ca="1">IFERROR(DATEDIF(tblCustomers[[#This Row],[JoinDate]],TODAY(),"M"),0)</f>
        <v>31</v>
      </c>
      <c r="S199" s="16" t="str">
        <f>IFERROR(IF(AND(tblCustomers[[#This Row],[Age]]&gt;=18,tblCustomers[[#This Row],[IncomeRange]]&gt;0,tblCustomers[[#This Row],[CustomerID]]&lt;&gt;""),"OK","CHECK"),"CHECK")</f>
        <v>OK</v>
      </c>
    </row>
    <row r="200" spans="1:19" ht="15" customHeight="1" x14ac:dyDescent="0.3">
      <c r="A200" s="19" t="str">
        <f>IFERROR(TRIM(tblCustomers[[#This Row],[CustomerID]]),"")</f>
        <v>C0198</v>
      </c>
      <c r="B200" s="19" t="str">
        <f>IFERROR(PROPER(TRIM(tblCustomers[[#This Row],[Name]])),"")</f>
        <v>Ajay Mehta</v>
      </c>
      <c r="C200" s="19" t="str">
        <f>IFERROR(PROPER(TRIM(tblCustomers[[#This Row],[Gender]])),"")</f>
        <v>Male</v>
      </c>
      <c r="D200" s="19">
        <f>IFERROR(tblCustomers[[#This Row],[Age]],"")</f>
        <v>25</v>
      </c>
      <c r="E200" s="19" t="str">
        <f>IFERROR(PROPER(TRIM(tblCustomers[[#This Row],[City/Region]])),"")</f>
        <v>Chennai</v>
      </c>
      <c r="F200" s="19">
        <f>IFERROR(tblCustomers[[#This Row],[IncomeRange]],"")</f>
        <v>59264</v>
      </c>
      <c r="G200" s="19" t="str">
        <f>IFERROR(PROPER(TRIM(tblCustomers[[#This Row],[Occupation]])),"")</f>
        <v>Consultant</v>
      </c>
      <c r="H200" s="20">
        <f>IFERROR(tblCustomers[[#This Row],[JoinDate]],"")</f>
        <v>45086</v>
      </c>
      <c r="I200" s="19" t="str">
        <f>IFERROR(PROPER(TRIM(tblCustomers[[#This Row],[PurchaseChannel]])),"")</f>
        <v>Online</v>
      </c>
      <c r="J200" s="19" t="str">
        <f>IFERROR(PROPER(TRIM(tblCustomers[[#This Row],[CustomerType]])),"")</f>
        <v>New</v>
      </c>
      <c r="K200" s="19" t="str">
        <f>IFERROR(PROPER(TRIM(tblCustomers[[#This Row],[EngagementLevel]])),"")</f>
        <v>Medium</v>
      </c>
      <c r="L200" s="19" t="str">
        <f>IFERROR(PROPER(TRIM(tblCustomers[[#This Row],[DiscountSensitivity]])),"")</f>
        <v>Medium</v>
      </c>
      <c r="M200" s="20">
        <f>IFERROR(tblCustomers[[#This Row],[LastPurchaseDate]],"")</f>
        <v>46086</v>
      </c>
      <c r="N200" s="19" t="str">
        <f>IFERROR(IF(tblCustomers[[#This Row],[Age]]&lt;25,"&lt;25",IF(tblCustomers[[#This Row],[Age]]&lt;40,"25-39",IF(tblCustomers[[#This Row],[Age]]&lt;55,"40-54","55+"))),"N/A")</f>
        <v>25-39</v>
      </c>
      <c r="O200" s="19" t="str">
        <f>IFERROR(IF(tblCustomers[[#This Row],[IncomeRange]]&lt;25000,"Low",IF(tblCustomers[[#This Row],[IncomeRange]]&lt;75000,"Mid","High")),"N/A")</f>
        <v>Mid</v>
      </c>
      <c r="P200" s="19" t="str">
        <f>IFERROR(TEXT(tblCustomers[[#This Row],[JoinDate]],"DDDD"),"")</f>
        <v>Friday</v>
      </c>
      <c r="Q200" s="21" t="b">
        <f>IFERROR(IF(WEEKDAY(tblCustomers[[#This Row],[JoinDate]],2)&gt;=6,TRUE(),FALSE()),FALSE())</f>
        <v>0</v>
      </c>
      <c r="R200" s="19">
        <f ca="1">IFERROR(DATEDIF(tblCustomers[[#This Row],[JoinDate]],TODAY(),"M"),0)</f>
        <v>34</v>
      </c>
      <c r="S200" s="19" t="str">
        <f>IFERROR(IF(AND(tblCustomers[[#This Row],[Age]]&gt;=18,tblCustomers[[#This Row],[IncomeRange]]&gt;0,tblCustomers[[#This Row],[CustomerID]]&lt;&gt;""),"OK","CHECK"),"CHECK")</f>
        <v>OK</v>
      </c>
    </row>
    <row r="201" spans="1:19" ht="15" customHeight="1" x14ac:dyDescent="0.3">
      <c r="A201" s="16" t="str">
        <f>IFERROR(TRIM(tblCustomers[[#This Row],[CustomerID]]),"")</f>
        <v>C0199</v>
      </c>
      <c r="B201" s="16" t="str">
        <f>IFERROR(PROPER(TRIM(tblCustomers[[#This Row],[Name]])),"")</f>
        <v>Rahul Patel</v>
      </c>
      <c r="C201" s="16" t="str">
        <f>IFERROR(PROPER(TRIM(tblCustomers[[#This Row],[Gender]])),"")</f>
        <v>Male</v>
      </c>
      <c r="D201" s="16">
        <f>IFERROR(tblCustomers[[#This Row],[Age]],"")</f>
        <v>54</v>
      </c>
      <c r="E201" s="16" t="str">
        <f>IFERROR(PROPER(TRIM(tblCustomers[[#This Row],[City/Region]])),"")</f>
        <v>Hyderabad</v>
      </c>
      <c r="F201" s="16">
        <f>IFERROR(tblCustomers[[#This Row],[IncomeRange]],"")</f>
        <v>108484</v>
      </c>
      <c r="G201" s="16" t="str">
        <f>IFERROR(PROPER(TRIM(tblCustomers[[#This Row],[Occupation]])),"")</f>
        <v>Marketing Manager</v>
      </c>
      <c r="H201" s="17">
        <f>IFERROR(tblCustomers[[#This Row],[JoinDate]],"")</f>
        <v>45605</v>
      </c>
      <c r="I201" s="16" t="str">
        <f>IFERROR(PROPER(TRIM(tblCustomers[[#This Row],[PurchaseChannel]])),"")</f>
        <v>Offline</v>
      </c>
      <c r="J201" s="16" t="str">
        <f>IFERROR(PROPER(TRIM(tblCustomers[[#This Row],[CustomerType]])),"")</f>
        <v>Returning</v>
      </c>
      <c r="K201" s="16" t="str">
        <f>IFERROR(PROPER(TRIM(tblCustomers[[#This Row],[EngagementLevel]])),"")</f>
        <v>High</v>
      </c>
      <c r="L201" s="16" t="str">
        <f>IFERROR(PROPER(TRIM(tblCustomers[[#This Row],[DiscountSensitivity]])),"")</f>
        <v>High</v>
      </c>
      <c r="M201" s="17">
        <f>IFERROR(tblCustomers[[#This Row],[LastPurchaseDate]],"")</f>
        <v>45905</v>
      </c>
      <c r="N201" s="16" t="str">
        <f>IFERROR(IF(tblCustomers[[#This Row],[Age]]&lt;25,"&lt;25",IF(tblCustomers[[#This Row],[Age]]&lt;40,"25-39",IF(tblCustomers[[#This Row],[Age]]&lt;55,"40-54","55+"))),"N/A")</f>
        <v>40-54</v>
      </c>
      <c r="O201" s="16" t="str">
        <f>IFERROR(IF(tblCustomers[[#This Row],[IncomeRange]]&lt;25000,"Low",IF(tblCustomers[[#This Row],[IncomeRange]]&lt;75000,"Mid","High")),"N/A")</f>
        <v>High</v>
      </c>
      <c r="P201" s="16" t="str">
        <f>IFERROR(TEXT(tblCustomers[[#This Row],[JoinDate]],"DDDD"),"")</f>
        <v>Saturday</v>
      </c>
      <c r="Q201" s="18" t="b">
        <f>IFERROR(IF(WEEKDAY(tblCustomers[[#This Row],[JoinDate]],2)&gt;=6,TRUE(),FALSE()),FALSE())</f>
        <v>1</v>
      </c>
      <c r="R201" s="16">
        <f ca="1">IFERROR(DATEDIF(tblCustomers[[#This Row],[JoinDate]],TODAY(),"M"),0)</f>
        <v>17</v>
      </c>
      <c r="S201" s="16" t="str">
        <f>IFERROR(IF(AND(tblCustomers[[#This Row],[Age]]&gt;=18,tblCustomers[[#This Row],[IncomeRange]]&gt;0,tblCustomers[[#This Row],[CustomerID]]&lt;&gt;""),"OK","CHECK"),"CHECK")</f>
        <v>OK</v>
      </c>
    </row>
    <row r="202" spans="1:19" ht="15" customHeight="1" x14ac:dyDescent="0.3">
      <c r="A202" s="19" t="str">
        <f>IFERROR(TRIM(tblCustomers[[#This Row],[CustomerID]]),"")</f>
        <v>C0200</v>
      </c>
      <c r="B202" s="19" t="str">
        <f>IFERROR(PROPER(TRIM(tblCustomers[[#This Row],[Name]])),"")</f>
        <v>Manoj Pillai</v>
      </c>
      <c r="C202" s="19" t="str">
        <f>IFERROR(PROPER(TRIM(tblCustomers[[#This Row],[Gender]])),"")</f>
        <v>Male</v>
      </c>
      <c r="D202" s="19">
        <f>IFERROR(tblCustomers[[#This Row],[Age]],"")</f>
        <v>35</v>
      </c>
      <c r="E202" s="19" t="str">
        <f>IFERROR(PROPER(TRIM(tblCustomers[[#This Row],[City/Region]])),"")</f>
        <v>Lucknow</v>
      </c>
      <c r="F202" s="19">
        <f>IFERROR(tblCustomers[[#This Row],[IncomeRange]],"")</f>
        <v>73373</v>
      </c>
      <c r="G202" s="19" t="str">
        <f>IFERROR(PROPER(TRIM(tblCustomers[[#This Row],[Occupation]])),"")</f>
        <v>Consultant</v>
      </c>
      <c r="H202" s="20">
        <f>IFERROR(tblCustomers[[#This Row],[JoinDate]],"")</f>
        <v>45578</v>
      </c>
      <c r="I202" s="19" t="str">
        <f>IFERROR(PROPER(TRIM(tblCustomers[[#This Row],[PurchaseChannel]])),"")</f>
        <v>Offline</v>
      </c>
      <c r="J202" s="19" t="str">
        <f>IFERROR(PROPER(TRIM(tblCustomers[[#This Row],[CustomerType]])),"")</f>
        <v>Returning</v>
      </c>
      <c r="K202" s="19" t="str">
        <f>IFERROR(PROPER(TRIM(tblCustomers[[#This Row],[EngagementLevel]])),"")</f>
        <v>Medium</v>
      </c>
      <c r="L202" s="19" t="str">
        <f>IFERROR(PROPER(TRIM(tblCustomers[[#This Row],[DiscountSensitivity]])),"")</f>
        <v>Low</v>
      </c>
      <c r="M202" s="20">
        <f>IFERROR(tblCustomers[[#This Row],[LastPurchaseDate]],"")</f>
        <v>45751</v>
      </c>
      <c r="N202" s="19" t="str">
        <f>IFERROR(IF(tblCustomers[[#This Row],[Age]]&lt;25,"&lt;25",IF(tblCustomers[[#This Row],[Age]]&lt;40,"25-39",IF(tblCustomers[[#This Row],[Age]]&lt;55,"40-54","55+"))),"N/A")</f>
        <v>25-39</v>
      </c>
      <c r="O202" s="19" t="str">
        <f>IFERROR(IF(tblCustomers[[#This Row],[IncomeRange]]&lt;25000,"Low",IF(tblCustomers[[#This Row],[IncomeRange]]&lt;75000,"Mid","High")),"N/A")</f>
        <v>Mid</v>
      </c>
      <c r="P202" s="19" t="str">
        <f>IFERROR(TEXT(tblCustomers[[#This Row],[JoinDate]],"DDDD"),"")</f>
        <v>Sunday</v>
      </c>
      <c r="Q202" s="21" t="b">
        <f>IFERROR(IF(WEEKDAY(tblCustomers[[#This Row],[JoinDate]],2)&gt;=6,TRUE(),FALSE()),FALSE())</f>
        <v>1</v>
      </c>
      <c r="R202" s="19">
        <f ca="1">IFERROR(DATEDIF(tblCustomers[[#This Row],[JoinDate]],TODAY(),"M"),0)</f>
        <v>18</v>
      </c>
      <c r="S202" s="19" t="str">
        <f>IFERROR(IF(AND(tblCustomers[[#This Row],[Age]]&gt;=18,tblCustomers[[#This Row],[IncomeRange]]&gt;0,tblCustomers[[#This Row],[CustomerID]]&lt;&gt;""),"OK","CHECK"),"CHECK")</f>
        <v>OK</v>
      </c>
    </row>
  </sheetData>
  <mergeCells count="1">
    <mergeCell ref="A1:S1"/>
  </mergeCells>
  <conditionalFormatting sqref="S3:S202">
    <cfRule type="cellIs" dxfId="5" priority="2" operator="equal">
      <formula>"CHECK"</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B2D8A"/>
  </sheetPr>
  <dimension ref="A1:U202"/>
  <sheetViews>
    <sheetView zoomScale="79" zoomScaleNormal="10" workbookViewId="0">
      <pane ySplit="2" topLeftCell="A3" activePane="bottomLeft" state="frozen"/>
      <selection pane="bottomLeft" activeCell="U13" sqref="U13"/>
    </sheetView>
  </sheetViews>
  <sheetFormatPr defaultColWidth="8.6640625" defaultRowHeight="14.4" x14ac:dyDescent="0.3"/>
  <cols>
    <col min="1" max="1" width="12" style="1" customWidth="1"/>
    <col min="2" max="2" width="18" style="1" customWidth="1"/>
    <col min="3" max="3" width="14" style="1" customWidth="1"/>
    <col min="4" max="4" width="12" style="1" customWidth="1"/>
    <col min="5" max="5" width="14" style="1" customWidth="1"/>
    <col min="6" max="6" width="12" style="1" customWidth="1"/>
    <col min="7" max="8" width="14" style="1" customWidth="1"/>
    <col min="9" max="11" width="8" style="1" customWidth="1"/>
    <col min="12" max="12" width="10" style="1" customWidth="1"/>
    <col min="13" max="13" width="12" style="1" customWidth="1"/>
    <col min="14" max="14" width="22" style="1" customWidth="1"/>
    <col min="15" max="15" width="14" style="1" customWidth="1"/>
    <col min="16" max="16" width="10" style="1" customWidth="1"/>
    <col min="17" max="18" width="14" style="1" customWidth="1"/>
    <col min="19" max="19" width="10" style="1" customWidth="1"/>
    <col min="20" max="20" width="14" style="1" customWidth="1"/>
    <col min="21" max="21" width="23.88671875" style="1" customWidth="1"/>
  </cols>
  <sheetData>
    <row r="1" spans="1:21" ht="24" customHeight="1" x14ac:dyDescent="0.3">
      <c r="A1" s="85" t="s">
        <v>1773</v>
      </c>
      <c r="B1" s="85"/>
      <c r="C1" s="85"/>
      <c r="D1" s="85"/>
      <c r="E1" s="85"/>
      <c r="F1" s="85"/>
      <c r="G1" s="85"/>
      <c r="H1" s="85"/>
      <c r="I1" s="85"/>
      <c r="J1" s="85"/>
      <c r="K1" s="85"/>
      <c r="L1" s="86"/>
      <c r="M1" s="85"/>
      <c r="N1" s="85"/>
      <c r="O1" s="85"/>
      <c r="P1" s="85"/>
      <c r="Q1" s="85"/>
      <c r="R1" s="85"/>
      <c r="S1" s="85"/>
      <c r="T1" s="85"/>
      <c r="U1" s="85"/>
    </row>
    <row r="2" spans="1:21" ht="19.5" customHeight="1" x14ac:dyDescent="0.3">
      <c r="A2" s="13" t="s">
        <v>50</v>
      </c>
      <c r="B2" s="13" t="s">
        <v>51</v>
      </c>
      <c r="C2" s="13" t="s">
        <v>54</v>
      </c>
      <c r="D2" s="13" t="s">
        <v>59</v>
      </c>
      <c r="E2" s="13" t="s">
        <v>60</v>
      </c>
      <c r="F2" s="13" t="s">
        <v>1774</v>
      </c>
      <c r="G2" s="13" t="s">
        <v>1775</v>
      </c>
      <c r="H2" s="13" t="s">
        <v>1776</v>
      </c>
      <c r="I2" s="13" t="s">
        <v>1777</v>
      </c>
      <c r="J2" s="13" t="s">
        <v>1778</v>
      </c>
      <c r="K2" s="13" t="s">
        <v>1779</v>
      </c>
      <c r="L2" s="13" t="s">
        <v>1780</v>
      </c>
      <c r="M2" s="13" t="s">
        <v>68</v>
      </c>
      <c r="N2" s="13" t="s">
        <v>70</v>
      </c>
      <c r="O2" s="13" t="s">
        <v>1781</v>
      </c>
      <c r="P2" s="13" t="s">
        <v>1767</v>
      </c>
      <c r="Q2" s="13" t="s">
        <v>1768</v>
      </c>
      <c r="R2" s="13" t="s">
        <v>1782</v>
      </c>
      <c r="S2" s="13" t="s">
        <v>1783</v>
      </c>
      <c r="T2" s="13" t="s">
        <v>1784</v>
      </c>
      <c r="U2" s="13" t="s">
        <v>1785</v>
      </c>
    </row>
    <row r="3" spans="1:21" ht="15" customHeight="1" x14ac:dyDescent="0.3">
      <c r="A3" s="16" t="str">
        <f>IFERROR(tblClean[[#This Row],[CustomerID]],"")</f>
        <v>C0001</v>
      </c>
      <c r="B3" s="16" t="str">
        <f>IFERROR(tblClean[[#This Row],[Name (Cleaned)]],"")</f>
        <v>Arjun Sharma</v>
      </c>
      <c r="C3" s="16" t="str">
        <f>IFERROR(tblClean[[#This Row],[City/Region (Cleaned)]],"")</f>
        <v>Noida</v>
      </c>
      <c r="D3" s="16" t="str">
        <f>IFERROR(tblClean[[#This Row],[CustomerType]],"")</f>
        <v>New</v>
      </c>
      <c r="E3" s="16" t="str">
        <f>IFERROR(tblClean[[#This Row],[EngagementLevel]],"")</f>
        <v>Low</v>
      </c>
      <c r="F3" s="22">
        <f ca="1">IFERROR(TODAY()-'Raw Data'!M3,999)</f>
        <v>40</v>
      </c>
      <c r="G3" s="22">
        <f>IFERROR(COUNTIFS(tblTransactions[CustomerID],A3),0)</f>
        <v>1</v>
      </c>
      <c r="H3" s="22">
        <f>IFERROR(SUMIFS(tblTransactions[Amount (INR)],tblTransactions[CustomerID],A3),0)</f>
        <v>10900</v>
      </c>
      <c r="I3" s="16">
        <f t="shared" ref="I3:I34" ca="1" si="0">IFERROR(IF(F3&lt;=30,5,IF(F3&lt;=60,4,IF(F3&lt;=90,3,IF(F3&lt;=180,2,1)))),1)</f>
        <v>4</v>
      </c>
      <c r="J3" s="16">
        <f t="shared" ref="J3:J34" si="1">IFERROR(IF(G3&gt;=8,5,IF(G3&gt;=6,4,IF(G3&gt;=4,3,IF(G3&gt;=2,2,1)))),1)</f>
        <v>1</v>
      </c>
      <c r="K3" s="16">
        <f t="shared" ref="K3:K34" si="2">IFERROR(IF(H3&gt;=50000,5,IF(H3&gt;=30000,4,IF(H3&gt;=15000,3,IF(H3&gt;=5000,2,1)))),1)</f>
        <v>2</v>
      </c>
      <c r="L3" s="16" t="str">
        <f t="shared" ref="L3:L34" ca="1" si="3">IFERROR(TEXT(I3,"0")&amp;TEXT(J3,"0")&amp;TEXT(K3,"0"),"")</f>
        <v>412</v>
      </c>
      <c r="M3" s="16">
        <f>IFERROR(INDEX('Raw Data'!$X$3:$X$202,MATCH(A3,'Raw Data'!$W$3:$W$202,0)),"")</f>
        <v>4</v>
      </c>
      <c r="N3" s="16">
        <f>IFERROR(INDEX('Raw Data'!$Z$3:$Z$202,MATCH(A3,'Raw Data'!$W$3:$W$202,0)),"")</f>
        <v>8</v>
      </c>
      <c r="O3" s="16">
        <f t="shared" ref="O3:O34" si="4">IFERROR((IF(ISNUMBER(M3),M3,0)+IF(ISNUMBER(N3),N3/2,0))/MAX(1,(IF(ISNUMBER(M3),1,0)+IF(ISNUMBER(N3),1,0))),"")</f>
        <v>4</v>
      </c>
      <c r="P3" s="16" t="str">
        <f>IFERROR(tblClean[[#This Row],[AgeGroup]],"")</f>
        <v>55+</v>
      </c>
      <c r="Q3" s="16" t="str">
        <f>IFERROR(tblClean[[#This Row],[IncomeBracket]],"")</f>
        <v>Low</v>
      </c>
      <c r="R3" s="16" t="str">
        <f t="shared" ref="R3:R34" si="5">IFERROR(IF(E3="Low","LOW",IF(E3="Medium","MED","HIGH")),"N/A")</f>
        <v>LOW</v>
      </c>
      <c r="S3" s="16" t="str">
        <f t="shared" ref="S3:S34" si="6">IFERROR(IF(H3&gt;=50000,"Premium",IF(H3&gt;=15000,"Standard","Budget")),"N/A")</f>
        <v>Budget</v>
      </c>
      <c r="T3" s="16" t="str">
        <f ca="1">IFERROR(IF(L3="555","Loyal",IF(AND(ISNUMBER(O3),O3&gt;=4.5,G3&gt;=3),"Loyal",IF(H3&gt;=50000,"High Value",IF(AND(F3&gt;90,G3&lt;3),"At Risk",IF(AND(H3&lt;30000,G3&gt;=5),"Bargain Seeker","General"))))),"General")</f>
        <v>General</v>
      </c>
      <c r="U3" s="16" t="str">
        <f>IFERROR(INDEX(tblTransactions[ProductCategory],MATCH(A3,tblTransactions[CustomerID],0)),"N/A")</f>
        <v>Beauty</v>
      </c>
    </row>
    <row r="4" spans="1:21" ht="15" customHeight="1" x14ac:dyDescent="0.3">
      <c r="A4" s="19" t="str">
        <f>IFERROR(tblClean[[#This Row],[CustomerID]],"")</f>
        <v>C0002</v>
      </c>
      <c r="B4" s="19" t="str">
        <f>IFERROR(tblClean[[#This Row],[Name (Cleaned)]],"")</f>
        <v>Vikram Singh</v>
      </c>
      <c r="C4" s="19" t="str">
        <f>IFERROR(tblClean[[#This Row],[City/Region (Cleaned)]],"")</f>
        <v>Bangalore</v>
      </c>
      <c r="D4" s="19" t="str">
        <f>IFERROR(tblClean[[#This Row],[CustomerType]],"")</f>
        <v>New</v>
      </c>
      <c r="E4" s="19" t="str">
        <f>IFERROR(tblClean[[#This Row],[EngagementLevel]],"")</f>
        <v>Medium</v>
      </c>
      <c r="F4" s="23">
        <f ca="1">IFERROR(TODAY()-'Raw Data'!M4,999)</f>
        <v>82</v>
      </c>
      <c r="G4" s="23">
        <f>IFERROR(COUNTIFS(tblTransactions[CustomerID],A4),0)</f>
        <v>1</v>
      </c>
      <c r="H4" s="23">
        <f>IFERROR(SUMIFS(tblTransactions[Amount (INR)],tblTransactions[CustomerID],A4),0)</f>
        <v>3780</v>
      </c>
      <c r="I4" s="19">
        <f t="shared" ca="1" si="0"/>
        <v>3</v>
      </c>
      <c r="J4" s="19">
        <f t="shared" si="1"/>
        <v>1</v>
      </c>
      <c r="K4" s="19">
        <f t="shared" si="2"/>
        <v>1</v>
      </c>
      <c r="L4" s="19" t="str">
        <f t="shared" ca="1" si="3"/>
        <v>311</v>
      </c>
      <c r="M4" s="19">
        <f>IFERROR(INDEX('Raw Data'!$X$3:$X$202,MATCH(A4,'Raw Data'!$W$3:$W$202,0)),"")</f>
        <v>3</v>
      </c>
      <c r="N4" s="19">
        <f>IFERROR(INDEX('Raw Data'!$Z$3:$Z$202,MATCH(A4,'Raw Data'!$W$3:$W$202,0)),"")</f>
        <v>6</v>
      </c>
      <c r="O4" s="19">
        <f t="shared" si="4"/>
        <v>3</v>
      </c>
      <c r="P4" s="19" t="str">
        <f>IFERROR(tblClean[[#This Row],[AgeGroup]],"")</f>
        <v>40-54</v>
      </c>
      <c r="Q4" s="19" t="str">
        <f>IFERROR(tblClean[[#This Row],[IncomeBracket]],"")</f>
        <v>High</v>
      </c>
      <c r="R4" s="19" t="str">
        <f t="shared" si="5"/>
        <v>MED</v>
      </c>
      <c r="S4" s="19" t="str">
        <f t="shared" si="6"/>
        <v>Budget</v>
      </c>
      <c r="T4" s="18" t="str">
        <f t="shared" ref="T4:T67" ca="1" si="7">IFERROR(IF(L4="555","Loyal",IF(AND(ISNUMBER(O4),O4&gt;=4.5,G4&gt;=3),"Loyal",IF(H4&gt;=50000,"High Value",IF(AND(F4&gt;90,G4&lt;3),"At Risk",IF(AND(H4&lt;30000,G4&gt;=5),"Bargain Seeker","General"))))),"General")</f>
        <v>General</v>
      </c>
      <c r="U4" s="18" t="str">
        <f>IFERROR(INDEX(tblTransactions[ProductCategory],MATCH(A4,tblTransactions[CustomerID],0)),"N/A")</f>
        <v>Grocery</v>
      </c>
    </row>
    <row r="5" spans="1:21" ht="15" customHeight="1" x14ac:dyDescent="0.3">
      <c r="A5" s="16" t="str">
        <f>IFERROR(tblClean[[#This Row],[CustomerID]],"")</f>
        <v>C0003</v>
      </c>
      <c r="B5" s="16" t="str">
        <f>IFERROR(tblClean[[#This Row],[Name (Cleaned)]],"")</f>
        <v>Rohan Mehta</v>
      </c>
      <c r="C5" s="16" t="str">
        <f>IFERROR(tblClean[[#This Row],[City/Region (Cleaned)]],"")</f>
        <v>Indore</v>
      </c>
      <c r="D5" s="16" t="str">
        <f>IFERROR(tblClean[[#This Row],[CustomerType]],"")</f>
        <v>Returning</v>
      </c>
      <c r="E5" s="16" t="str">
        <f>IFERROR(tblClean[[#This Row],[EngagementLevel]],"")</f>
        <v>Low</v>
      </c>
      <c r="F5" s="22">
        <f ca="1">IFERROR(TODAY()-'Raw Data'!M5,999)</f>
        <v>172</v>
      </c>
      <c r="G5" s="22">
        <f>IFERROR(COUNTIFS(tblTransactions[CustomerID],A5),0)</f>
        <v>2</v>
      </c>
      <c r="H5" s="22">
        <f>IFERROR(SUMIFS(tblTransactions[Amount (INR)],tblTransactions[CustomerID],A5),0)</f>
        <v>5380</v>
      </c>
      <c r="I5" s="16">
        <f t="shared" ca="1" si="0"/>
        <v>2</v>
      </c>
      <c r="J5" s="16">
        <f t="shared" si="1"/>
        <v>2</v>
      </c>
      <c r="K5" s="16">
        <f t="shared" si="2"/>
        <v>2</v>
      </c>
      <c r="L5" s="16" t="str">
        <f t="shared" ca="1" si="3"/>
        <v>222</v>
      </c>
      <c r="M5" s="16">
        <f>IFERROR(INDEX('Raw Data'!$X$3:$X$202,MATCH(A5,'Raw Data'!$W$3:$W$202,0)),"")</f>
        <v>4</v>
      </c>
      <c r="N5" s="16">
        <f>IFERROR(INDEX('Raw Data'!$Z$3:$Z$202,MATCH(A5,'Raw Data'!$W$3:$W$202,0)),"")</f>
        <v>7</v>
      </c>
      <c r="O5" s="16">
        <f t="shared" si="4"/>
        <v>3.75</v>
      </c>
      <c r="P5" s="16" t="str">
        <f>IFERROR(tblClean[[#This Row],[AgeGroup]],"")</f>
        <v>25-39</v>
      </c>
      <c r="Q5" s="16" t="str">
        <f>IFERROR(tblClean[[#This Row],[IncomeBracket]],"")</f>
        <v>Mid</v>
      </c>
      <c r="R5" s="16" t="str">
        <f t="shared" si="5"/>
        <v>LOW</v>
      </c>
      <c r="S5" s="16" t="str">
        <f t="shared" si="6"/>
        <v>Budget</v>
      </c>
      <c r="T5" s="18" t="str">
        <f t="shared" ca="1" si="7"/>
        <v>At Risk</v>
      </c>
      <c r="U5" s="18" t="str">
        <f>IFERROR(INDEX(tblTransactions[ProductCategory],MATCH(A5,tblTransactions[CustomerID],0)),"N/A")</f>
        <v>Grocery</v>
      </c>
    </row>
    <row r="6" spans="1:21" ht="15" customHeight="1" x14ac:dyDescent="0.3">
      <c r="A6" s="19" t="str">
        <f>IFERROR(tblClean[[#This Row],[CustomerID]],"")</f>
        <v>C0004</v>
      </c>
      <c r="B6" s="19" t="str">
        <f>IFERROR(tblClean[[#This Row],[Name (Cleaned)]],"")</f>
        <v>Nikhil Gupta</v>
      </c>
      <c r="C6" s="19" t="str">
        <f>IFERROR(tblClean[[#This Row],[City/Region (Cleaned)]],"")</f>
        <v>Jaipur</v>
      </c>
      <c r="D6" s="19" t="str">
        <f>IFERROR(tblClean[[#This Row],[CustomerType]],"")</f>
        <v>New</v>
      </c>
      <c r="E6" s="19" t="str">
        <f>IFERROR(tblClean[[#This Row],[EngagementLevel]],"")</f>
        <v>Low</v>
      </c>
      <c r="F6" s="23">
        <f ca="1">IFERROR(TODAY()-'Raw Data'!M6,999)</f>
        <v>51</v>
      </c>
      <c r="G6" s="23">
        <f>IFERROR(COUNTIFS(tblTransactions[CustomerID],A6),0)</f>
        <v>1</v>
      </c>
      <c r="H6" s="23">
        <f>IFERROR(SUMIFS(tblTransactions[Amount (INR)],tblTransactions[CustomerID],A6),0)</f>
        <v>12070</v>
      </c>
      <c r="I6" s="19">
        <f t="shared" ca="1" si="0"/>
        <v>4</v>
      </c>
      <c r="J6" s="19">
        <f t="shared" si="1"/>
        <v>1</v>
      </c>
      <c r="K6" s="19">
        <f t="shared" si="2"/>
        <v>2</v>
      </c>
      <c r="L6" s="19" t="str">
        <f t="shared" ca="1" si="3"/>
        <v>412</v>
      </c>
      <c r="M6" s="19">
        <f>IFERROR(INDEX('Raw Data'!$X$3:$X$202,MATCH(A6,'Raw Data'!$W$3:$W$202,0)),"")</f>
        <v>3</v>
      </c>
      <c r="N6" s="19">
        <f>IFERROR(INDEX('Raw Data'!$Z$3:$Z$202,MATCH(A6,'Raw Data'!$W$3:$W$202,0)),"")</f>
        <v>6</v>
      </c>
      <c r="O6" s="19">
        <f t="shared" si="4"/>
        <v>3</v>
      </c>
      <c r="P6" s="19" t="str">
        <f>IFERROR(tblClean[[#This Row],[AgeGroup]],"")</f>
        <v>40-54</v>
      </c>
      <c r="Q6" s="19" t="str">
        <f>IFERROR(tblClean[[#This Row],[IncomeBracket]],"")</f>
        <v>Mid</v>
      </c>
      <c r="R6" s="19" t="str">
        <f t="shared" si="5"/>
        <v>LOW</v>
      </c>
      <c r="S6" s="19" t="str">
        <f t="shared" si="6"/>
        <v>Budget</v>
      </c>
      <c r="T6" s="18" t="str">
        <f t="shared" ca="1" si="7"/>
        <v>General</v>
      </c>
      <c r="U6" s="18" t="str">
        <f>IFERROR(INDEX(tblTransactions[ProductCategory],MATCH(A6,tblTransactions[CustomerID],0)),"N/A")</f>
        <v>Electronics</v>
      </c>
    </row>
    <row r="7" spans="1:21" ht="15" customHeight="1" x14ac:dyDescent="0.3">
      <c r="A7" s="16" t="str">
        <f>IFERROR(tblClean[[#This Row],[CustomerID]],"")</f>
        <v>C0005</v>
      </c>
      <c r="B7" s="16" t="str">
        <f>IFERROR(tblClean[[#This Row],[Name (Cleaned)]],"")</f>
        <v>Amit Verma</v>
      </c>
      <c r="C7" s="16" t="str">
        <f>IFERROR(tblClean[[#This Row],[City/Region (Cleaned)]],"")</f>
        <v>Bhubaneswar</v>
      </c>
      <c r="D7" s="16" t="str">
        <f>IFERROR(tblClean[[#This Row],[CustomerType]],"")</f>
        <v>Returning</v>
      </c>
      <c r="E7" s="16" t="str">
        <f>IFERROR(tblClean[[#This Row],[EngagementLevel]],"")</f>
        <v>High</v>
      </c>
      <c r="F7" s="22">
        <f ca="1">IFERROR(TODAY()-'Raw Data'!M7,999)</f>
        <v>112</v>
      </c>
      <c r="G7" s="22">
        <f>IFERROR(COUNTIFS(tblTransactions[CustomerID],A7),0)</f>
        <v>14</v>
      </c>
      <c r="H7" s="22">
        <f>IFERROR(SUMIFS(tblTransactions[Amount (INR)],tblTransactions[CustomerID],A7),0)</f>
        <v>66820</v>
      </c>
      <c r="I7" s="16">
        <f t="shared" ca="1" si="0"/>
        <v>2</v>
      </c>
      <c r="J7" s="16">
        <f t="shared" si="1"/>
        <v>5</v>
      </c>
      <c r="K7" s="16">
        <f t="shared" si="2"/>
        <v>5</v>
      </c>
      <c r="L7" s="16" t="str">
        <f t="shared" ca="1" si="3"/>
        <v>255</v>
      </c>
      <c r="M7" s="16">
        <f>IFERROR(INDEX('Raw Data'!$X$3:$X$202,MATCH(A7,'Raw Data'!$W$3:$W$202,0)),"")</f>
        <v>4</v>
      </c>
      <c r="N7" s="16">
        <f>IFERROR(INDEX('Raw Data'!$Z$3:$Z$202,MATCH(A7,'Raw Data'!$W$3:$W$202,0)),"")</f>
        <v>4</v>
      </c>
      <c r="O7" s="16">
        <f t="shared" si="4"/>
        <v>3</v>
      </c>
      <c r="P7" s="16" t="str">
        <f>IFERROR(tblClean[[#This Row],[AgeGroup]],"")</f>
        <v>40-54</v>
      </c>
      <c r="Q7" s="16" t="str">
        <f>IFERROR(tblClean[[#This Row],[IncomeBracket]],"")</f>
        <v>Mid</v>
      </c>
      <c r="R7" s="16" t="str">
        <f t="shared" si="5"/>
        <v>HIGH</v>
      </c>
      <c r="S7" s="16" t="str">
        <f t="shared" si="6"/>
        <v>Premium</v>
      </c>
      <c r="T7" s="18" t="str">
        <f t="shared" ca="1" si="7"/>
        <v>High Value</v>
      </c>
      <c r="U7" s="18" t="str">
        <f>IFERROR(INDEX(tblTransactions[ProductCategory],MATCH(A7,tblTransactions[CustomerID],0)),"N/A")</f>
        <v>Home Decor</v>
      </c>
    </row>
    <row r="8" spans="1:21" ht="15" customHeight="1" x14ac:dyDescent="0.3">
      <c r="A8" s="19" t="str">
        <f>IFERROR(tblClean[[#This Row],[CustomerID]],"")</f>
        <v>C0006</v>
      </c>
      <c r="B8" s="19" t="str">
        <f>IFERROR(tblClean[[#This Row],[Name (Cleaned)]],"")</f>
        <v>Suresh Kumar</v>
      </c>
      <c r="C8" s="19" t="str">
        <f>IFERROR(tblClean[[#This Row],[City/Region (Cleaned)]],"")</f>
        <v>Kolkata</v>
      </c>
      <c r="D8" s="19" t="str">
        <f>IFERROR(tblClean[[#This Row],[CustomerType]],"")</f>
        <v>Returning</v>
      </c>
      <c r="E8" s="19" t="str">
        <f>IFERROR(tblClean[[#This Row],[EngagementLevel]],"")</f>
        <v>Low</v>
      </c>
      <c r="F8" s="23">
        <f ca="1">IFERROR(TODAY()-'Raw Data'!M8,999)</f>
        <v>165</v>
      </c>
      <c r="G8" s="23">
        <f>IFERROR(COUNTIFS(tblTransactions[CustomerID],A8),0)</f>
        <v>1</v>
      </c>
      <c r="H8" s="23">
        <f>IFERROR(SUMIFS(tblTransactions[Amount (INR)],tblTransactions[CustomerID],A8),0)</f>
        <v>12330</v>
      </c>
      <c r="I8" s="19">
        <f t="shared" ca="1" si="0"/>
        <v>2</v>
      </c>
      <c r="J8" s="19">
        <f t="shared" si="1"/>
        <v>1</v>
      </c>
      <c r="K8" s="19">
        <f t="shared" si="2"/>
        <v>2</v>
      </c>
      <c r="L8" s="19" t="str">
        <f t="shared" ca="1" si="3"/>
        <v>212</v>
      </c>
      <c r="M8" s="19">
        <f>IFERROR(INDEX('Raw Data'!$X$3:$X$202,MATCH(A8,'Raw Data'!$W$3:$W$202,0)),"")</f>
        <v>4</v>
      </c>
      <c r="N8" s="19">
        <f>IFERROR(INDEX('Raw Data'!$Z$3:$Z$202,MATCH(A8,'Raw Data'!$W$3:$W$202,0)),"")</f>
        <v>7</v>
      </c>
      <c r="O8" s="19">
        <f t="shared" si="4"/>
        <v>3.75</v>
      </c>
      <c r="P8" s="19" t="str">
        <f>IFERROR(tblClean[[#This Row],[AgeGroup]],"")</f>
        <v>40-54</v>
      </c>
      <c r="Q8" s="19" t="str">
        <f>IFERROR(tblClean[[#This Row],[IncomeBracket]],"")</f>
        <v>High</v>
      </c>
      <c r="R8" s="19" t="str">
        <f t="shared" si="5"/>
        <v>LOW</v>
      </c>
      <c r="S8" s="19" t="str">
        <f t="shared" si="6"/>
        <v>Budget</v>
      </c>
      <c r="T8" s="18" t="str">
        <f t="shared" ca="1" si="7"/>
        <v>At Risk</v>
      </c>
      <c r="U8" s="18" t="str">
        <f>IFERROR(INDEX(tblTransactions[ProductCategory],MATCH(A8,tblTransactions[CustomerID],0)),"N/A")</f>
        <v>Grocery</v>
      </c>
    </row>
    <row r="9" spans="1:21" ht="15" customHeight="1" x14ac:dyDescent="0.3">
      <c r="A9" s="16" t="str">
        <f>IFERROR(tblClean[[#This Row],[CustomerID]],"")</f>
        <v>C0007</v>
      </c>
      <c r="B9" s="16" t="str">
        <f>IFERROR(tblClean[[#This Row],[Name (Cleaned)]],"")</f>
        <v>Rajesh Patel</v>
      </c>
      <c r="C9" s="16" t="str">
        <f>IFERROR(tblClean[[#This Row],[City/Region (Cleaned)]],"")</f>
        <v>Bangalore</v>
      </c>
      <c r="D9" s="16" t="str">
        <f>IFERROR(tblClean[[#This Row],[CustomerType]],"")</f>
        <v>Returning</v>
      </c>
      <c r="E9" s="16" t="str">
        <f>IFERROR(tblClean[[#This Row],[EngagementLevel]],"")</f>
        <v>High</v>
      </c>
      <c r="F9" s="22">
        <f ca="1">IFERROR(TODAY()-'Raw Data'!M9,999)</f>
        <v>225</v>
      </c>
      <c r="G9" s="22">
        <f>IFERROR(COUNTIFS(tblTransactions[CustomerID],A9),0)</f>
        <v>14</v>
      </c>
      <c r="H9" s="22">
        <f>IFERROR(SUMIFS(tblTransactions[Amount (INR)],tblTransactions[CustomerID],A9),0)</f>
        <v>108600</v>
      </c>
      <c r="I9" s="16">
        <f t="shared" ca="1" si="0"/>
        <v>1</v>
      </c>
      <c r="J9" s="16">
        <f t="shared" si="1"/>
        <v>5</v>
      </c>
      <c r="K9" s="16">
        <f t="shared" si="2"/>
        <v>5</v>
      </c>
      <c r="L9" s="16" t="str">
        <f t="shared" ca="1" si="3"/>
        <v>155</v>
      </c>
      <c r="M9" s="16">
        <f>IFERROR(INDEX('Raw Data'!$X$3:$X$202,MATCH(A9,'Raw Data'!$W$3:$W$202,0)),"")</f>
        <v>4</v>
      </c>
      <c r="N9" s="16">
        <f>IFERROR(INDEX('Raw Data'!$Z$3:$Z$202,MATCH(A9,'Raw Data'!$W$3:$W$202,0)),"")</f>
        <v>4</v>
      </c>
      <c r="O9" s="16">
        <f t="shared" si="4"/>
        <v>3</v>
      </c>
      <c r="P9" s="16" t="str">
        <f>IFERROR(tblClean[[#This Row],[AgeGroup]],"")</f>
        <v>25-39</v>
      </c>
      <c r="Q9" s="16" t="str">
        <f>IFERROR(tblClean[[#This Row],[IncomeBracket]],"")</f>
        <v>High</v>
      </c>
      <c r="R9" s="16" t="str">
        <f t="shared" si="5"/>
        <v>HIGH</v>
      </c>
      <c r="S9" s="16" t="str">
        <f t="shared" si="6"/>
        <v>Premium</v>
      </c>
      <c r="T9" s="18" t="str">
        <f t="shared" ca="1" si="7"/>
        <v>High Value</v>
      </c>
      <c r="U9" s="18" t="str">
        <f>IFERROR(INDEX(tblTransactions[ProductCategory],MATCH(A9,tblTransactions[CustomerID],0)),"N/A")</f>
        <v>Clothing</v>
      </c>
    </row>
    <row r="10" spans="1:21" ht="15" customHeight="1" x14ac:dyDescent="0.3">
      <c r="A10" s="19" t="str">
        <f>IFERROR(tblClean[[#This Row],[CustomerID]],"")</f>
        <v>C0008</v>
      </c>
      <c r="B10" s="19" t="str">
        <f>IFERROR(tblClean[[#This Row],[Name (Cleaned)]],"")</f>
        <v>Aditya Joshi</v>
      </c>
      <c r="C10" s="19" t="str">
        <f>IFERROR(tblClean[[#This Row],[City/Region (Cleaned)]],"")</f>
        <v>Hyderabad</v>
      </c>
      <c r="D10" s="19" t="str">
        <f>IFERROR(tblClean[[#This Row],[CustomerType]],"")</f>
        <v>New</v>
      </c>
      <c r="E10" s="19" t="str">
        <f>IFERROR(tblClean[[#This Row],[EngagementLevel]],"")</f>
        <v>Medium</v>
      </c>
      <c r="F10" s="23">
        <f ca="1">IFERROR(TODAY()-'Raw Data'!M10,999)</f>
        <v>93</v>
      </c>
      <c r="G10" s="23">
        <f>IFERROR(COUNTIFS(tblTransactions[CustomerID],A10),0)</f>
        <v>1</v>
      </c>
      <c r="H10" s="23">
        <f>IFERROR(SUMIFS(tblTransactions[Amount (INR)],tblTransactions[CustomerID],A10),0)</f>
        <v>570</v>
      </c>
      <c r="I10" s="19">
        <f t="shared" ca="1" si="0"/>
        <v>2</v>
      </c>
      <c r="J10" s="19">
        <f t="shared" si="1"/>
        <v>1</v>
      </c>
      <c r="K10" s="19">
        <f t="shared" si="2"/>
        <v>1</v>
      </c>
      <c r="L10" s="19" t="str">
        <f t="shared" ca="1" si="3"/>
        <v>211</v>
      </c>
      <c r="M10" s="19">
        <f>IFERROR(INDEX('Raw Data'!$X$3:$X$202,MATCH(A10,'Raw Data'!$W$3:$W$202,0)),"")</f>
        <v>1</v>
      </c>
      <c r="N10" s="19">
        <f>IFERROR(INDEX('Raw Data'!$Z$3:$Z$202,MATCH(A10,'Raw Data'!$W$3:$W$202,0)),"")</f>
        <v>5</v>
      </c>
      <c r="O10" s="19">
        <f t="shared" si="4"/>
        <v>1.75</v>
      </c>
      <c r="P10" s="19" t="str">
        <f>IFERROR(tblClean[[#This Row],[AgeGroup]],"")</f>
        <v>40-54</v>
      </c>
      <c r="Q10" s="19" t="str">
        <f>IFERROR(tblClean[[#This Row],[IncomeBracket]],"")</f>
        <v>High</v>
      </c>
      <c r="R10" s="19" t="str">
        <f t="shared" si="5"/>
        <v>MED</v>
      </c>
      <c r="S10" s="19" t="str">
        <f t="shared" si="6"/>
        <v>Budget</v>
      </c>
      <c r="T10" s="18" t="str">
        <f t="shared" ca="1" si="7"/>
        <v>At Risk</v>
      </c>
      <c r="U10" s="18" t="str">
        <f>IFERROR(INDEX(tblTransactions[ProductCategory],MATCH(A10,tblTransactions[CustomerID],0)),"N/A")</f>
        <v>Grocery</v>
      </c>
    </row>
    <row r="11" spans="1:21" ht="15" customHeight="1" x14ac:dyDescent="0.3">
      <c r="A11" s="16" t="str">
        <f>IFERROR(tblClean[[#This Row],[CustomerID]],"")</f>
        <v>C0009</v>
      </c>
      <c r="B11" s="16" t="str">
        <f>IFERROR(tblClean[[#This Row],[Name (Cleaned)]],"")</f>
        <v>Karan Kapoor</v>
      </c>
      <c r="C11" s="16" t="str">
        <f>IFERROR(tblClean[[#This Row],[City/Region (Cleaned)]],"")</f>
        <v>Ahmedabad</v>
      </c>
      <c r="D11" s="16" t="str">
        <f>IFERROR(tblClean[[#This Row],[CustomerType]],"")</f>
        <v>New</v>
      </c>
      <c r="E11" s="16" t="str">
        <f>IFERROR(tblClean[[#This Row],[EngagementLevel]],"")</f>
        <v>High</v>
      </c>
      <c r="F11" s="22">
        <f ca="1">IFERROR(TODAY()-'Raw Data'!M11,999)</f>
        <v>92</v>
      </c>
      <c r="G11" s="22">
        <f>IFERROR(COUNTIFS(tblTransactions[CustomerID],A11),0)</f>
        <v>1</v>
      </c>
      <c r="H11" s="22">
        <f>IFERROR(SUMIFS(tblTransactions[Amount (INR)],tblTransactions[CustomerID],A11),0)</f>
        <v>6730</v>
      </c>
      <c r="I11" s="16">
        <f t="shared" ca="1" si="0"/>
        <v>2</v>
      </c>
      <c r="J11" s="16">
        <f t="shared" si="1"/>
        <v>1</v>
      </c>
      <c r="K11" s="16">
        <f t="shared" si="2"/>
        <v>2</v>
      </c>
      <c r="L11" s="16" t="str">
        <f t="shared" ca="1" si="3"/>
        <v>212</v>
      </c>
      <c r="M11" s="16">
        <f>IFERROR(INDEX('Raw Data'!$X$3:$X$202,MATCH(A11,'Raw Data'!$W$3:$W$202,0)),"")</f>
        <v>4</v>
      </c>
      <c r="N11" s="16">
        <f>IFERROR(INDEX('Raw Data'!$Z$3:$Z$202,MATCH(A11,'Raw Data'!$W$3:$W$202,0)),"")</f>
        <v>9</v>
      </c>
      <c r="O11" s="16">
        <f t="shared" si="4"/>
        <v>4.25</v>
      </c>
      <c r="P11" s="16" t="str">
        <f>IFERROR(tblClean[[#This Row],[AgeGroup]],"")</f>
        <v>40-54</v>
      </c>
      <c r="Q11" s="16" t="str">
        <f>IFERROR(tblClean[[#This Row],[IncomeBracket]],"")</f>
        <v>High</v>
      </c>
      <c r="R11" s="16" t="str">
        <f t="shared" si="5"/>
        <v>HIGH</v>
      </c>
      <c r="S11" s="16" t="str">
        <f t="shared" si="6"/>
        <v>Budget</v>
      </c>
      <c r="T11" s="18" t="str">
        <f t="shared" ca="1" si="7"/>
        <v>At Risk</v>
      </c>
      <c r="U11" s="18" t="str">
        <f>IFERROR(INDEX(tblTransactions[ProductCategory],MATCH(A11,tblTransactions[CustomerID],0)),"N/A")</f>
        <v>Grocery</v>
      </c>
    </row>
    <row r="12" spans="1:21" ht="15" customHeight="1" x14ac:dyDescent="0.3">
      <c r="A12" s="19" t="str">
        <f>IFERROR(tblClean[[#This Row],[CustomerID]],"")</f>
        <v>C0010</v>
      </c>
      <c r="B12" s="19" t="str">
        <f>IFERROR(tblClean[[#This Row],[Name (Cleaned)]],"")</f>
        <v>Deepak Nair</v>
      </c>
      <c r="C12" s="19" t="str">
        <f>IFERROR(tblClean[[#This Row],[City/Region (Cleaned)]],"")</f>
        <v>Jaipur</v>
      </c>
      <c r="D12" s="19" t="str">
        <f>IFERROR(tblClean[[#This Row],[CustomerType]],"")</f>
        <v>Returning</v>
      </c>
      <c r="E12" s="19" t="str">
        <f>IFERROR(tblClean[[#This Row],[EngagementLevel]],"")</f>
        <v>High</v>
      </c>
      <c r="F12" s="23">
        <f ca="1">IFERROR(TODAY()-'Raw Data'!M12,999)</f>
        <v>40</v>
      </c>
      <c r="G12" s="23">
        <f>IFERROR(COUNTIFS(tblTransactions[CustomerID],A12),0)</f>
        <v>14</v>
      </c>
      <c r="H12" s="23">
        <f>IFERROR(SUMIFS(tblTransactions[Amount (INR)],tblTransactions[CustomerID],A12),0)</f>
        <v>51230</v>
      </c>
      <c r="I12" s="19">
        <f t="shared" ca="1" si="0"/>
        <v>4</v>
      </c>
      <c r="J12" s="19">
        <f t="shared" si="1"/>
        <v>5</v>
      </c>
      <c r="K12" s="19">
        <f t="shared" si="2"/>
        <v>5</v>
      </c>
      <c r="L12" s="19" t="str">
        <f t="shared" ca="1" si="3"/>
        <v>455</v>
      </c>
      <c r="M12" s="19">
        <f>IFERROR(INDEX('Raw Data'!$X$3:$X$202,MATCH(A12,'Raw Data'!$W$3:$W$202,0)),"")</f>
        <v>3</v>
      </c>
      <c r="N12" s="19">
        <f>IFERROR(INDEX('Raw Data'!$Z$3:$Z$202,MATCH(A12,'Raw Data'!$W$3:$W$202,0)),"")</f>
        <v>6</v>
      </c>
      <c r="O12" s="19">
        <f t="shared" si="4"/>
        <v>3</v>
      </c>
      <c r="P12" s="19" t="str">
        <f>IFERROR(tblClean[[#This Row],[AgeGroup]],"")</f>
        <v>&lt;25</v>
      </c>
      <c r="Q12" s="19" t="str">
        <f>IFERROR(tblClean[[#This Row],[IncomeBracket]],"")</f>
        <v>Mid</v>
      </c>
      <c r="R12" s="19" t="str">
        <f t="shared" si="5"/>
        <v>HIGH</v>
      </c>
      <c r="S12" s="19" t="str">
        <f t="shared" si="6"/>
        <v>Premium</v>
      </c>
      <c r="T12" s="18" t="str">
        <f t="shared" ca="1" si="7"/>
        <v>High Value</v>
      </c>
      <c r="U12" s="18" t="str">
        <f>IFERROR(INDEX(tblTransactions[ProductCategory],MATCH(A12,tblTransactions[CustomerID],0)),"N/A")</f>
        <v>Sports</v>
      </c>
    </row>
    <row r="13" spans="1:21" ht="15" customHeight="1" x14ac:dyDescent="0.3">
      <c r="A13" s="16" t="str">
        <f>IFERROR(tblClean[[#This Row],[CustomerID]],"")</f>
        <v>C0011</v>
      </c>
      <c r="B13" s="16" t="str">
        <f>IFERROR(tblClean[[#This Row],[Name (Cleaned)]],"")</f>
        <v>Manish Tiwari</v>
      </c>
      <c r="C13" s="16" t="str">
        <f>IFERROR(tblClean[[#This Row],[City/Region (Cleaned)]],"")</f>
        <v>Bhopal</v>
      </c>
      <c r="D13" s="16" t="str">
        <f>IFERROR(tblClean[[#This Row],[CustomerType]],"")</f>
        <v>New</v>
      </c>
      <c r="E13" s="16" t="str">
        <f>IFERROR(tblClean[[#This Row],[EngagementLevel]],"")</f>
        <v>Medium</v>
      </c>
      <c r="F13" s="22">
        <f ca="1">IFERROR(TODAY()-'Raw Data'!M13,999)</f>
        <v>66</v>
      </c>
      <c r="G13" s="22">
        <f>IFERROR(COUNTIFS(tblTransactions[CustomerID],A13),0)</f>
        <v>1</v>
      </c>
      <c r="H13" s="22">
        <f>IFERROR(SUMIFS(tblTransactions[Amount (INR)],tblTransactions[CustomerID],A13),0)</f>
        <v>3660</v>
      </c>
      <c r="I13" s="16">
        <f t="shared" ca="1" si="0"/>
        <v>3</v>
      </c>
      <c r="J13" s="16">
        <f t="shared" si="1"/>
        <v>1</v>
      </c>
      <c r="K13" s="16">
        <f t="shared" si="2"/>
        <v>1</v>
      </c>
      <c r="L13" s="16" t="str">
        <f t="shared" ca="1" si="3"/>
        <v>311</v>
      </c>
      <c r="M13" s="16">
        <f>IFERROR(INDEX('Raw Data'!$X$3:$X$202,MATCH(A13,'Raw Data'!$W$3:$W$202,0)),"")</f>
        <v>4</v>
      </c>
      <c r="N13" s="16">
        <f>IFERROR(INDEX('Raw Data'!$Z$3:$Z$202,MATCH(A13,'Raw Data'!$W$3:$W$202,0)),"")</f>
        <v>8</v>
      </c>
      <c r="O13" s="16">
        <f t="shared" si="4"/>
        <v>4</v>
      </c>
      <c r="P13" s="16" t="str">
        <f>IFERROR(tblClean[[#This Row],[AgeGroup]],"")</f>
        <v>55+</v>
      </c>
      <c r="Q13" s="16" t="str">
        <f>IFERROR(tblClean[[#This Row],[IncomeBracket]],"")</f>
        <v>Mid</v>
      </c>
      <c r="R13" s="16" t="str">
        <f t="shared" si="5"/>
        <v>MED</v>
      </c>
      <c r="S13" s="16" t="str">
        <f t="shared" si="6"/>
        <v>Budget</v>
      </c>
      <c r="T13" s="18" t="str">
        <f t="shared" ca="1" si="7"/>
        <v>General</v>
      </c>
      <c r="U13" s="18" t="str">
        <f>IFERROR(INDEX(tblTransactions[ProductCategory],MATCH(A13,tblTransactions[CustomerID],0)),"N/A")</f>
        <v>Beauty</v>
      </c>
    </row>
    <row r="14" spans="1:21" ht="15" customHeight="1" x14ac:dyDescent="0.3">
      <c r="A14" s="19" t="str">
        <f>IFERROR(tblClean[[#This Row],[CustomerID]],"")</f>
        <v>C0012</v>
      </c>
      <c r="B14" s="19" t="str">
        <f>IFERROR(tblClean[[#This Row],[Name (Cleaned)]],"")</f>
        <v>Gaurav Saxena</v>
      </c>
      <c r="C14" s="19" t="str">
        <f>IFERROR(tblClean[[#This Row],[City/Region (Cleaned)]],"")</f>
        <v>Lucknow</v>
      </c>
      <c r="D14" s="19" t="str">
        <f>IFERROR(tblClean[[#This Row],[CustomerType]],"")</f>
        <v>Returning</v>
      </c>
      <c r="E14" s="19" t="str">
        <f>IFERROR(tblClean[[#This Row],[EngagementLevel]],"")</f>
        <v>Low</v>
      </c>
      <c r="F14" s="23">
        <f ca="1">IFERROR(TODAY()-'Raw Data'!M14,999)</f>
        <v>160</v>
      </c>
      <c r="G14" s="23">
        <f>IFERROR(COUNTIFS(tblTransactions[CustomerID],A14),0)</f>
        <v>2</v>
      </c>
      <c r="H14" s="23">
        <f>IFERROR(SUMIFS(tblTransactions[Amount (INR)],tblTransactions[CustomerID],A14),0)</f>
        <v>5290</v>
      </c>
      <c r="I14" s="19">
        <f t="shared" ca="1" si="0"/>
        <v>2</v>
      </c>
      <c r="J14" s="19">
        <f t="shared" si="1"/>
        <v>2</v>
      </c>
      <c r="K14" s="19">
        <f t="shared" si="2"/>
        <v>2</v>
      </c>
      <c r="L14" s="19" t="str">
        <f t="shared" ca="1" si="3"/>
        <v>222</v>
      </c>
      <c r="M14" s="19">
        <f>IFERROR(INDEX('Raw Data'!$X$3:$X$202,MATCH(A14,'Raw Data'!$W$3:$W$202,0)),"")</f>
        <v>4</v>
      </c>
      <c r="N14" s="19">
        <f>IFERROR(INDEX('Raw Data'!$Z$3:$Z$202,MATCH(A14,'Raw Data'!$W$3:$W$202,0)),"")</f>
        <v>8</v>
      </c>
      <c r="O14" s="19">
        <f t="shared" si="4"/>
        <v>4</v>
      </c>
      <c r="P14" s="19" t="str">
        <f>IFERROR(tblClean[[#This Row],[AgeGroup]],"")</f>
        <v>55+</v>
      </c>
      <c r="Q14" s="19" t="str">
        <f>IFERROR(tblClean[[#This Row],[IncomeBracket]],"")</f>
        <v>High</v>
      </c>
      <c r="R14" s="19" t="str">
        <f t="shared" si="5"/>
        <v>LOW</v>
      </c>
      <c r="S14" s="19" t="str">
        <f t="shared" si="6"/>
        <v>Budget</v>
      </c>
      <c r="T14" s="18" t="str">
        <f t="shared" ca="1" si="7"/>
        <v>At Risk</v>
      </c>
      <c r="U14" s="18" t="str">
        <f>IFERROR(INDEX(tblTransactions[ProductCategory],MATCH(A14,tblTransactions[CustomerID],0)),"N/A")</f>
        <v>Grocery</v>
      </c>
    </row>
    <row r="15" spans="1:21" ht="15" customHeight="1" x14ac:dyDescent="0.3">
      <c r="A15" s="16" t="str">
        <f>IFERROR(tblClean[[#This Row],[CustomerID]],"")</f>
        <v>C0013</v>
      </c>
      <c r="B15" s="16" t="str">
        <f>IFERROR(tblClean[[#This Row],[Name (Cleaned)]],"")</f>
        <v>Sanjay Yadav</v>
      </c>
      <c r="C15" s="16" t="str">
        <f>IFERROR(tblClean[[#This Row],[City/Region (Cleaned)]],"")</f>
        <v>Noida</v>
      </c>
      <c r="D15" s="16" t="str">
        <f>IFERROR(tblClean[[#This Row],[CustomerType]],"")</f>
        <v>Returning</v>
      </c>
      <c r="E15" s="16" t="str">
        <f>IFERROR(tblClean[[#This Row],[EngagementLevel]],"")</f>
        <v>Low</v>
      </c>
      <c r="F15" s="22">
        <f ca="1">IFERROR(TODAY()-'Raw Data'!M15,999)</f>
        <v>29</v>
      </c>
      <c r="G15" s="22">
        <f>IFERROR(COUNTIFS(tblTransactions[CustomerID],A15),0)</f>
        <v>14</v>
      </c>
      <c r="H15" s="22">
        <f>IFERROR(SUMIFS(tblTransactions[Amount (INR)],tblTransactions[CustomerID],A15),0)</f>
        <v>93470</v>
      </c>
      <c r="I15" s="16">
        <f t="shared" ca="1" si="0"/>
        <v>5</v>
      </c>
      <c r="J15" s="16">
        <f t="shared" si="1"/>
        <v>5</v>
      </c>
      <c r="K15" s="16">
        <f t="shared" si="2"/>
        <v>5</v>
      </c>
      <c r="L15" s="16" t="str">
        <f t="shared" ca="1" si="3"/>
        <v>555</v>
      </c>
      <c r="M15" s="16">
        <f>IFERROR(INDEX('Raw Data'!$X$3:$X$202,MATCH(A15,'Raw Data'!$W$3:$W$202,0)),"")</f>
        <v>3</v>
      </c>
      <c r="N15" s="16">
        <f>IFERROR(INDEX('Raw Data'!$Z$3:$Z$202,MATCH(A15,'Raw Data'!$W$3:$W$202,0)),"")</f>
        <v>8</v>
      </c>
      <c r="O15" s="16">
        <f t="shared" si="4"/>
        <v>3.5</v>
      </c>
      <c r="P15" s="16" t="str">
        <f>IFERROR(tblClean[[#This Row],[AgeGroup]],"")</f>
        <v>&lt;25</v>
      </c>
      <c r="Q15" s="16" t="str">
        <f>IFERROR(tblClean[[#This Row],[IncomeBracket]],"")</f>
        <v>Mid</v>
      </c>
      <c r="R15" s="16" t="str">
        <f t="shared" si="5"/>
        <v>LOW</v>
      </c>
      <c r="S15" s="16" t="str">
        <f t="shared" si="6"/>
        <v>Premium</v>
      </c>
      <c r="T15" s="18" t="str">
        <f t="shared" ca="1" si="7"/>
        <v>Loyal</v>
      </c>
      <c r="U15" s="18" t="str">
        <f>IFERROR(INDEX(tblTransactions[ProductCategory],MATCH(A15,tblTransactions[CustomerID],0)),"N/A")</f>
        <v>Sports</v>
      </c>
    </row>
    <row r="16" spans="1:21" ht="15" customHeight="1" x14ac:dyDescent="0.3">
      <c r="A16" s="19" t="str">
        <f>IFERROR(tblClean[[#This Row],[CustomerID]],"")</f>
        <v>C0014</v>
      </c>
      <c r="B16" s="19" t="str">
        <f>IFERROR(tblClean[[#This Row],[Name (Cleaned)]],"")</f>
        <v>Rahul Mishra</v>
      </c>
      <c r="C16" s="19" t="str">
        <f>IFERROR(tblClean[[#This Row],[City/Region (Cleaned)]],"")</f>
        <v>Surat</v>
      </c>
      <c r="D16" s="19" t="str">
        <f>IFERROR(tblClean[[#This Row],[CustomerType]],"")</f>
        <v>New</v>
      </c>
      <c r="E16" s="19" t="str">
        <f>IFERROR(tblClean[[#This Row],[EngagementLevel]],"")</f>
        <v>High</v>
      </c>
      <c r="F16" s="23">
        <f ca="1">IFERROR(TODAY()-'Raw Data'!M16,999)</f>
        <v>81</v>
      </c>
      <c r="G16" s="23">
        <f>IFERROR(COUNTIFS(tblTransactions[CustomerID],A16),0)</f>
        <v>1</v>
      </c>
      <c r="H16" s="23">
        <f>IFERROR(SUMIFS(tblTransactions[Amount (INR)],tblTransactions[CustomerID],A16),0)</f>
        <v>17170</v>
      </c>
      <c r="I16" s="19">
        <f t="shared" ca="1" si="0"/>
        <v>3</v>
      </c>
      <c r="J16" s="19">
        <f t="shared" si="1"/>
        <v>1</v>
      </c>
      <c r="K16" s="19">
        <f t="shared" si="2"/>
        <v>3</v>
      </c>
      <c r="L16" s="19" t="str">
        <f t="shared" ca="1" si="3"/>
        <v>313</v>
      </c>
      <c r="M16" s="19">
        <f>IFERROR(INDEX('Raw Data'!$X$3:$X$202,MATCH(A16,'Raw Data'!$W$3:$W$202,0)),"")</f>
        <v>4</v>
      </c>
      <c r="N16" s="19">
        <f>IFERROR(INDEX('Raw Data'!$Z$3:$Z$202,MATCH(A16,'Raw Data'!$W$3:$W$202,0)),"")</f>
        <v>5</v>
      </c>
      <c r="O16" s="19">
        <f t="shared" si="4"/>
        <v>3.25</v>
      </c>
      <c r="P16" s="19" t="str">
        <f>IFERROR(tblClean[[#This Row],[AgeGroup]],"")</f>
        <v>40-54</v>
      </c>
      <c r="Q16" s="19" t="str">
        <f>IFERROR(tblClean[[#This Row],[IncomeBracket]],"")</f>
        <v>Mid</v>
      </c>
      <c r="R16" s="19" t="str">
        <f t="shared" si="5"/>
        <v>HIGH</v>
      </c>
      <c r="S16" s="19" t="str">
        <f t="shared" si="6"/>
        <v>Standard</v>
      </c>
      <c r="T16" s="18" t="str">
        <f t="shared" ca="1" si="7"/>
        <v>General</v>
      </c>
      <c r="U16" s="18" t="str">
        <f>IFERROR(INDEX(tblTransactions[ProductCategory],MATCH(A16,tblTransactions[CustomerID],0)),"N/A")</f>
        <v>Grocery</v>
      </c>
    </row>
    <row r="17" spans="1:21" ht="15" customHeight="1" x14ac:dyDescent="0.3">
      <c r="A17" s="16" t="str">
        <f>IFERROR(tblClean[[#This Row],[CustomerID]],"")</f>
        <v>C0015</v>
      </c>
      <c r="B17" s="16" t="str">
        <f>IFERROR(tblClean[[#This Row],[Name (Cleaned)]],"")</f>
        <v>Varun Chopra</v>
      </c>
      <c r="C17" s="16" t="str">
        <f>IFERROR(tblClean[[#This Row],[City/Region (Cleaned)]],"")</f>
        <v>Jaipur</v>
      </c>
      <c r="D17" s="16" t="str">
        <f>IFERROR(tblClean[[#This Row],[CustomerType]],"")</f>
        <v>New</v>
      </c>
      <c r="E17" s="16" t="str">
        <f>IFERROR(tblClean[[#This Row],[EngagementLevel]],"")</f>
        <v>Medium</v>
      </c>
      <c r="F17" s="22">
        <f ca="1">IFERROR(TODAY()-'Raw Data'!M17,999)</f>
        <v>65</v>
      </c>
      <c r="G17" s="22">
        <f>IFERROR(COUNTIFS(tblTransactions[CustomerID],A17),0)</f>
        <v>1</v>
      </c>
      <c r="H17" s="22">
        <f>IFERROR(SUMIFS(tblTransactions[Amount (INR)],tblTransactions[CustomerID],A17),0)</f>
        <v>4430</v>
      </c>
      <c r="I17" s="16">
        <f t="shared" ca="1" si="0"/>
        <v>3</v>
      </c>
      <c r="J17" s="16">
        <f t="shared" si="1"/>
        <v>1</v>
      </c>
      <c r="K17" s="16">
        <f t="shared" si="2"/>
        <v>1</v>
      </c>
      <c r="L17" s="16" t="str">
        <f t="shared" ca="1" si="3"/>
        <v>311</v>
      </c>
      <c r="M17" s="16">
        <f>IFERROR(INDEX('Raw Data'!$X$3:$X$202,MATCH(A17,'Raw Data'!$W$3:$W$202,0)),"")</f>
        <v>5</v>
      </c>
      <c r="N17" s="16">
        <f>IFERROR(INDEX('Raw Data'!$Z$3:$Z$202,MATCH(A17,'Raw Data'!$W$3:$W$202,0)),"")</f>
        <v>6</v>
      </c>
      <c r="O17" s="16">
        <f t="shared" si="4"/>
        <v>4</v>
      </c>
      <c r="P17" s="16" t="str">
        <f>IFERROR(tblClean[[#This Row],[AgeGroup]],"")</f>
        <v>55+</v>
      </c>
      <c r="Q17" s="16" t="str">
        <f>IFERROR(tblClean[[#This Row],[IncomeBracket]],"")</f>
        <v>Mid</v>
      </c>
      <c r="R17" s="16" t="str">
        <f t="shared" si="5"/>
        <v>MED</v>
      </c>
      <c r="S17" s="16" t="str">
        <f t="shared" si="6"/>
        <v>Budget</v>
      </c>
      <c r="T17" s="18" t="str">
        <f t="shared" ca="1" si="7"/>
        <v>General</v>
      </c>
      <c r="U17" s="18" t="str">
        <f>IFERROR(INDEX(tblTransactions[ProductCategory],MATCH(A17,tblTransactions[CustomerID],0)),"N/A")</f>
        <v>Electronics</v>
      </c>
    </row>
    <row r="18" spans="1:21" ht="15" customHeight="1" x14ac:dyDescent="0.3">
      <c r="A18" s="19" t="str">
        <f>IFERROR(tblClean[[#This Row],[CustomerID]],"")</f>
        <v>C0016</v>
      </c>
      <c r="B18" s="19" t="str">
        <f>IFERROR(tblClean[[#This Row],[Name (Cleaned)]],"")</f>
        <v>Harish Reddy</v>
      </c>
      <c r="C18" s="19" t="str">
        <f>IFERROR(tblClean[[#This Row],[City/Region (Cleaned)]],"")</f>
        <v>Chennai</v>
      </c>
      <c r="D18" s="19" t="str">
        <f>IFERROR(tblClean[[#This Row],[CustomerType]],"")</f>
        <v>New</v>
      </c>
      <c r="E18" s="19" t="str">
        <f>IFERROR(tblClean[[#This Row],[EngagementLevel]],"")</f>
        <v>Medium</v>
      </c>
      <c r="F18" s="23">
        <f ca="1">IFERROR(TODAY()-'Raw Data'!M18,999)</f>
        <v>262</v>
      </c>
      <c r="G18" s="23">
        <f>IFERROR(COUNTIFS(tblTransactions[CustomerID],A18),0)</f>
        <v>1</v>
      </c>
      <c r="H18" s="23">
        <f>IFERROR(SUMIFS(tblTransactions[Amount (INR)],tblTransactions[CustomerID],A18),0)</f>
        <v>2170</v>
      </c>
      <c r="I18" s="19">
        <f t="shared" ca="1" si="0"/>
        <v>1</v>
      </c>
      <c r="J18" s="19">
        <f t="shared" si="1"/>
        <v>1</v>
      </c>
      <c r="K18" s="19">
        <f t="shared" si="2"/>
        <v>1</v>
      </c>
      <c r="L18" s="19" t="str">
        <f t="shared" ca="1" si="3"/>
        <v>111</v>
      </c>
      <c r="M18" s="19">
        <f>IFERROR(INDEX('Raw Data'!$X$3:$X$202,MATCH(A18,'Raw Data'!$W$3:$W$202,0)),"")</f>
        <v>2</v>
      </c>
      <c r="N18" s="19">
        <f>IFERROR(INDEX('Raw Data'!$Z$3:$Z$202,MATCH(A18,'Raw Data'!$W$3:$W$202,0)),"")</f>
        <v>7</v>
      </c>
      <c r="O18" s="19">
        <f t="shared" si="4"/>
        <v>2.75</v>
      </c>
      <c r="P18" s="19" t="str">
        <f>IFERROR(tblClean[[#This Row],[AgeGroup]],"")</f>
        <v>40-54</v>
      </c>
      <c r="Q18" s="19" t="str">
        <f>IFERROR(tblClean[[#This Row],[IncomeBracket]],"")</f>
        <v>High</v>
      </c>
      <c r="R18" s="19" t="str">
        <f t="shared" si="5"/>
        <v>MED</v>
      </c>
      <c r="S18" s="19" t="str">
        <f t="shared" si="6"/>
        <v>Budget</v>
      </c>
      <c r="T18" s="18" t="str">
        <f t="shared" ca="1" si="7"/>
        <v>At Risk</v>
      </c>
      <c r="U18" s="18" t="str">
        <f>IFERROR(INDEX(tblTransactions[ProductCategory],MATCH(A18,tblTransactions[CustomerID],0)),"N/A")</f>
        <v>Sports</v>
      </c>
    </row>
    <row r="19" spans="1:21" ht="15" customHeight="1" x14ac:dyDescent="0.3">
      <c r="A19" s="16" t="str">
        <f>IFERROR(tblClean[[#This Row],[CustomerID]],"")</f>
        <v>C0017</v>
      </c>
      <c r="B19" s="16" t="str">
        <f>IFERROR(tblClean[[#This Row],[Name (Cleaned)]],"")</f>
        <v>Pradeep Iyer</v>
      </c>
      <c r="C19" s="16" t="str">
        <f>IFERROR(tblClean[[#This Row],[City/Region (Cleaned)]],"")</f>
        <v>Chandigarh</v>
      </c>
      <c r="D19" s="16" t="str">
        <f>IFERROR(tblClean[[#This Row],[CustomerType]],"")</f>
        <v>Returning</v>
      </c>
      <c r="E19" s="16" t="str">
        <f>IFERROR(tblClean[[#This Row],[EngagementLevel]],"")</f>
        <v>High</v>
      </c>
      <c r="F19" s="22">
        <f ca="1">IFERROR(TODAY()-'Raw Data'!M19,999)</f>
        <v>56</v>
      </c>
      <c r="G19" s="22">
        <f>IFERROR(COUNTIFS(tblTransactions[CustomerID],A19),0)</f>
        <v>12</v>
      </c>
      <c r="H19" s="22">
        <f>IFERROR(SUMIFS(tblTransactions[Amount (INR)],tblTransactions[CustomerID],A19),0)</f>
        <v>57460</v>
      </c>
      <c r="I19" s="16">
        <f t="shared" ca="1" si="0"/>
        <v>4</v>
      </c>
      <c r="J19" s="16">
        <f t="shared" si="1"/>
        <v>5</v>
      </c>
      <c r="K19" s="16">
        <f t="shared" si="2"/>
        <v>5</v>
      </c>
      <c r="L19" s="16" t="str">
        <f t="shared" ca="1" si="3"/>
        <v>455</v>
      </c>
      <c r="M19" s="16">
        <f>IFERROR(INDEX('Raw Data'!$X$3:$X$202,MATCH(A19,'Raw Data'!$W$3:$W$202,0)),"")</f>
        <v>3</v>
      </c>
      <c r="N19" s="16">
        <f>IFERROR(INDEX('Raw Data'!$Z$3:$Z$202,MATCH(A19,'Raw Data'!$W$3:$W$202,0)),"")</f>
        <v>7</v>
      </c>
      <c r="O19" s="16">
        <f t="shared" si="4"/>
        <v>3.25</v>
      </c>
      <c r="P19" s="16" t="str">
        <f>IFERROR(tblClean[[#This Row],[AgeGroup]],"")</f>
        <v>25-39</v>
      </c>
      <c r="Q19" s="16" t="str">
        <f>IFERROR(tblClean[[#This Row],[IncomeBracket]],"")</f>
        <v>High</v>
      </c>
      <c r="R19" s="16" t="str">
        <f t="shared" si="5"/>
        <v>HIGH</v>
      </c>
      <c r="S19" s="16" t="str">
        <f t="shared" si="6"/>
        <v>Premium</v>
      </c>
      <c r="T19" s="18" t="str">
        <f t="shared" ca="1" si="7"/>
        <v>High Value</v>
      </c>
      <c r="U19" s="18" t="str">
        <f>IFERROR(INDEX(tblTransactions[ProductCategory],MATCH(A19,tblTransactions[CustomerID],0)),"N/A")</f>
        <v>Home Decor</v>
      </c>
    </row>
    <row r="20" spans="1:21" ht="15" customHeight="1" x14ac:dyDescent="0.3">
      <c r="A20" s="19" t="str">
        <f>IFERROR(tblClean[[#This Row],[CustomerID]],"")</f>
        <v>C0018</v>
      </c>
      <c r="B20" s="19" t="str">
        <f>IFERROR(tblClean[[#This Row],[Name (Cleaned)]],"")</f>
        <v>Ankit Dubey</v>
      </c>
      <c r="C20" s="19" t="str">
        <f>IFERROR(tblClean[[#This Row],[City/Region (Cleaned)]],"")</f>
        <v>Delhi</v>
      </c>
      <c r="D20" s="19" t="str">
        <f>IFERROR(tblClean[[#This Row],[CustomerType]],"")</f>
        <v>Returning</v>
      </c>
      <c r="E20" s="19" t="str">
        <f>IFERROR(tblClean[[#This Row],[EngagementLevel]],"")</f>
        <v>Medium</v>
      </c>
      <c r="F20" s="23">
        <f ca="1">IFERROR(TODAY()-'Raw Data'!M20,999)</f>
        <v>13</v>
      </c>
      <c r="G20" s="23">
        <f>IFERROR(COUNTIFS(tblTransactions[CustomerID],A20),0)</f>
        <v>5</v>
      </c>
      <c r="H20" s="23">
        <f>IFERROR(SUMIFS(tblTransactions[Amount (INR)],tblTransactions[CustomerID],A20),0)</f>
        <v>22010</v>
      </c>
      <c r="I20" s="19">
        <f t="shared" ca="1" si="0"/>
        <v>5</v>
      </c>
      <c r="J20" s="19">
        <f t="shared" si="1"/>
        <v>3</v>
      </c>
      <c r="K20" s="19">
        <f t="shared" si="2"/>
        <v>3</v>
      </c>
      <c r="L20" s="19" t="str">
        <f t="shared" ca="1" si="3"/>
        <v>533</v>
      </c>
      <c r="M20" s="19">
        <f>IFERROR(INDEX('Raw Data'!$X$3:$X$202,MATCH(A20,'Raw Data'!$W$3:$W$202,0)),"")</f>
        <v>4</v>
      </c>
      <c r="N20" s="19">
        <f>IFERROR(INDEX('Raw Data'!$Z$3:$Z$202,MATCH(A20,'Raw Data'!$W$3:$W$202,0)),"")</f>
        <v>7</v>
      </c>
      <c r="O20" s="19">
        <f t="shared" si="4"/>
        <v>3.75</v>
      </c>
      <c r="P20" s="19" t="str">
        <f>IFERROR(tblClean[[#This Row],[AgeGroup]],"")</f>
        <v>40-54</v>
      </c>
      <c r="Q20" s="19" t="str">
        <f>IFERROR(tblClean[[#This Row],[IncomeBracket]],"")</f>
        <v>Mid</v>
      </c>
      <c r="R20" s="19" t="str">
        <f t="shared" si="5"/>
        <v>MED</v>
      </c>
      <c r="S20" s="19" t="str">
        <f t="shared" si="6"/>
        <v>Standard</v>
      </c>
      <c r="T20" s="18" t="str">
        <f t="shared" ca="1" si="7"/>
        <v>Bargain Seeker</v>
      </c>
      <c r="U20" s="18" t="str">
        <f>IFERROR(INDEX(tblTransactions[ProductCategory],MATCH(A20,tblTransactions[CustomerID],0)),"N/A")</f>
        <v>Clothing</v>
      </c>
    </row>
    <row r="21" spans="1:21" ht="15" customHeight="1" x14ac:dyDescent="0.3">
      <c r="A21" s="16" t="str">
        <f>IFERROR(tblClean[[#This Row],[CustomerID]],"")</f>
        <v>C0019</v>
      </c>
      <c r="B21" s="16" t="str">
        <f>IFERROR(tblClean[[#This Row],[Name (Cleaned)]],"")</f>
        <v>Vivek Pandey</v>
      </c>
      <c r="C21" s="16" t="str">
        <f>IFERROR(tblClean[[#This Row],[City/Region (Cleaned)]],"")</f>
        <v>Bangalore</v>
      </c>
      <c r="D21" s="16" t="str">
        <f>IFERROR(tblClean[[#This Row],[CustomerType]],"")</f>
        <v>Returning</v>
      </c>
      <c r="E21" s="16" t="str">
        <f>IFERROR(tblClean[[#This Row],[EngagementLevel]],"")</f>
        <v>Medium</v>
      </c>
      <c r="F21" s="22">
        <f ca="1">IFERROR(TODAY()-'Raw Data'!M21,999)</f>
        <v>20</v>
      </c>
      <c r="G21" s="22">
        <f>IFERROR(COUNTIFS(tblTransactions[CustomerID],A21),0)</f>
        <v>13</v>
      </c>
      <c r="H21" s="22">
        <f>IFERROR(SUMIFS(tblTransactions[Amount (INR)],tblTransactions[CustomerID],A21),0)</f>
        <v>101320</v>
      </c>
      <c r="I21" s="16">
        <f t="shared" ca="1" si="0"/>
        <v>5</v>
      </c>
      <c r="J21" s="16">
        <f t="shared" si="1"/>
        <v>5</v>
      </c>
      <c r="K21" s="16">
        <f t="shared" si="2"/>
        <v>5</v>
      </c>
      <c r="L21" s="16" t="str">
        <f t="shared" ca="1" si="3"/>
        <v>555</v>
      </c>
      <c r="M21" s="16">
        <f>IFERROR(INDEX('Raw Data'!$X$3:$X$202,MATCH(A21,'Raw Data'!$W$3:$W$202,0)),"")</f>
        <v>4</v>
      </c>
      <c r="N21" s="16">
        <f>IFERROR(INDEX('Raw Data'!$Z$3:$Z$202,MATCH(A21,'Raw Data'!$W$3:$W$202,0)),"")</f>
        <v>6</v>
      </c>
      <c r="O21" s="16">
        <f t="shared" si="4"/>
        <v>3.5</v>
      </c>
      <c r="P21" s="16" t="str">
        <f>IFERROR(tblClean[[#This Row],[AgeGroup]],"")</f>
        <v>55+</v>
      </c>
      <c r="Q21" s="16" t="str">
        <f>IFERROR(tblClean[[#This Row],[IncomeBracket]],"")</f>
        <v>Mid</v>
      </c>
      <c r="R21" s="16" t="str">
        <f t="shared" si="5"/>
        <v>MED</v>
      </c>
      <c r="S21" s="16" t="str">
        <f t="shared" si="6"/>
        <v>Premium</v>
      </c>
      <c r="T21" s="18" t="str">
        <f t="shared" ca="1" si="7"/>
        <v>Loyal</v>
      </c>
      <c r="U21" s="18" t="str">
        <f>IFERROR(INDEX(tblTransactions[ProductCategory],MATCH(A21,tblTransactions[CustomerID],0)),"N/A")</f>
        <v>Electronics</v>
      </c>
    </row>
    <row r="22" spans="1:21" ht="15" customHeight="1" x14ac:dyDescent="0.3">
      <c r="A22" s="19" t="str">
        <f>IFERROR(tblClean[[#This Row],[CustomerID]],"")</f>
        <v>C0020</v>
      </c>
      <c r="B22" s="19" t="str">
        <f>IFERROR(tblClean[[#This Row],[Name (Cleaned)]],"")</f>
        <v>Mohit Bhatia</v>
      </c>
      <c r="C22" s="19" t="str">
        <f>IFERROR(tblClean[[#This Row],[City/Region (Cleaned)]],"")</f>
        <v>Bhopal</v>
      </c>
      <c r="D22" s="19" t="str">
        <f>IFERROR(tblClean[[#This Row],[CustomerType]],"")</f>
        <v>Returning</v>
      </c>
      <c r="E22" s="19" t="str">
        <f>IFERROR(tblClean[[#This Row],[EngagementLevel]],"")</f>
        <v>Medium</v>
      </c>
      <c r="F22" s="23">
        <f ca="1">IFERROR(TODAY()-'Raw Data'!M22,999)</f>
        <v>27</v>
      </c>
      <c r="G22" s="23">
        <f>IFERROR(COUNTIFS(tblTransactions[CustomerID],A22),0)</f>
        <v>2</v>
      </c>
      <c r="H22" s="23">
        <f>IFERROR(SUMIFS(tblTransactions[Amount (INR)],tblTransactions[CustomerID],A22),0)</f>
        <v>13200</v>
      </c>
      <c r="I22" s="19">
        <f t="shared" ca="1" si="0"/>
        <v>5</v>
      </c>
      <c r="J22" s="19">
        <f t="shared" si="1"/>
        <v>2</v>
      </c>
      <c r="K22" s="19">
        <f t="shared" si="2"/>
        <v>2</v>
      </c>
      <c r="L22" s="19" t="str">
        <f t="shared" ca="1" si="3"/>
        <v>522</v>
      </c>
      <c r="M22" s="19">
        <f>IFERROR(INDEX('Raw Data'!$X$3:$X$202,MATCH(A22,'Raw Data'!$W$3:$W$202,0)),"")</f>
        <v>4</v>
      </c>
      <c r="N22" s="19">
        <f>IFERROR(INDEX('Raw Data'!$Z$3:$Z$202,MATCH(A22,'Raw Data'!$W$3:$W$202,0)),"")</f>
        <v>6</v>
      </c>
      <c r="O22" s="19">
        <f t="shared" si="4"/>
        <v>3.5</v>
      </c>
      <c r="P22" s="19" t="str">
        <f>IFERROR(tblClean[[#This Row],[AgeGroup]],"")</f>
        <v>55+</v>
      </c>
      <c r="Q22" s="19" t="str">
        <f>IFERROR(tblClean[[#This Row],[IncomeBracket]],"")</f>
        <v>High</v>
      </c>
      <c r="R22" s="19" t="str">
        <f t="shared" si="5"/>
        <v>MED</v>
      </c>
      <c r="S22" s="19" t="str">
        <f t="shared" si="6"/>
        <v>Budget</v>
      </c>
      <c r="T22" s="18" t="str">
        <f t="shared" ca="1" si="7"/>
        <v>General</v>
      </c>
      <c r="U22" s="18" t="str">
        <f>IFERROR(INDEX(tblTransactions[ProductCategory],MATCH(A22,tblTransactions[CustomerID],0)),"N/A")</f>
        <v>Clothing</v>
      </c>
    </row>
    <row r="23" spans="1:21" ht="15" customHeight="1" x14ac:dyDescent="0.3">
      <c r="A23" s="16" t="str">
        <f>IFERROR(tblClean[[#This Row],[CustomerID]],"")</f>
        <v>C0021</v>
      </c>
      <c r="B23" s="16" t="str">
        <f>IFERROR(tblClean[[#This Row],[Name (Cleaned)]],"")</f>
        <v>Sachin Rao</v>
      </c>
      <c r="C23" s="16" t="str">
        <f>IFERROR(tblClean[[#This Row],[City/Region (Cleaned)]],"")</f>
        <v>Hyderabad</v>
      </c>
      <c r="D23" s="16" t="str">
        <f>IFERROR(tblClean[[#This Row],[CustomerType]],"")</f>
        <v>Returning</v>
      </c>
      <c r="E23" s="16" t="str">
        <f>IFERROR(tblClean[[#This Row],[EngagementLevel]],"")</f>
        <v>Medium</v>
      </c>
      <c r="F23" s="22">
        <f ca="1">IFERROR(TODAY()-'Raw Data'!M23,999)</f>
        <v>42</v>
      </c>
      <c r="G23" s="22">
        <f>IFERROR(COUNTIFS(tblTransactions[CustomerID],A23),0)</f>
        <v>5</v>
      </c>
      <c r="H23" s="22">
        <f>IFERROR(SUMIFS(tblTransactions[Amount (INR)],tblTransactions[CustomerID],A23),0)</f>
        <v>17460</v>
      </c>
      <c r="I23" s="16">
        <f t="shared" ca="1" si="0"/>
        <v>4</v>
      </c>
      <c r="J23" s="16">
        <f t="shared" si="1"/>
        <v>3</v>
      </c>
      <c r="K23" s="16">
        <f t="shared" si="2"/>
        <v>3</v>
      </c>
      <c r="L23" s="16" t="str">
        <f t="shared" ca="1" si="3"/>
        <v>433</v>
      </c>
      <c r="M23" s="16">
        <f>IFERROR(INDEX('Raw Data'!$X$3:$X$202,MATCH(A23,'Raw Data'!$W$3:$W$202,0)),"")</f>
        <v>2</v>
      </c>
      <c r="N23" s="16">
        <f>IFERROR(INDEX('Raw Data'!$Z$3:$Z$202,MATCH(A23,'Raw Data'!$W$3:$W$202,0)),"")</f>
        <v>8</v>
      </c>
      <c r="O23" s="16">
        <f t="shared" si="4"/>
        <v>3</v>
      </c>
      <c r="P23" s="16" t="str">
        <f>IFERROR(tblClean[[#This Row],[AgeGroup]],"")</f>
        <v>40-54</v>
      </c>
      <c r="Q23" s="16" t="str">
        <f>IFERROR(tblClean[[#This Row],[IncomeBracket]],"")</f>
        <v>High</v>
      </c>
      <c r="R23" s="16" t="str">
        <f t="shared" si="5"/>
        <v>MED</v>
      </c>
      <c r="S23" s="16" t="str">
        <f t="shared" si="6"/>
        <v>Standard</v>
      </c>
      <c r="T23" s="18" t="str">
        <f t="shared" ca="1" si="7"/>
        <v>Bargain Seeker</v>
      </c>
      <c r="U23" s="18" t="str">
        <f>IFERROR(INDEX(tblTransactions[ProductCategory],MATCH(A23,tblTransactions[CustomerID],0)),"N/A")</f>
        <v>Electronics</v>
      </c>
    </row>
    <row r="24" spans="1:21" ht="15" customHeight="1" x14ac:dyDescent="0.3">
      <c r="A24" s="19" t="str">
        <f>IFERROR(tblClean[[#This Row],[CustomerID]],"")</f>
        <v>C0022</v>
      </c>
      <c r="B24" s="19" t="str">
        <f>IFERROR(tblClean[[#This Row],[Name (Cleaned)]],"")</f>
        <v>Tarun Malhotra</v>
      </c>
      <c r="C24" s="19" t="str">
        <f>IFERROR(tblClean[[#This Row],[City/Region (Cleaned)]],"")</f>
        <v>Pune</v>
      </c>
      <c r="D24" s="19" t="str">
        <f>IFERROR(tblClean[[#This Row],[CustomerType]],"")</f>
        <v>Returning</v>
      </c>
      <c r="E24" s="19" t="str">
        <f>IFERROR(tblClean[[#This Row],[EngagementLevel]],"")</f>
        <v>Medium</v>
      </c>
      <c r="F24" s="23">
        <f ca="1">IFERROR(TODAY()-'Raw Data'!M24,999)</f>
        <v>89</v>
      </c>
      <c r="G24" s="23">
        <f>IFERROR(COUNTIFS(tblTransactions[CustomerID],A24),0)</f>
        <v>5</v>
      </c>
      <c r="H24" s="23">
        <f>IFERROR(SUMIFS(tblTransactions[Amount (INR)],tblTransactions[CustomerID],A24),0)</f>
        <v>36500</v>
      </c>
      <c r="I24" s="19">
        <f t="shared" ca="1" si="0"/>
        <v>3</v>
      </c>
      <c r="J24" s="19">
        <f t="shared" si="1"/>
        <v>3</v>
      </c>
      <c r="K24" s="19">
        <f t="shared" si="2"/>
        <v>4</v>
      </c>
      <c r="L24" s="19" t="str">
        <f t="shared" ca="1" si="3"/>
        <v>334</v>
      </c>
      <c r="M24" s="19">
        <f>IFERROR(INDEX('Raw Data'!$X$3:$X$202,MATCH(A24,'Raw Data'!$W$3:$W$202,0)),"")</f>
        <v>3</v>
      </c>
      <c r="N24" s="19">
        <f>IFERROR(INDEX('Raw Data'!$Z$3:$Z$202,MATCH(A24,'Raw Data'!$W$3:$W$202,0)),"")</f>
        <v>5</v>
      </c>
      <c r="O24" s="19">
        <f t="shared" si="4"/>
        <v>2.75</v>
      </c>
      <c r="P24" s="19" t="str">
        <f>IFERROR(tblClean[[#This Row],[AgeGroup]],"")</f>
        <v>25-39</v>
      </c>
      <c r="Q24" s="19" t="str">
        <f>IFERROR(tblClean[[#This Row],[IncomeBracket]],"")</f>
        <v>Mid</v>
      </c>
      <c r="R24" s="19" t="str">
        <f t="shared" si="5"/>
        <v>MED</v>
      </c>
      <c r="S24" s="19" t="str">
        <f t="shared" si="6"/>
        <v>Standard</v>
      </c>
      <c r="T24" s="18" t="str">
        <f t="shared" ca="1" si="7"/>
        <v>General</v>
      </c>
      <c r="U24" s="18" t="str">
        <f>IFERROR(INDEX(tblTransactions[ProductCategory],MATCH(A24,tblTransactions[CustomerID],0)),"N/A")</f>
        <v>Sports</v>
      </c>
    </row>
    <row r="25" spans="1:21" ht="15" customHeight="1" x14ac:dyDescent="0.3">
      <c r="A25" s="16" t="str">
        <f>IFERROR(tblClean[[#This Row],[CustomerID]],"")</f>
        <v>C0023</v>
      </c>
      <c r="B25" s="16" t="str">
        <f>IFERROR(tblClean[[#This Row],[Name (Cleaned)]],"")</f>
        <v>Vijay Menon</v>
      </c>
      <c r="C25" s="16" t="str">
        <f>IFERROR(tblClean[[#This Row],[City/Region (Cleaned)]],"")</f>
        <v>Mumbai</v>
      </c>
      <c r="D25" s="16" t="str">
        <f>IFERROR(tblClean[[#This Row],[CustomerType]],"")</f>
        <v>New</v>
      </c>
      <c r="E25" s="16" t="str">
        <f>IFERROR(tblClean[[#This Row],[EngagementLevel]],"")</f>
        <v>Low</v>
      </c>
      <c r="F25" s="22">
        <f ca="1">IFERROR(TODAY()-'Raw Data'!M25,999)</f>
        <v>35</v>
      </c>
      <c r="G25" s="22">
        <f>IFERROR(COUNTIFS(tblTransactions[CustomerID],A25),0)</f>
        <v>1</v>
      </c>
      <c r="H25" s="22">
        <f>IFERROR(SUMIFS(tblTransactions[Amount (INR)],tblTransactions[CustomerID],A25),0)</f>
        <v>3450</v>
      </c>
      <c r="I25" s="16">
        <f t="shared" ca="1" si="0"/>
        <v>4</v>
      </c>
      <c r="J25" s="16">
        <f t="shared" si="1"/>
        <v>1</v>
      </c>
      <c r="K25" s="16">
        <f t="shared" si="2"/>
        <v>1</v>
      </c>
      <c r="L25" s="16" t="str">
        <f t="shared" ca="1" si="3"/>
        <v>411</v>
      </c>
      <c r="M25" s="16">
        <f>IFERROR(INDEX('Raw Data'!$X$3:$X$202,MATCH(A25,'Raw Data'!$W$3:$W$202,0)),"")</f>
        <v>3</v>
      </c>
      <c r="N25" s="16">
        <f>IFERROR(INDEX('Raw Data'!$Z$3:$Z$202,MATCH(A25,'Raw Data'!$W$3:$W$202,0)),"")</f>
        <v>9</v>
      </c>
      <c r="O25" s="16">
        <f t="shared" si="4"/>
        <v>3.75</v>
      </c>
      <c r="P25" s="16" t="str">
        <f>IFERROR(tblClean[[#This Row],[AgeGroup]],"")</f>
        <v>55+</v>
      </c>
      <c r="Q25" s="16" t="str">
        <f>IFERROR(tblClean[[#This Row],[IncomeBracket]],"")</f>
        <v>Mid</v>
      </c>
      <c r="R25" s="16" t="str">
        <f t="shared" si="5"/>
        <v>LOW</v>
      </c>
      <c r="S25" s="16" t="str">
        <f t="shared" si="6"/>
        <v>Budget</v>
      </c>
      <c r="T25" s="18" t="str">
        <f t="shared" ca="1" si="7"/>
        <v>General</v>
      </c>
      <c r="U25" s="18" t="str">
        <f>IFERROR(INDEX(tblTransactions[ProductCategory],MATCH(A25,tblTransactions[CustomerID],0)),"N/A")</f>
        <v>Beauty</v>
      </c>
    </row>
    <row r="26" spans="1:21" ht="15" customHeight="1" x14ac:dyDescent="0.3">
      <c r="A26" s="19" t="str">
        <f>IFERROR(tblClean[[#This Row],[CustomerID]],"")</f>
        <v>C0024</v>
      </c>
      <c r="B26" s="19" t="str">
        <f>IFERROR(tblClean[[#This Row],[Name (Cleaned)]],"")</f>
        <v>Naveen Pillai</v>
      </c>
      <c r="C26" s="19" t="str">
        <f>IFERROR(tblClean[[#This Row],[City/Region (Cleaned)]],"")</f>
        <v>Indore</v>
      </c>
      <c r="D26" s="19" t="str">
        <f>IFERROR(tblClean[[#This Row],[CustomerType]],"")</f>
        <v>New</v>
      </c>
      <c r="E26" s="19" t="str">
        <f>IFERROR(tblClean[[#This Row],[EngagementLevel]],"")</f>
        <v>Medium</v>
      </c>
      <c r="F26" s="23">
        <f ca="1">IFERROR(TODAY()-'Raw Data'!M26,999)</f>
        <v>19</v>
      </c>
      <c r="G26" s="23">
        <f>IFERROR(COUNTIFS(tblTransactions[CustomerID],A26),0)</f>
        <v>1</v>
      </c>
      <c r="H26" s="23">
        <f>IFERROR(SUMIFS(tblTransactions[Amount (INR)],tblTransactions[CustomerID],A26),0)</f>
        <v>11200</v>
      </c>
      <c r="I26" s="19">
        <f t="shared" ca="1" si="0"/>
        <v>5</v>
      </c>
      <c r="J26" s="19">
        <f t="shared" si="1"/>
        <v>1</v>
      </c>
      <c r="K26" s="19">
        <f t="shared" si="2"/>
        <v>2</v>
      </c>
      <c r="L26" s="19" t="str">
        <f t="shared" ca="1" si="3"/>
        <v>512</v>
      </c>
      <c r="M26" s="19">
        <f>IFERROR(INDEX('Raw Data'!$X$3:$X$202,MATCH(A26,'Raw Data'!$W$3:$W$202,0)),"")</f>
        <v>3</v>
      </c>
      <c r="N26" s="19">
        <f>IFERROR(INDEX('Raw Data'!$Z$3:$Z$202,MATCH(A26,'Raw Data'!$W$3:$W$202,0)),"")</f>
        <v>5</v>
      </c>
      <c r="O26" s="19">
        <f t="shared" si="4"/>
        <v>2.75</v>
      </c>
      <c r="P26" s="19" t="str">
        <f>IFERROR(tblClean[[#This Row],[AgeGroup]],"")</f>
        <v>25-39</v>
      </c>
      <c r="Q26" s="19" t="str">
        <f>IFERROR(tblClean[[#This Row],[IncomeBracket]],"")</f>
        <v>Mid</v>
      </c>
      <c r="R26" s="19" t="str">
        <f t="shared" si="5"/>
        <v>MED</v>
      </c>
      <c r="S26" s="19" t="str">
        <f t="shared" si="6"/>
        <v>Budget</v>
      </c>
      <c r="T26" s="18" t="str">
        <f t="shared" ca="1" si="7"/>
        <v>General</v>
      </c>
      <c r="U26" s="18" t="str">
        <f>IFERROR(INDEX(tblTransactions[ProductCategory],MATCH(A26,tblTransactions[CustomerID],0)),"N/A")</f>
        <v>Sports</v>
      </c>
    </row>
    <row r="27" spans="1:21" ht="15" customHeight="1" x14ac:dyDescent="0.3">
      <c r="A27" s="16" t="str">
        <f>IFERROR(tblClean[[#This Row],[CustomerID]],"")</f>
        <v>C0025</v>
      </c>
      <c r="B27" s="16" t="str">
        <f>IFERROR(tblClean[[#This Row],[Name (Cleaned)]],"")</f>
        <v>Akash Srivastava</v>
      </c>
      <c r="C27" s="16" t="str">
        <f>IFERROR(tblClean[[#This Row],[City/Region (Cleaned)]],"")</f>
        <v>Noida</v>
      </c>
      <c r="D27" s="16" t="str">
        <f>IFERROR(tblClean[[#This Row],[CustomerType]],"")</f>
        <v>Returning</v>
      </c>
      <c r="E27" s="16" t="str">
        <f>IFERROR(tblClean[[#This Row],[EngagementLevel]],"")</f>
        <v>Medium</v>
      </c>
      <c r="F27" s="22">
        <f ca="1">IFERROR(TODAY()-'Raw Data'!M27,999)</f>
        <v>146</v>
      </c>
      <c r="G27" s="22">
        <f>IFERROR(COUNTIFS(tblTransactions[CustomerID],A27),0)</f>
        <v>6</v>
      </c>
      <c r="H27" s="22">
        <f>IFERROR(SUMIFS(tblTransactions[Amount (INR)],tblTransactions[CustomerID],A27),0)</f>
        <v>35610</v>
      </c>
      <c r="I27" s="16">
        <f t="shared" ca="1" si="0"/>
        <v>2</v>
      </c>
      <c r="J27" s="16">
        <f t="shared" si="1"/>
        <v>4</v>
      </c>
      <c r="K27" s="16">
        <f t="shared" si="2"/>
        <v>4</v>
      </c>
      <c r="L27" s="16" t="str">
        <f t="shared" ca="1" si="3"/>
        <v>244</v>
      </c>
      <c r="M27" s="16">
        <f>IFERROR(INDEX('Raw Data'!$X$3:$X$202,MATCH(A27,'Raw Data'!$W$3:$W$202,0)),"")</f>
        <v>4</v>
      </c>
      <c r="N27" s="16">
        <f>IFERROR(INDEX('Raw Data'!$Z$3:$Z$202,MATCH(A27,'Raw Data'!$W$3:$W$202,0)),"")</f>
        <v>8</v>
      </c>
      <c r="O27" s="16">
        <f t="shared" si="4"/>
        <v>4</v>
      </c>
      <c r="P27" s="16" t="str">
        <f>IFERROR(tblClean[[#This Row],[AgeGroup]],"")</f>
        <v>25-39</v>
      </c>
      <c r="Q27" s="16" t="str">
        <f>IFERROR(tblClean[[#This Row],[IncomeBracket]],"")</f>
        <v>High</v>
      </c>
      <c r="R27" s="16" t="str">
        <f t="shared" si="5"/>
        <v>MED</v>
      </c>
      <c r="S27" s="16" t="str">
        <f t="shared" si="6"/>
        <v>Standard</v>
      </c>
      <c r="T27" s="18" t="str">
        <f t="shared" ca="1" si="7"/>
        <v>General</v>
      </c>
      <c r="U27" s="18" t="str">
        <f>IFERROR(INDEX(tblTransactions[ProductCategory],MATCH(A27,tblTransactions[CustomerID],0)),"N/A")</f>
        <v>Beauty</v>
      </c>
    </row>
    <row r="28" spans="1:21" ht="15" customHeight="1" x14ac:dyDescent="0.3">
      <c r="A28" s="19" t="str">
        <f>IFERROR(tblClean[[#This Row],[CustomerID]],"")</f>
        <v>C0026</v>
      </c>
      <c r="B28" s="19" t="str">
        <f>IFERROR(tblClean[[#This Row],[Name (Cleaned)]],"")</f>
        <v>Dinesh Thakur</v>
      </c>
      <c r="C28" s="19" t="str">
        <f>IFERROR(tblClean[[#This Row],[City/Region (Cleaned)]],"")</f>
        <v>Noida</v>
      </c>
      <c r="D28" s="19" t="str">
        <f>IFERROR(tblClean[[#This Row],[CustomerType]],"")</f>
        <v>New</v>
      </c>
      <c r="E28" s="19" t="str">
        <f>IFERROR(tblClean[[#This Row],[EngagementLevel]],"")</f>
        <v>Low</v>
      </c>
      <c r="F28" s="23">
        <f ca="1">IFERROR(TODAY()-'Raw Data'!M28,999)</f>
        <v>187</v>
      </c>
      <c r="G28" s="23">
        <f>IFERROR(COUNTIFS(tblTransactions[CustomerID],A28),0)</f>
        <v>1</v>
      </c>
      <c r="H28" s="23">
        <f>IFERROR(SUMIFS(tblTransactions[Amount (INR)],tblTransactions[CustomerID],A28),0)</f>
        <v>6620</v>
      </c>
      <c r="I28" s="19">
        <f t="shared" ca="1" si="0"/>
        <v>1</v>
      </c>
      <c r="J28" s="19">
        <f t="shared" si="1"/>
        <v>1</v>
      </c>
      <c r="K28" s="19">
        <f t="shared" si="2"/>
        <v>2</v>
      </c>
      <c r="L28" s="19" t="str">
        <f t="shared" ca="1" si="3"/>
        <v>112</v>
      </c>
      <c r="M28" s="19">
        <f>IFERROR(INDEX('Raw Data'!$X$3:$X$202,MATCH(A28,'Raw Data'!$W$3:$W$202,0)),"")</f>
        <v>3</v>
      </c>
      <c r="N28" s="19">
        <f>IFERROR(INDEX('Raw Data'!$Z$3:$Z$202,MATCH(A28,'Raw Data'!$W$3:$W$202,0)),"")</f>
        <v>9</v>
      </c>
      <c r="O28" s="19">
        <f t="shared" si="4"/>
        <v>3.75</v>
      </c>
      <c r="P28" s="19" t="str">
        <f>IFERROR(tblClean[[#This Row],[AgeGroup]],"")</f>
        <v>55+</v>
      </c>
      <c r="Q28" s="19" t="str">
        <f>IFERROR(tblClean[[#This Row],[IncomeBracket]],"")</f>
        <v>Mid</v>
      </c>
      <c r="R28" s="19" t="str">
        <f t="shared" si="5"/>
        <v>LOW</v>
      </c>
      <c r="S28" s="19" t="str">
        <f t="shared" si="6"/>
        <v>Budget</v>
      </c>
      <c r="T28" s="18" t="str">
        <f t="shared" ca="1" si="7"/>
        <v>At Risk</v>
      </c>
      <c r="U28" s="18" t="str">
        <f>IFERROR(INDEX(tblTransactions[ProductCategory],MATCH(A28,tblTransactions[CustomerID],0)),"N/A")</f>
        <v>Home Decor</v>
      </c>
    </row>
    <row r="29" spans="1:21" ht="15" customHeight="1" x14ac:dyDescent="0.3">
      <c r="A29" s="16" t="str">
        <f>IFERROR(tblClean[[#This Row],[CustomerID]],"")</f>
        <v>C0027</v>
      </c>
      <c r="B29" s="16" t="str">
        <f>IFERROR(tblClean[[#This Row],[Name (Cleaned)]],"")</f>
        <v>Rakesh Bansal</v>
      </c>
      <c r="C29" s="16" t="str">
        <f>IFERROR(tblClean[[#This Row],[City/Region (Cleaned)]],"")</f>
        <v>Lucknow</v>
      </c>
      <c r="D29" s="16" t="str">
        <f>IFERROR(tblClean[[#This Row],[CustomerType]],"")</f>
        <v>Returning</v>
      </c>
      <c r="E29" s="16" t="str">
        <f>IFERROR(tblClean[[#This Row],[EngagementLevel]],"")</f>
        <v>Medium</v>
      </c>
      <c r="F29" s="22">
        <f ca="1">IFERROR(TODAY()-'Raw Data'!M29,999)</f>
        <v>50</v>
      </c>
      <c r="G29" s="22">
        <f>IFERROR(COUNTIFS(tblTransactions[CustomerID],A29),0)</f>
        <v>6</v>
      </c>
      <c r="H29" s="22">
        <f>IFERROR(SUMIFS(tblTransactions[Amount (INR)],tblTransactions[CustomerID],A29),0)</f>
        <v>38680</v>
      </c>
      <c r="I29" s="16">
        <f t="shared" ca="1" si="0"/>
        <v>4</v>
      </c>
      <c r="J29" s="16">
        <f t="shared" si="1"/>
        <v>4</v>
      </c>
      <c r="K29" s="16">
        <f t="shared" si="2"/>
        <v>4</v>
      </c>
      <c r="L29" s="16" t="str">
        <f t="shared" ca="1" si="3"/>
        <v>444</v>
      </c>
      <c r="M29" s="16">
        <f>IFERROR(INDEX('Raw Data'!$X$3:$X$202,MATCH(A29,'Raw Data'!$W$3:$W$202,0)),"")</f>
        <v>2</v>
      </c>
      <c r="N29" s="16">
        <f>IFERROR(INDEX('Raw Data'!$Z$3:$Z$202,MATCH(A29,'Raw Data'!$W$3:$W$202,0)),"")</f>
        <v>4</v>
      </c>
      <c r="O29" s="16">
        <f t="shared" si="4"/>
        <v>2</v>
      </c>
      <c r="P29" s="16" t="str">
        <f>IFERROR(tblClean[[#This Row],[AgeGroup]],"")</f>
        <v>25-39</v>
      </c>
      <c r="Q29" s="16" t="str">
        <f>IFERROR(tblClean[[#This Row],[IncomeBracket]],"")</f>
        <v>Mid</v>
      </c>
      <c r="R29" s="16" t="str">
        <f t="shared" si="5"/>
        <v>MED</v>
      </c>
      <c r="S29" s="16" t="str">
        <f t="shared" si="6"/>
        <v>Standard</v>
      </c>
      <c r="T29" s="18" t="str">
        <f t="shared" ca="1" si="7"/>
        <v>General</v>
      </c>
      <c r="U29" s="18" t="str">
        <f>IFERROR(INDEX(tblTransactions[ProductCategory],MATCH(A29,tblTransactions[CustomerID],0)),"N/A")</f>
        <v>Sports</v>
      </c>
    </row>
    <row r="30" spans="1:21" ht="15" customHeight="1" x14ac:dyDescent="0.3">
      <c r="A30" s="19" t="str">
        <f>IFERROR(tblClean[[#This Row],[CustomerID]],"")</f>
        <v>C0028</v>
      </c>
      <c r="B30" s="19" t="str">
        <f>IFERROR(tblClean[[#This Row],[Name (Cleaned)]],"")</f>
        <v>Girish Agarwal</v>
      </c>
      <c r="C30" s="19" t="str">
        <f>IFERROR(tblClean[[#This Row],[City/Region (Cleaned)]],"")</f>
        <v>Noida</v>
      </c>
      <c r="D30" s="19" t="str">
        <f>IFERROR(tblClean[[#This Row],[CustomerType]],"")</f>
        <v>Returning</v>
      </c>
      <c r="E30" s="19" t="str">
        <f>IFERROR(tblClean[[#This Row],[EngagementLevel]],"")</f>
        <v>High</v>
      </c>
      <c r="F30" s="23">
        <f ca="1">IFERROR(TODAY()-'Raw Data'!M30,999)</f>
        <v>48</v>
      </c>
      <c r="G30" s="23">
        <f>IFERROR(COUNTIFS(tblTransactions[CustomerID],A30),0)</f>
        <v>12</v>
      </c>
      <c r="H30" s="23">
        <f>IFERROR(SUMIFS(tblTransactions[Amount (INR)],tblTransactions[CustomerID],A30),0)</f>
        <v>60070</v>
      </c>
      <c r="I30" s="19">
        <f t="shared" ca="1" si="0"/>
        <v>4</v>
      </c>
      <c r="J30" s="19">
        <f t="shared" si="1"/>
        <v>5</v>
      </c>
      <c r="K30" s="19">
        <f t="shared" si="2"/>
        <v>5</v>
      </c>
      <c r="L30" s="19" t="str">
        <f t="shared" ca="1" si="3"/>
        <v>455</v>
      </c>
      <c r="M30" s="19">
        <f>IFERROR(INDEX('Raw Data'!$X$3:$X$202,MATCH(A30,'Raw Data'!$W$3:$W$202,0)),"")</f>
        <v>4</v>
      </c>
      <c r="N30" s="19">
        <f>IFERROR(INDEX('Raw Data'!$Z$3:$Z$202,MATCH(A30,'Raw Data'!$W$3:$W$202,0)),"")</f>
        <v>5</v>
      </c>
      <c r="O30" s="19">
        <f t="shared" si="4"/>
        <v>3.25</v>
      </c>
      <c r="P30" s="19" t="str">
        <f>IFERROR(tblClean[[#This Row],[AgeGroup]],"")</f>
        <v>40-54</v>
      </c>
      <c r="Q30" s="19" t="str">
        <f>IFERROR(tblClean[[#This Row],[IncomeBracket]],"")</f>
        <v>Mid</v>
      </c>
      <c r="R30" s="19" t="str">
        <f t="shared" si="5"/>
        <v>HIGH</v>
      </c>
      <c r="S30" s="19" t="str">
        <f t="shared" si="6"/>
        <v>Premium</v>
      </c>
      <c r="T30" s="18" t="str">
        <f t="shared" ca="1" si="7"/>
        <v>High Value</v>
      </c>
      <c r="U30" s="18" t="str">
        <f>IFERROR(INDEX(tblTransactions[ProductCategory],MATCH(A30,tblTransactions[CustomerID],0)),"N/A")</f>
        <v>Home Decor</v>
      </c>
    </row>
    <row r="31" spans="1:21" ht="15" customHeight="1" x14ac:dyDescent="0.3">
      <c r="A31" s="16" t="str">
        <f>IFERROR(tblClean[[#This Row],[CustomerID]],"")</f>
        <v>C0029</v>
      </c>
      <c r="B31" s="16" t="str">
        <f>IFERROR(tblClean[[#This Row],[Name (Cleaned)]],"")</f>
        <v>Sumit Dixit</v>
      </c>
      <c r="C31" s="16" t="str">
        <f>IFERROR(tblClean[[#This Row],[City/Region (Cleaned)]],"")</f>
        <v>Lucknow</v>
      </c>
      <c r="D31" s="16" t="str">
        <f>IFERROR(tblClean[[#This Row],[CustomerType]],"")</f>
        <v>Returning</v>
      </c>
      <c r="E31" s="16" t="str">
        <f>IFERROR(tblClean[[#This Row],[EngagementLevel]],"")</f>
        <v>Low</v>
      </c>
      <c r="F31" s="22">
        <f ca="1">IFERROR(TODAY()-'Raw Data'!M31,999)</f>
        <v>160</v>
      </c>
      <c r="G31" s="22">
        <f>IFERROR(COUNTIFS(tblTransactions[CustomerID],A31),0)</f>
        <v>1</v>
      </c>
      <c r="H31" s="22">
        <f>IFERROR(SUMIFS(tblTransactions[Amount (INR)],tblTransactions[CustomerID],A31),0)</f>
        <v>3300</v>
      </c>
      <c r="I31" s="16">
        <f t="shared" ca="1" si="0"/>
        <v>2</v>
      </c>
      <c r="J31" s="16">
        <f t="shared" si="1"/>
        <v>1</v>
      </c>
      <c r="K31" s="16">
        <f t="shared" si="2"/>
        <v>1</v>
      </c>
      <c r="L31" s="16" t="str">
        <f t="shared" ca="1" si="3"/>
        <v>211</v>
      </c>
      <c r="M31" s="16">
        <f>IFERROR(INDEX('Raw Data'!$X$3:$X$202,MATCH(A31,'Raw Data'!$W$3:$W$202,0)),"")</f>
        <v>3</v>
      </c>
      <c r="N31" s="16">
        <f>IFERROR(INDEX('Raw Data'!$Z$3:$Z$202,MATCH(A31,'Raw Data'!$W$3:$W$202,0)),"")</f>
        <v>9</v>
      </c>
      <c r="O31" s="16">
        <f t="shared" si="4"/>
        <v>3.75</v>
      </c>
      <c r="P31" s="16" t="str">
        <f>IFERROR(tblClean[[#This Row],[AgeGroup]],"")</f>
        <v>25-39</v>
      </c>
      <c r="Q31" s="16" t="str">
        <f>IFERROR(tblClean[[#This Row],[IncomeBracket]],"")</f>
        <v>High</v>
      </c>
      <c r="R31" s="16" t="str">
        <f t="shared" si="5"/>
        <v>LOW</v>
      </c>
      <c r="S31" s="16" t="str">
        <f t="shared" si="6"/>
        <v>Budget</v>
      </c>
      <c r="T31" s="18" t="str">
        <f t="shared" ca="1" si="7"/>
        <v>At Risk</v>
      </c>
      <c r="U31" s="18" t="str">
        <f>IFERROR(INDEX(tblTransactions[ProductCategory],MATCH(A31,tblTransactions[CustomerID],0)),"N/A")</f>
        <v>Beauty</v>
      </c>
    </row>
    <row r="32" spans="1:21" ht="15" customHeight="1" x14ac:dyDescent="0.3">
      <c r="A32" s="19" t="str">
        <f>IFERROR(tblClean[[#This Row],[CustomerID]],"")</f>
        <v>C0030</v>
      </c>
      <c r="B32" s="19" t="str">
        <f>IFERROR(tblClean[[#This Row],[Name (Cleaned)]],"")</f>
        <v>Pranav Shah</v>
      </c>
      <c r="C32" s="19" t="str">
        <f>IFERROR(tblClean[[#This Row],[City/Region (Cleaned)]],"")</f>
        <v>Ahmedabad</v>
      </c>
      <c r="D32" s="19" t="str">
        <f>IFERROR(tblClean[[#This Row],[CustomerType]],"")</f>
        <v>Returning</v>
      </c>
      <c r="E32" s="19" t="str">
        <f>IFERROR(tblClean[[#This Row],[EngagementLevel]],"")</f>
        <v>Medium</v>
      </c>
      <c r="F32" s="23">
        <f ca="1">IFERROR(TODAY()-'Raw Data'!M32,999)</f>
        <v>115</v>
      </c>
      <c r="G32" s="23">
        <f>IFERROR(COUNTIFS(tblTransactions[CustomerID],A32),0)</f>
        <v>6</v>
      </c>
      <c r="H32" s="23">
        <f>IFERROR(SUMIFS(tblTransactions[Amount (INR)],tblTransactions[CustomerID],A32),0)</f>
        <v>36550</v>
      </c>
      <c r="I32" s="19">
        <f t="shared" ca="1" si="0"/>
        <v>2</v>
      </c>
      <c r="J32" s="19">
        <f t="shared" si="1"/>
        <v>4</v>
      </c>
      <c r="K32" s="19">
        <f t="shared" si="2"/>
        <v>4</v>
      </c>
      <c r="L32" s="19" t="str">
        <f t="shared" ca="1" si="3"/>
        <v>244</v>
      </c>
      <c r="M32" s="19">
        <f>IFERROR(INDEX('Raw Data'!$X$3:$X$202,MATCH(A32,'Raw Data'!$W$3:$W$202,0)),"")</f>
        <v>2</v>
      </c>
      <c r="N32" s="19">
        <f>IFERROR(INDEX('Raw Data'!$Z$3:$Z$202,MATCH(A32,'Raw Data'!$W$3:$W$202,0)),"")</f>
        <v>9</v>
      </c>
      <c r="O32" s="19">
        <f t="shared" si="4"/>
        <v>3.25</v>
      </c>
      <c r="P32" s="19" t="str">
        <f>IFERROR(tblClean[[#This Row],[AgeGroup]],"")</f>
        <v>40-54</v>
      </c>
      <c r="Q32" s="19" t="str">
        <f>IFERROR(tblClean[[#This Row],[IncomeBracket]],"")</f>
        <v>High</v>
      </c>
      <c r="R32" s="19" t="str">
        <f t="shared" si="5"/>
        <v>MED</v>
      </c>
      <c r="S32" s="19" t="str">
        <f t="shared" si="6"/>
        <v>Standard</v>
      </c>
      <c r="T32" s="18" t="str">
        <f t="shared" ca="1" si="7"/>
        <v>General</v>
      </c>
      <c r="U32" s="18" t="str">
        <f>IFERROR(INDEX(tblTransactions[ProductCategory],MATCH(A32,tblTransactions[CustomerID],0)),"N/A")</f>
        <v>Sports</v>
      </c>
    </row>
    <row r="33" spans="1:21" ht="15" customHeight="1" x14ac:dyDescent="0.3">
      <c r="A33" s="16" t="str">
        <f>IFERROR(tblClean[[#This Row],[CustomerID]],"")</f>
        <v>C0031</v>
      </c>
      <c r="B33" s="16" t="str">
        <f>IFERROR(tblClean[[#This Row],[Name (Cleaned)]],"")</f>
        <v>Himanshu Jain</v>
      </c>
      <c r="C33" s="16" t="str">
        <f>IFERROR(tblClean[[#This Row],[City/Region (Cleaned)]],"")</f>
        <v>Bhopal</v>
      </c>
      <c r="D33" s="16" t="str">
        <f>IFERROR(tblClean[[#This Row],[CustomerType]],"")</f>
        <v>New</v>
      </c>
      <c r="E33" s="16" t="str">
        <f>IFERROR(tblClean[[#This Row],[EngagementLevel]],"")</f>
        <v>Medium</v>
      </c>
      <c r="F33" s="22">
        <f ca="1">IFERROR(TODAY()-'Raw Data'!M33,999)</f>
        <v>123</v>
      </c>
      <c r="G33" s="22">
        <f>IFERROR(COUNTIFS(tblTransactions[CustomerID],A33),0)</f>
        <v>1</v>
      </c>
      <c r="H33" s="22">
        <f>IFERROR(SUMIFS(tblTransactions[Amount (INR)],tblTransactions[CustomerID],A33),0)</f>
        <v>4460</v>
      </c>
      <c r="I33" s="16">
        <f t="shared" ca="1" si="0"/>
        <v>2</v>
      </c>
      <c r="J33" s="16">
        <f t="shared" si="1"/>
        <v>1</v>
      </c>
      <c r="K33" s="16">
        <f t="shared" si="2"/>
        <v>1</v>
      </c>
      <c r="L33" s="16" t="str">
        <f t="shared" ca="1" si="3"/>
        <v>211</v>
      </c>
      <c r="M33" s="16">
        <f>IFERROR(INDEX('Raw Data'!$X$3:$X$202,MATCH(A33,'Raw Data'!$W$3:$W$202,0)),"")</f>
        <v>4</v>
      </c>
      <c r="N33" s="16">
        <f>IFERROR(INDEX('Raw Data'!$Z$3:$Z$202,MATCH(A33,'Raw Data'!$W$3:$W$202,0)),"")</f>
        <v>10</v>
      </c>
      <c r="O33" s="16">
        <f t="shared" si="4"/>
        <v>4.5</v>
      </c>
      <c r="P33" s="16" t="str">
        <f>IFERROR(tblClean[[#This Row],[AgeGroup]],"")</f>
        <v>55+</v>
      </c>
      <c r="Q33" s="16" t="str">
        <f>IFERROR(tblClean[[#This Row],[IncomeBracket]],"")</f>
        <v>Mid</v>
      </c>
      <c r="R33" s="16" t="str">
        <f t="shared" si="5"/>
        <v>MED</v>
      </c>
      <c r="S33" s="16" t="str">
        <f t="shared" si="6"/>
        <v>Budget</v>
      </c>
      <c r="T33" s="18" t="str">
        <f t="shared" ca="1" si="7"/>
        <v>At Risk</v>
      </c>
      <c r="U33" s="18" t="str">
        <f>IFERROR(INDEX(tblTransactions[ProductCategory],MATCH(A33,tblTransactions[CustomerID],0)),"N/A")</f>
        <v>Beauty</v>
      </c>
    </row>
    <row r="34" spans="1:21" ht="15" customHeight="1" x14ac:dyDescent="0.3">
      <c r="A34" s="19" t="str">
        <f>IFERROR(tblClean[[#This Row],[CustomerID]],"")</f>
        <v>C0032</v>
      </c>
      <c r="B34" s="19" t="str">
        <f>IFERROR(tblClean[[#This Row],[Name (Cleaned)]],"")</f>
        <v>Lokesh Negi</v>
      </c>
      <c r="C34" s="19" t="str">
        <f>IFERROR(tblClean[[#This Row],[City/Region (Cleaned)]],"")</f>
        <v>Mumbai</v>
      </c>
      <c r="D34" s="19" t="str">
        <f>IFERROR(tblClean[[#This Row],[CustomerType]],"")</f>
        <v>Returning</v>
      </c>
      <c r="E34" s="19" t="str">
        <f>IFERROR(tblClean[[#This Row],[EngagementLevel]],"")</f>
        <v>Low</v>
      </c>
      <c r="F34" s="23">
        <f ca="1">IFERROR(TODAY()-'Raw Data'!M34,999)</f>
        <v>17</v>
      </c>
      <c r="G34" s="23">
        <f>IFERROR(COUNTIFS(tblTransactions[CustomerID],A34),0)</f>
        <v>3</v>
      </c>
      <c r="H34" s="23">
        <f>IFERROR(SUMIFS(tblTransactions[Amount (INR)],tblTransactions[CustomerID],A34),0)</f>
        <v>11740</v>
      </c>
      <c r="I34" s="19">
        <f t="shared" ca="1" si="0"/>
        <v>5</v>
      </c>
      <c r="J34" s="19">
        <f t="shared" si="1"/>
        <v>2</v>
      </c>
      <c r="K34" s="19">
        <f t="shared" si="2"/>
        <v>2</v>
      </c>
      <c r="L34" s="19" t="str">
        <f t="shared" ca="1" si="3"/>
        <v>522</v>
      </c>
      <c r="M34" s="19">
        <f>IFERROR(INDEX('Raw Data'!$X$3:$X$202,MATCH(A34,'Raw Data'!$W$3:$W$202,0)),"")</f>
        <v>4</v>
      </c>
      <c r="N34" s="19">
        <f>IFERROR(INDEX('Raw Data'!$Z$3:$Z$202,MATCH(A34,'Raw Data'!$W$3:$W$202,0)),"")</f>
        <v>9</v>
      </c>
      <c r="O34" s="19">
        <f t="shared" si="4"/>
        <v>4.25</v>
      </c>
      <c r="P34" s="19" t="str">
        <f>IFERROR(tblClean[[#This Row],[AgeGroup]],"")</f>
        <v>25-39</v>
      </c>
      <c r="Q34" s="19" t="str">
        <f>IFERROR(tblClean[[#This Row],[IncomeBracket]],"")</f>
        <v>Mid</v>
      </c>
      <c r="R34" s="19" t="str">
        <f t="shared" si="5"/>
        <v>LOW</v>
      </c>
      <c r="S34" s="19" t="str">
        <f t="shared" si="6"/>
        <v>Budget</v>
      </c>
      <c r="T34" s="18" t="str">
        <f t="shared" ca="1" si="7"/>
        <v>General</v>
      </c>
      <c r="U34" s="18" t="str">
        <f>IFERROR(INDEX(tblTransactions[ProductCategory],MATCH(A34,tblTransactions[CustomerID],0)),"N/A")</f>
        <v>Electronics</v>
      </c>
    </row>
    <row r="35" spans="1:21" ht="15" customHeight="1" x14ac:dyDescent="0.3">
      <c r="A35" s="16" t="str">
        <f>IFERROR(tblClean[[#This Row],[CustomerID]],"")</f>
        <v>C0033</v>
      </c>
      <c r="B35" s="16" t="str">
        <f>IFERROR(tblClean[[#This Row],[Name (Cleaned)]],"")</f>
        <v>Rishabh Bhatt</v>
      </c>
      <c r="C35" s="16" t="str">
        <f>IFERROR(tblClean[[#This Row],[City/Region (Cleaned)]],"")</f>
        <v>Chennai</v>
      </c>
      <c r="D35" s="16" t="str">
        <f>IFERROR(tblClean[[#This Row],[CustomerType]],"")</f>
        <v>New</v>
      </c>
      <c r="E35" s="16" t="str">
        <f>IFERROR(tblClean[[#This Row],[EngagementLevel]],"")</f>
        <v>Low</v>
      </c>
      <c r="F35" s="22">
        <f ca="1">IFERROR(TODAY()-'Raw Data'!M35,999)</f>
        <v>29</v>
      </c>
      <c r="G35" s="22">
        <f>IFERROR(COUNTIFS(tblTransactions[CustomerID],A35),0)</f>
        <v>1</v>
      </c>
      <c r="H35" s="22">
        <f>IFERROR(SUMIFS(tblTransactions[Amount (INR)],tblTransactions[CustomerID],A35),0)</f>
        <v>2160</v>
      </c>
      <c r="I35" s="16">
        <f t="shared" ref="I35:I66" ca="1" si="8">IFERROR(IF(F35&lt;=30,5,IF(F35&lt;=60,4,IF(F35&lt;=90,3,IF(F35&lt;=180,2,1)))),1)</f>
        <v>5</v>
      </c>
      <c r="J35" s="16">
        <f t="shared" ref="J35:J66" si="9">IFERROR(IF(G35&gt;=8,5,IF(G35&gt;=6,4,IF(G35&gt;=4,3,IF(G35&gt;=2,2,1)))),1)</f>
        <v>1</v>
      </c>
      <c r="K35" s="16">
        <f t="shared" ref="K35:K66" si="10">IFERROR(IF(H35&gt;=50000,5,IF(H35&gt;=30000,4,IF(H35&gt;=15000,3,IF(H35&gt;=5000,2,1)))),1)</f>
        <v>1</v>
      </c>
      <c r="L35" s="16" t="str">
        <f t="shared" ref="L35:L66" ca="1" si="11">IFERROR(TEXT(I35,"0")&amp;TEXT(J35,"0")&amp;TEXT(K35,"0"),"")</f>
        <v>511</v>
      </c>
      <c r="M35" s="16">
        <f>IFERROR(INDEX('Raw Data'!$X$3:$X$202,MATCH(A35,'Raw Data'!$W$3:$W$202,0)),"")</f>
        <v>5</v>
      </c>
      <c r="N35" s="16">
        <f>IFERROR(INDEX('Raw Data'!$Z$3:$Z$202,MATCH(A35,'Raw Data'!$W$3:$W$202,0)),"")</f>
        <v>7</v>
      </c>
      <c r="O35" s="16">
        <f t="shared" ref="O35:O66" si="12">IFERROR((IF(ISNUMBER(M35),M35,0)+IF(ISNUMBER(N35),N35/2,0))/MAX(1,(IF(ISNUMBER(M35),1,0)+IF(ISNUMBER(N35),1,0))),"")</f>
        <v>4.25</v>
      </c>
      <c r="P35" s="16" t="str">
        <f>IFERROR(tblClean[[#This Row],[AgeGroup]],"")</f>
        <v>&lt;25</v>
      </c>
      <c r="Q35" s="16" t="str">
        <f>IFERROR(tblClean[[#This Row],[IncomeBracket]],"")</f>
        <v>Mid</v>
      </c>
      <c r="R35" s="16" t="str">
        <f t="shared" ref="R35:R66" si="13">IFERROR(IF(E35="Low","LOW",IF(E35="Medium","MED","HIGH")),"N/A")</f>
        <v>LOW</v>
      </c>
      <c r="S35" s="16" t="str">
        <f t="shared" ref="S35:S66" si="14">IFERROR(IF(H35&gt;=50000,"Premium",IF(H35&gt;=15000,"Standard","Budget")),"N/A")</f>
        <v>Budget</v>
      </c>
      <c r="T35" s="18" t="str">
        <f t="shared" ca="1" si="7"/>
        <v>General</v>
      </c>
      <c r="U35" s="18" t="str">
        <f>IFERROR(INDEX(tblTransactions[ProductCategory],MATCH(A35,tblTransactions[CustomerID],0)),"N/A")</f>
        <v>Sports</v>
      </c>
    </row>
    <row r="36" spans="1:21" ht="15" customHeight="1" x14ac:dyDescent="0.3">
      <c r="A36" s="19" t="str">
        <f>IFERROR(tblClean[[#This Row],[CustomerID]],"")</f>
        <v>C0034</v>
      </c>
      <c r="B36" s="19" t="str">
        <f>IFERROR(tblClean[[#This Row],[Name (Cleaned)]],"")</f>
        <v>Abhishek Goyal</v>
      </c>
      <c r="C36" s="19" t="str">
        <f>IFERROR(tblClean[[#This Row],[City/Region (Cleaned)]],"")</f>
        <v>Nagpur</v>
      </c>
      <c r="D36" s="19" t="str">
        <f>IFERROR(tblClean[[#This Row],[CustomerType]],"")</f>
        <v>Returning</v>
      </c>
      <c r="E36" s="19" t="str">
        <f>IFERROR(tblClean[[#This Row],[EngagementLevel]],"")</f>
        <v>Medium</v>
      </c>
      <c r="F36" s="23">
        <f ca="1">IFERROR(TODAY()-'Raw Data'!M36,999)</f>
        <v>61</v>
      </c>
      <c r="G36" s="23">
        <f>IFERROR(COUNTIFS(tblTransactions[CustomerID],A36),0)</f>
        <v>5</v>
      </c>
      <c r="H36" s="23">
        <f>IFERROR(SUMIFS(tblTransactions[Amount (INR)],tblTransactions[CustomerID],A36),0)</f>
        <v>26570</v>
      </c>
      <c r="I36" s="19">
        <f t="shared" ca="1" si="8"/>
        <v>3</v>
      </c>
      <c r="J36" s="19">
        <f t="shared" si="9"/>
        <v>3</v>
      </c>
      <c r="K36" s="19">
        <f t="shared" si="10"/>
        <v>3</v>
      </c>
      <c r="L36" s="19" t="str">
        <f t="shared" ca="1" si="11"/>
        <v>333</v>
      </c>
      <c r="M36" s="19">
        <f>IFERROR(INDEX('Raw Data'!$X$3:$X$202,MATCH(A36,'Raw Data'!$W$3:$W$202,0)),"")</f>
        <v>4</v>
      </c>
      <c r="N36" s="19">
        <f>IFERROR(INDEX('Raw Data'!$Z$3:$Z$202,MATCH(A36,'Raw Data'!$W$3:$W$202,0)),"")</f>
        <v>6</v>
      </c>
      <c r="O36" s="19">
        <f t="shared" si="12"/>
        <v>3.5</v>
      </c>
      <c r="P36" s="19" t="str">
        <f>IFERROR(tblClean[[#This Row],[AgeGroup]],"")</f>
        <v>25-39</v>
      </c>
      <c r="Q36" s="19" t="str">
        <f>IFERROR(tblClean[[#This Row],[IncomeBracket]],"")</f>
        <v>High</v>
      </c>
      <c r="R36" s="19" t="str">
        <f t="shared" si="13"/>
        <v>MED</v>
      </c>
      <c r="S36" s="19" t="str">
        <f t="shared" si="14"/>
        <v>Standard</v>
      </c>
      <c r="T36" s="18" t="str">
        <f t="shared" ca="1" si="7"/>
        <v>Bargain Seeker</v>
      </c>
      <c r="U36" s="18" t="str">
        <f>IFERROR(INDEX(tblTransactions[ProductCategory],MATCH(A36,tblTransactions[CustomerID],0)),"N/A")</f>
        <v>Home Decor</v>
      </c>
    </row>
    <row r="37" spans="1:21" ht="15" customHeight="1" x14ac:dyDescent="0.3">
      <c r="A37" s="16" t="str">
        <f>IFERROR(tblClean[[#This Row],[CustomerID]],"")</f>
        <v>C0035</v>
      </c>
      <c r="B37" s="16" t="str">
        <f>IFERROR(tblClean[[#This Row],[Name (Cleaned)]],"")</f>
        <v>Kunal Bajaj</v>
      </c>
      <c r="C37" s="16" t="str">
        <f>IFERROR(tblClean[[#This Row],[City/Region (Cleaned)]],"")</f>
        <v>Jaipur</v>
      </c>
      <c r="D37" s="16" t="str">
        <f>IFERROR(tblClean[[#This Row],[CustomerType]],"")</f>
        <v>Returning</v>
      </c>
      <c r="E37" s="16" t="str">
        <f>IFERROR(tblClean[[#This Row],[EngagementLevel]],"")</f>
        <v>Medium</v>
      </c>
      <c r="F37" s="22">
        <f ca="1">IFERROR(TODAY()-'Raw Data'!M37,999)</f>
        <v>291</v>
      </c>
      <c r="G37" s="22">
        <f>IFERROR(COUNTIFS(tblTransactions[CustomerID],A37),0)</f>
        <v>4</v>
      </c>
      <c r="H37" s="22">
        <f>IFERROR(SUMIFS(tblTransactions[Amount (INR)],tblTransactions[CustomerID],A37),0)</f>
        <v>12110</v>
      </c>
      <c r="I37" s="16">
        <f t="shared" ca="1" si="8"/>
        <v>1</v>
      </c>
      <c r="J37" s="16">
        <f t="shared" si="9"/>
        <v>3</v>
      </c>
      <c r="K37" s="16">
        <f t="shared" si="10"/>
        <v>2</v>
      </c>
      <c r="L37" s="16" t="str">
        <f t="shared" ca="1" si="11"/>
        <v>132</v>
      </c>
      <c r="M37" s="16">
        <f>IFERROR(INDEX('Raw Data'!$X$3:$X$202,MATCH(A37,'Raw Data'!$W$3:$W$202,0)),"")</f>
        <v>4</v>
      </c>
      <c r="N37" s="16">
        <f>IFERROR(INDEX('Raw Data'!$Z$3:$Z$202,MATCH(A37,'Raw Data'!$W$3:$W$202,0)),"")</f>
        <v>4</v>
      </c>
      <c r="O37" s="16">
        <f t="shared" si="12"/>
        <v>3</v>
      </c>
      <c r="P37" s="16" t="str">
        <f>IFERROR(tblClean[[#This Row],[AgeGroup]],"")</f>
        <v>25-39</v>
      </c>
      <c r="Q37" s="16" t="str">
        <f>IFERROR(tblClean[[#This Row],[IncomeBracket]],"")</f>
        <v>Mid</v>
      </c>
      <c r="R37" s="16" t="str">
        <f t="shared" si="13"/>
        <v>MED</v>
      </c>
      <c r="S37" s="16" t="str">
        <f t="shared" si="14"/>
        <v>Budget</v>
      </c>
      <c r="T37" s="18" t="str">
        <f t="shared" ca="1" si="7"/>
        <v>General</v>
      </c>
      <c r="U37" s="18" t="str">
        <f>IFERROR(INDEX(tblTransactions[ProductCategory],MATCH(A37,tblTransactions[CustomerID],0)),"N/A")</f>
        <v>Home Decor</v>
      </c>
    </row>
    <row r="38" spans="1:21" ht="15" customHeight="1" x14ac:dyDescent="0.3">
      <c r="A38" s="19" t="str">
        <f>IFERROR(tblClean[[#This Row],[CustomerID]],"")</f>
        <v>C0036</v>
      </c>
      <c r="B38" s="19" t="str">
        <f>IFERROR(tblClean[[#This Row],[Name (Cleaned)]],"")</f>
        <v>Ravi Choudhury</v>
      </c>
      <c r="C38" s="19" t="str">
        <f>IFERROR(tblClean[[#This Row],[City/Region (Cleaned)]],"")</f>
        <v>Delhi</v>
      </c>
      <c r="D38" s="19" t="str">
        <f>IFERROR(tblClean[[#This Row],[CustomerType]],"")</f>
        <v>New</v>
      </c>
      <c r="E38" s="19" t="str">
        <f>IFERROR(tblClean[[#This Row],[EngagementLevel]],"")</f>
        <v>Low</v>
      </c>
      <c r="F38" s="23">
        <f ca="1">IFERROR(TODAY()-'Raw Data'!M38,999)</f>
        <v>289</v>
      </c>
      <c r="G38" s="23">
        <f>IFERROR(COUNTIFS(tblTransactions[CustomerID],A38),0)</f>
        <v>1</v>
      </c>
      <c r="H38" s="23">
        <f>IFERROR(SUMIFS(tblTransactions[Amount (INR)],tblTransactions[CustomerID],A38),0)</f>
        <v>1530</v>
      </c>
      <c r="I38" s="19">
        <f t="shared" ca="1" si="8"/>
        <v>1</v>
      </c>
      <c r="J38" s="19">
        <f t="shared" si="9"/>
        <v>1</v>
      </c>
      <c r="K38" s="19">
        <f t="shared" si="10"/>
        <v>1</v>
      </c>
      <c r="L38" s="19" t="str">
        <f t="shared" ca="1" si="11"/>
        <v>111</v>
      </c>
      <c r="M38" s="19">
        <f>IFERROR(INDEX('Raw Data'!$X$3:$X$202,MATCH(A38,'Raw Data'!$W$3:$W$202,0)),"")</f>
        <v>5</v>
      </c>
      <c r="N38" s="19">
        <f>IFERROR(INDEX('Raw Data'!$Z$3:$Z$202,MATCH(A38,'Raw Data'!$W$3:$W$202,0)),"")</f>
        <v>8</v>
      </c>
      <c r="O38" s="19">
        <f t="shared" si="12"/>
        <v>4.5</v>
      </c>
      <c r="P38" s="19" t="str">
        <f>IFERROR(tblClean[[#This Row],[AgeGroup]],"")</f>
        <v>&lt;25</v>
      </c>
      <c r="Q38" s="19" t="str">
        <f>IFERROR(tblClean[[#This Row],[IncomeBracket]],"")</f>
        <v>High</v>
      </c>
      <c r="R38" s="19" t="str">
        <f t="shared" si="13"/>
        <v>LOW</v>
      </c>
      <c r="S38" s="19" t="str">
        <f t="shared" si="14"/>
        <v>Budget</v>
      </c>
      <c r="T38" s="18" t="str">
        <f t="shared" ca="1" si="7"/>
        <v>At Risk</v>
      </c>
      <c r="U38" s="18" t="str">
        <f>IFERROR(INDEX(tblTransactions[ProductCategory],MATCH(A38,tblTransactions[CustomerID],0)),"N/A")</f>
        <v>Sports</v>
      </c>
    </row>
    <row r="39" spans="1:21" ht="15" customHeight="1" x14ac:dyDescent="0.3">
      <c r="A39" s="16" t="str">
        <f>IFERROR(tblClean[[#This Row],[CustomerID]],"")</f>
        <v>C0037</v>
      </c>
      <c r="B39" s="16" t="str">
        <f>IFERROR(tblClean[[#This Row],[Name (Cleaned)]],"")</f>
        <v>Nitin Wagh</v>
      </c>
      <c r="C39" s="16" t="str">
        <f>IFERROR(tblClean[[#This Row],[City/Region (Cleaned)]],"")</f>
        <v>Bangalore</v>
      </c>
      <c r="D39" s="16" t="str">
        <f>IFERROR(tblClean[[#This Row],[CustomerType]],"")</f>
        <v>Returning</v>
      </c>
      <c r="E39" s="16" t="str">
        <f>IFERROR(tblClean[[#This Row],[EngagementLevel]],"")</f>
        <v>Medium</v>
      </c>
      <c r="F39" s="22">
        <f ca="1">IFERROR(TODAY()-'Raw Data'!M39,999)</f>
        <v>30</v>
      </c>
      <c r="G39" s="22">
        <f>IFERROR(COUNTIFS(tblTransactions[CustomerID],A39),0)</f>
        <v>15</v>
      </c>
      <c r="H39" s="22">
        <f>IFERROR(SUMIFS(tblTransactions[Amount (INR)],tblTransactions[CustomerID],A39),0)</f>
        <v>76520</v>
      </c>
      <c r="I39" s="16">
        <f t="shared" ca="1" si="8"/>
        <v>5</v>
      </c>
      <c r="J39" s="16">
        <f t="shared" si="9"/>
        <v>5</v>
      </c>
      <c r="K39" s="16">
        <f t="shared" si="10"/>
        <v>5</v>
      </c>
      <c r="L39" s="16" t="str">
        <f t="shared" ca="1" si="11"/>
        <v>555</v>
      </c>
      <c r="M39" s="16">
        <f>IFERROR(INDEX('Raw Data'!$X$3:$X$202,MATCH(A39,'Raw Data'!$W$3:$W$202,0)),"")</f>
        <v>4</v>
      </c>
      <c r="N39" s="16">
        <f>IFERROR(INDEX('Raw Data'!$Z$3:$Z$202,MATCH(A39,'Raw Data'!$W$3:$W$202,0)),"")</f>
        <v>5</v>
      </c>
      <c r="O39" s="16">
        <f t="shared" si="12"/>
        <v>3.25</v>
      </c>
      <c r="P39" s="16" t="str">
        <f>IFERROR(tblClean[[#This Row],[AgeGroup]],"")</f>
        <v>40-54</v>
      </c>
      <c r="Q39" s="16" t="str">
        <f>IFERROR(tblClean[[#This Row],[IncomeBracket]],"")</f>
        <v>High</v>
      </c>
      <c r="R39" s="16" t="str">
        <f t="shared" si="13"/>
        <v>MED</v>
      </c>
      <c r="S39" s="16" t="str">
        <f t="shared" si="14"/>
        <v>Premium</v>
      </c>
      <c r="T39" s="18" t="str">
        <f t="shared" ca="1" si="7"/>
        <v>Loyal</v>
      </c>
      <c r="U39" s="18" t="str">
        <f>IFERROR(INDEX(tblTransactions[ProductCategory],MATCH(A39,tblTransactions[CustomerID],0)),"N/A")</f>
        <v>Beauty</v>
      </c>
    </row>
    <row r="40" spans="1:21" ht="15" customHeight="1" x14ac:dyDescent="0.3">
      <c r="A40" s="19" t="str">
        <f>IFERROR(tblClean[[#This Row],[CustomerID]],"")</f>
        <v>C0038</v>
      </c>
      <c r="B40" s="19" t="str">
        <f>IFERROR(tblClean[[#This Row],[Name (Cleaned)]],"")</f>
        <v>Paras Mahajan</v>
      </c>
      <c r="C40" s="19" t="str">
        <f>IFERROR(tblClean[[#This Row],[City/Region (Cleaned)]],"")</f>
        <v>Surat</v>
      </c>
      <c r="D40" s="19" t="str">
        <f>IFERROR(tblClean[[#This Row],[CustomerType]],"")</f>
        <v>Returning</v>
      </c>
      <c r="E40" s="19" t="str">
        <f>IFERROR(tblClean[[#This Row],[EngagementLevel]],"")</f>
        <v>High</v>
      </c>
      <c r="F40" s="23">
        <f ca="1">IFERROR(TODAY()-'Raw Data'!M40,999)</f>
        <v>92</v>
      </c>
      <c r="G40" s="23">
        <f>IFERROR(COUNTIFS(tblTransactions[CustomerID],A40),0)</f>
        <v>7</v>
      </c>
      <c r="H40" s="23">
        <f>IFERROR(SUMIFS(tblTransactions[Amount (INR)],tblTransactions[CustomerID],A40),0)</f>
        <v>24240</v>
      </c>
      <c r="I40" s="19">
        <f t="shared" ca="1" si="8"/>
        <v>2</v>
      </c>
      <c r="J40" s="19">
        <f t="shared" si="9"/>
        <v>4</v>
      </c>
      <c r="K40" s="19">
        <f t="shared" si="10"/>
        <v>3</v>
      </c>
      <c r="L40" s="19" t="str">
        <f t="shared" ca="1" si="11"/>
        <v>243</v>
      </c>
      <c r="M40" s="19">
        <f>IFERROR(INDEX('Raw Data'!$X$3:$X$202,MATCH(A40,'Raw Data'!$W$3:$W$202,0)),"")</f>
        <v>4</v>
      </c>
      <c r="N40" s="19">
        <f>IFERROR(INDEX('Raw Data'!$Z$3:$Z$202,MATCH(A40,'Raw Data'!$W$3:$W$202,0)),"")</f>
        <v>8</v>
      </c>
      <c r="O40" s="19">
        <f t="shared" si="12"/>
        <v>4</v>
      </c>
      <c r="P40" s="19" t="str">
        <f>IFERROR(tblClean[[#This Row],[AgeGroup]],"")</f>
        <v>55+</v>
      </c>
      <c r="Q40" s="19" t="str">
        <f>IFERROR(tblClean[[#This Row],[IncomeBracket]],"")</f>
        <v>Low</v>
      </c>
      <c r="R40" s="19" t="str">
        <f t="shared" si="13"/>
        <v>HIGH</v>
      </c>
      <c r="S40" s="19" t="str">
        <f t="shared" si="14"/>
        <v>Standard</v>
      </c>
      <c r="T40" s="18" t="str">
        <f t="shared" ca="1" si="7"/>
        <v>Bargain Seeker</v>
      </c>
      <c r="U40" s="18" t="str">
        <f>IFERROR(INDEX(tblTransactions[ProductCategory],MATCH(A40,tblTransactions[CustomerID],0)),"N/A")</f>
        <v>Sports</v>
      </c>
    </row>
    <row r="41" spans="1:21" ht="15" customHeight="1" x14ac:dyDescent="0.3">
      <c r="A41" s="16" t="str">
        <f>IFERROR(tblClean[[#This Row],[CustomerID]],"")</f>
        <v>C0039</v>
      </c>
      <c r="B41" s="16" t="str">
        <f>IFERROR(tblClean[[#This Row],[Name (Cleaned)]],"")</f>
        <v>Shreyas Deshpande</v>
      </c>
      <c r="C41" s="16" t="str">
        <f>IFERROR(tblClean[[#This Row],[City/Region (Cleaned)]],"")</f>
        <v>Noida</v>
      </c>
      <c r="D41" s="16" t="str">
        <f>IFERROR(tblClean[[#This Row],[CustomerType]],"")</f>
        <v>Returning</v>
      </c>
      <c r="E41" s="16" t="str">
        <f>IFERROR(tblClean[[#This Row],[EngagementLevel]],"")</f>
        <v>Medium</v>
      </c>
      <c r="F41" s="22">
        <f ca="1">IFERROR(TODAY()-'Raw Data'!M41,999)</f>
        <v>25</v>
      </c>
      <c r="G41" s="22">
        <f>IFERROR(COUNTIFS(tblTransactions[CustomerID],A41),0)</f>
        <v>4</v>
      </c>
      <c r="H41" s="22">
        <f>IFERROR(SUMIFS(tblTransactions[Amount (INR)],tblTransactions[CustomerID],A41),0)</f>
        <v>21200</v>
      </c>
      <c r="I41" s="16">
        <f t="shared" ca="1" si="8"/>
        <v>5</v>
      </c>
      <c r="J41" s="16">
        <f t="shared" si="9"/>
        <v>3</v>
      </c>
      <c r="K41" s="16">
        <f t="shared" si="10"/>
        <v>3</v>
      </c>
      <c r="L41" s="16" t="str">
        <f t="shared" ca="1" si="11"/>
        <v>533</v>
      </c>
      <c r="M41" s="16">
        <f>IFERROR(INDEX('Raw Data'!$X$3:$X$202,MATCH(A41,'Raw Data'!$W$3:$W$202,0)),"")</f>
        <v>4</v>
      </c>
      <c r="N41" s="16">
        <f>IFERROR(INDEX('Raw Data'!$Z$3:$Z$202,MATCH(A41,'Raw Data'!$W$3:$W$202,0)),"")</f>
        <v>8</v>
      </c>
      <c r="O41" s="16">
        <f t="shared" si="12"/>
        <v>4</v>
      </c>
      <c r="P41" s="16" t="str">
        <f>IFERROR(tblClean[[#This Row],[AgeGroup]],"")</f>
        <v>25-39</v>
      </c>
      <c r="Q41" s="16" t="str">
        <f>IFERROR(tblClean[[#This Row],[IncomeBracket]],"")</f>
        <v>High</v>
      </c>
      <c r="R41" s="16" t="str">
        <f t="shared" si="13"/>
        <v>MED</v>
      </c>
      <c r="S41" s="16" t="str">
        <f t="shared" si="14"/>
        <v>Standard</v>
      </c>
      <c r="T41" s="18" t="str">
        <f t="shared" ca="1" si="7"/>
        <v>General</v>
      </c>
      <c r="U41" s="18" t="str">
        <f>IFERROR(INDEX(tblTransactions[ProductCategory],MATCH(A41,tblTransactions[CustomerID],0)),"N/A")</f>
        <v>Grocery</v>
      </c>
    </row>
    <row r="42" spans="1:21" ht="15" customHeight="1" x14ac:dyDescent="0.3">
      <c r="A42" s="19" t="str">
        <f>IFERROR(tblClean[[#This Row],[CustomerID]],"")</f>
        <v>C0040</v>
      </c>
      <c r="B42" s="19" t="str">
        <f>IFERROR(tblClean[[#This Row],[Name (Cleaned)]],"")</f>
        <v>Ashish Kulkarni</v>
      </c>
      <c r="C42" s="19" t="str">
        <f>IFERROR(tblClean[[#This Row],[City/Region (Cleaned)]],"")</f>
        <v>Ahmedabad</v>
      </c>
      <c r="D42" s="19" t="str">
        <f>IFERROR(tblClean[[#This Row],[CustomerType]],"")</f>
        <v>Returning</v>
      </c>
      <c r="E42" s="19" t="str">
        <f>IFERROR(tblClean[[#This Row],[EngagementLevel]],"")</f>
        <v>Low</v>
      </c>
      <c r="F42" s="23">
        <f ca="1">IFERROR(TODAY()-'Raw Data'!M42,999)</f>
        <v>54</v>
      </c>
      <c r="G42" s="23">
        <f>IFERROR(COUNTIFS(tblTransactions[CustomerID],A42),0)</f>
        <v>3</v>
      </c>
      <c r="H42" s="23">
        <f>IFERROR(SUMIFS(tblTransactions[Amount (INR)],tblTransactions[CustomerID],A42),0)</f>
        <v>22960</v>
      </c>
      <c r="I42" s="19">
        <f t="shared" ca="1" si="8"/>
        <v>4</v>
      </c>
      <c r="J42" s="19">
        <f t="shared" si="9"/>
        <v>2</v>
      </c>
      <c r="K42" s="19">
        <f t="shared" si="10"/>
        <v>3</v>
      </c>
      <c r="L42" s="19" t="str">
        <f t="shared" ca="1" si="11"/>
        <v>423</v>
      </c>
      <c r="M42" s="19">
        <f>IFERROR(INDEX('Raw Data'!$X$3:$X$202,MATCH(A42,'Raw Data'!$W$3:$W$202,0)),"")</f>
        <v>3</v>
      </c>
      <c r="N42" s="19">
        <f>IFERROR(INDEX('Raw Data'!$Z$3:$Z$202,MATCH(A42,'Raw Data'!$W$3:$W$202,0)),"")</f>
        <v>7</v>
      </c>
      <c r="O42" s="19">
        <f t="shared" si="12"/>
        <v>3.25</v>
      </c>
      <c r="P42" s="19" t="str">
        <f>IFERROR(tblClean[[#This Row],[AgeGroup]],"")</f>
        <v>55+</v>
      </c>
      <c r="Q42" s="19" t="str">
        <f>IFERROR(tblClean[[#This Row],[IncomeBracket]],"")</f>
        <v>High</v>
      </c>
      <c r="R42" s="19" t="str">
        <f t="shared" si="13"/>
        <v>LOW</v>
      </c>
      <c r="S42" s="19" t="str">
        <f t="shared" si="14"/>
        <v>Standard</v>
      </c>
      <c r="T42" s="18" t="str">
        <f t="shared" ca="1" si="7"/>
        <v>General</v>
      </c>
      <c r="U42" s="18" t="str">
        <f>IFERROR(INDEX(tblTransactions[ProductCategory],MATCH(A42,tblTransactions[CustomerID],0)),"N/A")</f>
        <v>Clothing</v>
      </c>
    </row>
    <row r="43" spans="1:21" ht="15" customHeight="1" x14ac:dyDescent="0.3">
      <c r="A43" s="16" t="str">
        <f>IFERROR(tblClean[[#This Row],[CustomerID]],"")</f>
        <v>C0041</v>
      </c>
      <c r="B43" s="16" t="str">
        <f>IFERROR(tblClean[[#This Row],[Name (Cleaned)]],"")</f>
        <v>Manoj Garg</v>
      </c>
      <c r="C43" s="16" t="str">
        <f>IFERROR(tblClean[[#This Row],[City/Region (Cleaned)]],"")</f>
        <v>Mumbai</v>
      </c>
      <c r="D43" s="16" t="str">
        <f>IFERROR(tblClean[[#This Row],[CustomerType]],"")</f>
        <v>New</v>
      </c>
      <c r="E43" s="16" t="str">
        <f>IFERROR(tblClean[[#This Row],[EngagementLevel]],"")</f>
        <v>Medium</v>
      </c>
      <c r="F43" s="22">
        <f ca="1">IFERROR(TODAY()-'Raw Data'!M43,999)</f>
        <v>75</v>
      </c>
      <c r="G43" s="22">
        <f>IFERROR(COUNTIFS(tblTransactions[CustomerID],A43),0)</f>
        <v>1</v>
      </c>
      <c r="H43" s="22">
        <f>IFERROR(SUMIFS(tblTransactions[Amount (INR)],tblTransactions[CustomerID],A43),0)</f>
        <v>2140</v>
      </c>
      <c r="I43" s="16">
        <f t="shared" ca="1" si="8"/>
        <v>3</v>
      </c>
      <c r="J43" s="16">
        <f t="shared" si="9"/>
        <v>1</v>
      </c>
      <c r="K43" s="16">
        <f t="shared" si="10"/>
        <v>1</v>
      </c>
      <c r="L43" s="16" t="str">
        <f t="shared" ca="1" si="11"/>
        <v>311</v>
      </c>
      <c r="M43" s="16">
        <f>IFERROR(INDEX('Raw Data'!$X$3:$X$202,MATCH(A43,'Raw Data'!$W$3:$W$202,0)),"")</f>
        <v>3</v>
      </c>
      <c r="N43" s="16">
        <f>IFERROR(INDEX('Raw Data'!$Z$3:$Z$202,MATCH(A43,'Raw Data'!$W$3:$W$202,0)),"")</f>
        <v>7</v>
      </c>
      <c r="O43" s="16">
        <f t="shared" si="12"/>
        <v>3.25</v>
      </c>
      <c r="P43" s="16" t="str">
        <f>IFERROR(tblClean[[#This Row],[AgeGroup]],"")</f>
        <v>25-39</v>
      </c>
      <c r="Q43" s="16" t="str">
        <f>IFERROR(tblClean[[#This Row],[IncomeBracket]],"")</f>
        <v>Low</v>
      </c>
      <c r="R43" s="16" t="str">
        <f t="shared" si="13"/>
        <v>MED</v>
      </c>
      <c r="S43" s="16" t="str">
        <f t="shared" si="14"/>
        <v>Budget</v>
      </c>
      <c r="T43" s="18" t="str">
        <f t="shared" ca="1" si="7"/>
        <v>General</v>
      </c>
      <c r="U43" s="18" t="str">
        <f>IFERROR(INDEX(tblTransactions[ProductCategory],MATCH(A43,tblTransactions[CustomerID],0)),"N/A")</f>
        <v>Clothing</v>
      </c>
    </row>
    <row r="44" spans="1:21" ht="15" customHeight="1" x14ac:dyDescent="0.3">
      <c r="A44" s="19" t="str">
        <f>IFERROR(tblClean[[#This Row],[CustomerID]],"")</f>
        <v>C0042</v>
      </c>
      <c r="B44" s="19" t="str">
        <f>IFERROR(tblClean[[#This Row],[Name (Cleaned)]],"")</f>
        <v>Yogesh Shukla</v>
      </c>
      <c r="C44" s="19" t="str">
        <f>IFERROR(tblClean[[#This Row],[City/Region (Cleaned)]],"")</f>
        <v>Indore</v>
      </c>
      <c r="D44" s="19" t="str">
        <f>IFERROR(tblClean[[#This Row],[CustomerType]],"")</f>
        <v>Returning</v>
      </c>
      <c r="E44" s="19" t="str">
        <f>IFERROR(tblClean[[#This Row],[EngagementLevel]],"")</f>
        <v>Low</v>
      </c>
      <c r="F44" s="23">
        <f ca="1">IFERROR(TODAY()-'Raw Data'!M44,999)</f>
        <v>226</v>
      </c>
      <c r="G44" s="23">
        <f>IFERROR(COUNTIFS(tblTransactions[CustomerID],A44),0)</f>
        <v>1</v>
      </c>
      <c r="H44" s="23">
        <f>IFERROR(SUMIFS(tblTransactions[Amount (INR)],tblTransactions[CustomerID],A44),0)</f>
        <v>14120</v>
      </c>
      <c r="I44" s="19">
        <f t="shared" ca="1" si="8"/>
        <v>1</v>
      </c>
      <c r="J44" s="19">
        <f t="shared" si="9"/>
        <v>1</v>
      </c>
      <c r="K44" s="19">
        <f t="shared" si="10"/>
        <v>2</v>
      </c>
      <c r="L44" s="19" t="str">
        <f t="shared" ca="1" si="11"/>
        <v>112</v>
      </c>
      <c r="M44" s="19">
        <f>IFERROR(INDEX('Raw Data'!$X$3:$X$202,MATCH(A44,'Raw Data'!$W$3:$W$202,0)),"")</f>
        <v>3</v>
      </c>
      <c r="N44" s="19">
        <f>IFERROR(INDEX('Raw Data'!$Z$3:$Z$202,MATCH(A44,'Raw Data'!$W$3:$W$202,0)),"")</f>
        <v>6</v>
      </c>
      <c r="O44" s="19">
        <f t="shared" si="12"/>
        <v>3</v>
      </c>
      <c r="P44" s="19" t="str">
        <f>IFERROR(tblClean[[#This Row],[AgeGroup]],"")</f>
        <v>40-54</v>
      </c>
      <c r="Q44" s="19" t="str">
        <f>IFERROR(tblClean[[#This Row],[IncomeBracket]],"")</f>
        <v>Low</v>
      </c>
      <c r="R44" s="19" t="str">
        <f t="shared" si="13"/>
        <v>LOW</v>
      </c>
      <c r="S44" s="19" t="str">
        <f t="shared" si="14"/>
        <v>Budget</v>
      </c>
      <c r="T44" s="18" t="str">
        <f t="shared" ca="1" si="7"/>
        <v>At Risk</v>
      </c>
      <c r="U44" s="18" t="str">
        <f>IFERROR(INDEX(tblTransactions[ProductCategory],MATCH(A44,tblTransactions[CustomerID],0)),"N/A")</f>
        <v>Electronics</v>
      </c>
    </row>
    <row r="45" spans="1:21" ht="15" customHeight="1" x14ac:dyDescent="0.3">
      <c r="A45" s="16" t="str">
        <f>IFERROR(tblClean[[#This Row],[CustomerID]],"")</f>
        <v>C0043</v>
      </c>
      <c r="B45" s="16" t="str">
        <f>IFERROR(tblClean[[#This Row],[Name (Cleaned)]],"")</f>
        <v>Tushar Patil</v>
      </c>
      <c r="C45" s="16" t="str">
        <f>IFERROR(tblClean[[#This Row],[City/Region (Cleaned)]],"")</f>
        <v>Nagpur</v>
      </c>
      <c r="D45" s="16" t="str">
        <f>IFERROR(tblClean[[#This Row],[CustomerType]],"")</f>
        <v>New</v>
      </c>
      <c r="E45" s="16" t="str">
        <f>IFERROR(tblClean[[#This Row],[EngagementLevel]],"")</f>
        <v>High</v>
      </c>
      <c r="F45" s="22">
        <f ca="1">IFERROR(TODAY()-'Raw Data'!M45,999)</f>
        <v>35</v>
      </c>
      <c r="G45" s="22">
        <f>IFERROR(COUNTIFS(tblTransactions[CustomerID],A45),0)</f>
        <v>1</v>
      </c>
      <c r="H45" s="22">
        <f>IFERROR(SUMIFS(tblTransactions[Amount (INR)],tblTransactions[CustomerID],A45),0)</f>
        <v>9100</v>
      </c>
      <c r="I45" s="16">
        <f t="shared" ca="1" si="8"/>
        <v>4</v>
      </c>
      <c r="J45" s="16">
        <f t="shared" si="9"/>
        <v>1</v>
      </c>
      <c r="K45" s="16">
        <f t="shared" si="10"/>
        <v>2</v>
      </c>
      <c r="L45" s="16" t="str">
        <f t="shared" ca="1" si="11"/>
        <v>412</v>
      </c>
      <c r="M45" s="16">
        <f>IFERROR(INDEX('Raw Data'!$X$3:$X$202,MATCH(A45,'Raw Data'!$W$3:$W$202,0)),"")</f>
        <v>5</v>
      </c>
      <c r="N45" s="16">
        <f>IFERROR(INDEX('Raw Data'!$Z$3:$Z$202,MATCH(A45,'Raw Data'!$W$3:$W$202,0)),"")</f>
        <v>5</v>
      </c>
      <c r="O45" s="16">
        <f t="shared" si="12"/>
        <v>3.75</v>
      </c>
      <c r="P45" s="16" t="str">
        <f>IFERROR(tblClean[[#This Row],[AgeGroup]],"")</f>
        <v>40-54</v>
      </c>
      <c r="Q45" s="16" t="str">
        <f>IFERROR(tblClean[[#This Row],[IncomeBracket]],"")</f>
        <v>High</v>
      </c>
      <c r="R45" s="16" t="str">
        <f t="shared" si="13"/>
        <v>HIGH</v>
      </c>
      <c r="S45" s="16" t="str">
        <f t="shared" si="14"/>
        <v>Budget</v>
      </c>
      <c r="T45" s="18" t="str">
        <f t="shared" ca="1" si="7"/>
        <v>General</v>
      </c>
      <c r="U45" s="18" t="str">
        <f>IFERROR(INDEX(tblTransactions[ProductCategory],MATCH(A45,tblTransactions[CustomerID],0)),"N/A")</f>
        <v>Home Decor</v>
      </c>
    </row>
    <row r="46" spans="1:21" ht="15" customHeight="1" x14ac:dyDescent="0.3">
      <c r="A46" s="19" t="str">
        <f>IFERROR(tblClean[[#This Row],[CustomerID]],"")</f>
        <v>C0044</v>
      </c>
      <c r="B46" s="19" t="str">
        <f>IFERROR(tblClean[[#This Row],[Name (Cleaned)]],"")</f>
        <v>Chirag Parekh</v>
      </c>
      <c r="C46" s="19" t="str">
        <f>IFERROR(tblClean[[#This Row],[City/Region (Cleaned)]],"")</f>
        <v>Chandigarh</v>
      </c>
      <c r="D46" s="19" t="str">
        <f>IFERROR(tblClean[[#This Row],[CustomerType]],"")</f>
        <v>Returning</v>
      </c>
      <c r="E46" s="19" t="str">
        <f>IFERROR(tblClean[[#This Row],[EngagementLevel]],"")</f>
        <v>Medium</v>
      </c>
      <c r="F46" s="23">
        <f ca="1">IFERROR(TODAY()-'Raw Data'!M46,999)</f>
        <v>285</v>
      </c>
      <c r="G46" s="23">
        <f>IFERROR(COUNTIFS(tblTransactions[CustomerID],A46),0)</f>
        <v>3</v>
      </c>
      <c r="H46" s="23">
        <f>IFERROR(SUMIFS(tblTransactions[Amount (INR)],tblTransactions[CustomerID],A46),0)</f>
        <v>13210</v>
      </c>
      <c r="I46" s="19">
        <f t="shared" ca="1" si="8"/>
        <v>1</v>
      </c>
      <c r="J46" s="19">
        <f t="shared" si="9"/>
        <v>2</v>
      </c>
      <c r="K46" s="19">
        <f t="shared" si="10"/>
        <v>2</v>
      </c>
      <c r="L46" s="19" t="str">
        <f t="shared" ca="1" si="11"/>
        <v>122</v>
      </c>
      <c r="M46" s="19">
        <f>IFERROR(INDEX('Raw Data'!$X$3:$X$202,MATCH(A46,'Raw Data'!$W$3:$W$202,0)),"")</f>
        <v>3</v>
      </c>
      <c r="N46" s="19">
        <f>IFERROR(INDEX('Raw Data'!$Z$3:$Z$202,MATCH(A46,'Raw Data'!$W$3:$W$202,0)),"")</f>
        <v>7</v>
      </c>
      <c r="O46" s="19">
        <f t="shared" si="12"/>
        <v>3.25</v>
      </c>
      <c r="P46" s="19" t="str">
        <f>IFERROR(tblClean[[#This Row],[AgeGroup]],"")</f>
        <v>&lt;25</v>
      </c>
      <c r="Q46" s="19" t="str">
        <f>IFERROR(tblClean[[#This Row],[IncomeBracket]],"")</f>
        <v>Mid</v>
      </c>
      <c r="R46" s="19" t="str">
        <f t="shared" si="13"/>
        <v>MED</v>
      </c>
      <c r="S46" s="19" t="str">
        <f t="shared" si="14"/>
        <v>Budget</v>
      </c>
      <c r="T46" s="18" t="str">
        <f t="shared" ca="1" si="7"/>
        <v>General</v>
      </c>
      <c r="U46" s="18" t="str">
        <f>IFERROR(INDEX(tblTransactions[ProductCategory],MATCH(A46,tblTransactions[CustomerID],0)),"N/A")</f>
        <v>Home Decor</v>
      </c>
    </row>
    <row r="47" spans="1:21" ht="15" customHeight="1" x14ac:dyDescent="0.3">
      <c r="A47" s="16" t="str">
        <f>IFERROR(tblClean[[#This Row],[CustomerID]],"")</f>
        <v>C0045</v>
      </c>
      <c r="B47" s="16" t="str">
        <f>IFERROR(tblClean[[#This Row],[Name (Cleaned)]],"")</f>
        <v>Sahil Oberoi</v>
      </c>
      <c r="C47" s="16" t="str">
        <f>IFERROR(tblClean[[#This Row],[City/Region (Cleaned)]],"")</f>
        <v>Gurgaon</v>
      </c>
      <c r="D47" s="16" t="str">
        <f>IFERROR(tblClean[[#This Row],[CustomerType]],"")</f>
        <v>Returning</v>
      </c>
      <c r="E47" s="16" t="str">
        <f>IFERROR(tblClean[[#This Row],[EngagementLevel]],"")</f>
        <v>High</v>
      </c>
      <c r="F47" s="22">
        <f ca="1">IFERROR(TODAY()-'Raw Data'!M47,999)</f>
        <v>45</v>
      </c>
      <c r="G47" s="22">
        <f>IFERROR(COUNTIFS(tblTransactions[CustomerID],A47),0)</f>
        <v>9</v>
      </c>
      <c r="H47" s="22">
        <f>IFERROR(SUMIFS(tblTransactions[Amount (INR)],tblTransactions[CustomerID],A47),0)</f>
        <v>50210</v>
      </c>
      <c r="I47" s="16">
        <f t="shared" ca="1" si="8"/>
        <v>4</v>
      </c>
      <c r="J47" s="16">
        <f t="shared" si="9"/>
        <v>5</v>
      </c>
      <c r="K47" s="16">
        <f t="shared" si="10"/>
        <v>5</v>
      </c>
      <c r="L47" s="16" t="str">
        <f t="shared" ca="1" si="11"/>
        <v>455</v>
      </c>
      <c r="M47" s="16">
        <f>IFERROR(INDEX('Raw Data'!$X$3:$X$202,MATCH(A47,'Raw Data'!$W$3:$W$202,0)),"")</f>
        <v>5</v>
      </c>
      <c r="N47" s="16">
        <f>IFERROR(INDEX('Raw Data'!$Z$3:$Z$202,MATCH(A47,'Raw Data'!$W$3:$W$202,0)),"")</f>
        <v>6</v>
      </c>
      <c r="O47" s="16">
        <f t="shared" si="12"/>
        <v>4</v>
      </c>
      <c r="P47" s="16" t="str">
        <f>IFERROR(tblClean[[#This Row],[AgeGroup]],"")</f>
        <v>55+</v>
      </c>
      <c r="Q47" s="16" t="str">
        <f>IFERROR(tblClean[[#This Row],[IncomeBracket]],"")</f>
        <v>High</v>
      </c>
      <c r="R47" s="16" t="str">
        <f t="shared" si="13"/>
        <v>HIGH</v>
      </c>
      <c r="S47" s="16" t="str">
        <f t="shared" si="14"/>
        <v>Premium</v>
      </c>
      <c r="T47" s="18" t="str">
        <f t="shared" ca="1" si="7"/>
        <v>High Value</v>
      </c>
      <c r="U47" s="18" t="str">
        <f>IFERROR(INDEX(tblTransactions[ProductCategory],MATCH(A47,tblTransactions[CustomerID],0)),"N/A")</f>
        <v>Beauty</v>
      </c>
    </row>
    <row r="48" spans="1:21" ht="15" customHeight="1" x14ac:dyDescent="0.3">
      <c r="A48" s="19" t="str">
        <f>IFERROR(tblClean[[#This Row],[CustomerID]],"")</f>
        <v>C0046</v>
      </c>
      <c r="B48" s="19" t="str">
        <f>IFERROR(tblClean[[#This Row],[Name (Cleaned)]],"")</f>
        <v>Kartik Mitra</v>
      </c>
      <c r="C48" s="19" t="str">
        <f>IFERROR(tblClean[[#This Row],[City/Region (Cleaned)]],"")</f>
        <v>Chennai</v>
      </c>
      <c r="D48" s="19" t="str">
        <f>IFERROR(tblClean[[#This Row],[CustomerType]],"")</f>
        <v>Returning</v>
      </c>
      <c r="E48" s="19" t="str">
        <f>IFERROR(tblClean[[#This Row],[EngagementLevel]],"")</f>
        <v>Medium</v>
      </c>
      <c r="F48" s="23">
        <f ca="1">IFERROR(TODAY()-'Raw Data'!M48,999)</f>
        <v>115</v>
      </c>
      <c r="G48" s="23">
        <f>IFERROR(COUNTIFS(tblTransactions[CustomerID],A48),0)</f>
        <v>10</v>
      </c>
      <c r="H48" s="23">
        <f>IFERROR(SUMIFS(tblTransactions[Amount (INR)],tblTransactions[CustomerID],A48),0)</f>
        <v>77730</v>
      </c>
      <c r="I48" s="19">
        <f t="shared" ca="1" si="8"/>
        <v>2</v>
      </c>
      <c r="J48" s="19">
        <f t="shared" si="9"/>
        <v>5</v>
      </c>
      <c r="K48" s="19">
        <f t="shared" si="10"/>
        <v>5</v>
      </c>
      <c r="L48" s="19" t="str">
        <f t="shared" ca="1" si="11"/>
        <v>255</v>
      </c>
      <c r="M48" s="19">
        <f>IFERROR(INDEX('Raw Data'!$X$3:$X$202,MATCH(A48,'Raw Data'!$W$3:$W$202,0)),"")</f>
        <v>4</v>
      </c>
      <c r="N48" s="19">
        <f>IFERROR(INDEX('Raw Data'!$Z$3:$Z$202,MATCH(A48,'Raw Data'!$W$3:$W$202,0)),"")</f>
        <v>5</v>
      </c>
      <c r="O48" s="19">
        <f t="shared" si="12"/>
        <v>3.25</v>
      </c>
      <c r="P48" s="19" t="str">
        <f>IFERROR(tblClean[[#This Row],[AgeGroup]],"")</f>
        <v>&lt;25</v>
      </c>
      <c r="Q48" s="19" t="str">
        <f>IFERROR(tblClean[[#This Row],[IncomeBracket]],"")</f>
        <v>High</v>
      </c>
      <c r="R48" s="19" t="str">
        <f t="shared" si="13"/>
        <v>MED</v>
      </c>
      <c r="S48" s="19" t="str">
        <f t="shared" si="14"/>
        <v>Premium</v>
      </c>
      <c r="T48" s="18" t="str">
        <f t="shared" ca="1" si="7"/>
        <v>High Value</v>
      </c>
      <c r="U48" s="18" t="str">
        <f>IFERROR(INDEX(tblTransactions[ProductCategory],MATCH(A48,tblTransactions[CustomerID],0)),"N/A")</f>
        <v>Beauty</v>
      </c>
    </row>
    <row r="49" spans="1:21" ht="15" customHeight="1" x14ac:dyDescent="0.3">
      <c r="A49" s="16" t="str">
        <f>IFERROR(tblClean[[#This Row],[CustomerID]],"")</f>
        <v>C0047</v>
      </c>
      <c r="B49" s="16" t="str">
        <f>IFERROR(tblClean[[#This Row],[Name (Cleaned)]],"")</f>
        <v>Alok Sinha</v>
      </c>
      <c r="C49" s="16" t="str">
        <f>IFERROR(tblClean[[#This Row],[City/Region (Cleaned)]],"")</f>
        <v>Ahmedabad</v>
      </c>
      <c r="D49" s="16" t="str">
        <f>IFERROR(tblClean[[#This Row],[CustomerType]],"")</f>
        <v>New</v>
      </c>
      <c r="E49" s="16" t="str">
        <f>IFERROR(tblClean[[#This Row],[EngagementLevel]],"")</f>
        <v>Medium</v>
      </c>
      <c r="F49" s="22">
        <f ca="1">IFERROR(TODAY()-'Raw Data'!M49,999)</f>
        <v>301</v>
      </c>
      <c r="G49" s="22">
        <f>IFERROR(COUNTIFS(tblTransactions[CustomerID],A49),0)</f>
        <v>1</v>
      </c>
      <c r="H49" s="22">
        <f>IFERROR(SUMIFS(tblTransactions[Amount (INR)],tblTransactions[CustomerID],A49),0)</f>
        <v>5570</v>
      </c>
      <c r="I49" s="16">
        <f t="shared" ca="1" si="8"/>
        <v>1</v>
      </c>
      <c r="J49" s="16">
        <f t="shared" si="9"/>
        <v>1</v>
      </c>
      <c r="K49" s="16">
        <f t="shared" si="10"/>
        <v>2</v>
      </c>
      <c r="L49" s="16" t="str">
        <f t="shared" ca="1" si="11"/>
        <v>112</v>
      </c>
      <c r="M49" s="16">
        <f>IFERROR(INDEX('Raw Data'!$X$3:$X$202,MATCH(A49,'Raw Data'!$W$3:$W$202,0)),"")</f>
        <v>4</v>
      </c>
      <c r="N49" s="16">
        <f>IFERROR(INDEX('Raw Data'!$Z$3:$Z$202,MATCH(A49,'Raw Data'!$W$3:$W$202,0)),"")</f>
        <v>6</v>
      </c>
      <c r="O49" s="16">
        <f t="shared" si="12"/>
        <v>3.5</v>
      </c>
      <c r="P49" s="16" t="str">
        <f>IFERROR(tblClean[[#This Row],[AgeGroup]],"")</f>
        <v>25-39</v>
      </c>
      <c r="Q49" s="16" t="str">
        <f>IFERROR(tblClean[[#This Row],[IncomeBracket]],"")</f>
        <v>Mid</v>
      </c>
      <c r="R49" s="16" t="str">
        <f t="shared" si="13"/>
        <v>MED</v>
      </c>
      <c r="S49" s="16" t="str">
        <f t="shared" si="14"/>
        <v>Budget</v>
      </c>
      <c r="T49" s="18" t="str">
        <f t="shared" ca="1" si="7"/>
        <v>At Risk</v>
      </c>
      <c r="U49" s="18" t="str">
        <f>IFERROR(INDEX(tblTransactions[ProductCategory],MATCH(A49,tblTransactions[CustomerID],0)),"N/A")</f>
        <v>Home Decor</v>
      </c>
    </row>
    <row r="50" spans="1:21" ht="15" customHeight="1" x14ac:dyDescent="0.3">
      <c r="A50" s="19" t="str">
        <f>IFERROR(tblClean[[#This Row],[CustomerID]],"")</f>
        <v>C0048</v>
      </c>
      <c r="B50" s="19" t="str">
        <f>IFERROR(tblClean[[#This Row],[Name (Cleaned)]],"")</f>
        <v>Piyush Rastogi</v>
      </c>
      <c r="C50" s="19" t="str">
        <f>IFERROR(tblClean[[#This Row],[City/Region (Cleaned)]],"")</f>
        <v>Chandigarh</v>
      </c>
      <c r="D50" s="19" t="str">
        <f>IFERROR(tblClean[[#This Row],[CustomerType]],"")</f>
        <v>Returning</v>
      </c>
      <c r="E50" s="19" t="str">
        <f>IFERROR(tblClean[[#This Row],[EngagementLevel]],"")</f>
        <v>Medium</v>
      </c>
      <c r="F50" s="23">
        <f ca="1">IFERROR(TODAY()-'Raw Data'!M50,999)</f>
        <v>66</v>
      </c>
      <c r="G50" s="23">
        <f>IFERROR(COUNTIFS(tblTransactions[CustomerID],A50),0)</f>
        <v>7</v>
      </c>
      <c r="H50" s="23">
        <f>IFERROR(SUMIFS(tblTransactions[Amount (INR)],tblTransactions[CustomerID],A50),0)</f>
        <v>26060</v>
      </c>
      <c r="I50" s="19">
        <f t="shared" ca="1" si="8"/>
        <v>3</v>
      </c>
      <c r="J50" s="19">
        <f t="shared" si="9"/>
        <v>4</v>
      </c>
      <c r="K50" s="19">
        <f t="shared" si="10"/>
        <v>3</v>
      </c>
      <c r="L50" s="19" t="str">
        <f t="shared" ca="1" si="11"/>
        <v>343</v>
      </c>
      <c r="M50" s="19">
        <f>IFERROR(INDEX('Raw Data'!$X$3:$X$202,MATCH(A50,'Raw Data'!$W$3:$W$202,0)),"")</f>
        <v>4</v>
      </c>
      <c r="N50" s="19">
        <f>IFERROR(INDEX('Raw Data'!$Z$3:$Z$202,MATCH(A50,'Raw Data'!$W$3:$W$202,0)),"")</f>
        <v>9</v>
      </c>
      <c r="O50" s="19">
        <f t="shared" si="12"/>
        <v>4.25</v>
      </c>
      <c r="P50" s="19" t="str">
        <f>IFERROR(tblClean[[#This Row],[AgeGroup]],"")</f>
        <v>40-54</v>
      </c>
      <c r="Q50" s="19" t="str">
        <f>IFERROR(tblClean[[#This Row],[IncomeBracket]],"")</f>
        <v>Mid</v>
      </c>
      <c r="R50" s="19" t="str">
        <f t="shared" si="13"/>
        <v>MED</v>
      </c>
      <c r="S50" s="19" t="str">
        <f t="shared" si="14"/>
        <v>Standard</v>
      </c>
      <c r="T50" s="18" t="str">
        <f t="shared" ca="1" si="7"/>
        <v>Bargain Seeker</v>
      </c>
      <c r="U50" s="18" t="str">
        <f>IFERROR(INDEX(tblTransactions[ProductCategory],MATCH(A50,tblTransactions[CustomerID],0)),"N/A")</f>
        <v>Beauty</v>
      </c>
    </row>
    <row r="51" spans="1:21" ht="15" customHeight="1" x14ac:dyDescent="0.3">
      <c r="A51" s="16" t="str">
        <f>IFERROR(tblClean[[#This Row],[CustomerID]],"")</f>
        <v>C0049</v>
      </c>
      <c r="B51" s="16" t="str">
        <f>IFERROR(tblClean[[#This Row],[Name (Cleaned)]],"")</f>
        <v>Neeraj Tomar</v>
      </c>
      <c r="C51" s="16" t="str">
        <f>IFERROR(tblClean[[#This Row],[City/Region (Cleaned)]],"")</f>
        <v>Ahmedabad</v>
      </c>
      <c r="D51" s="16" t="str">
        <f>IFERROR(tblClean[[#This Row],[CustomerType]],"")</f>
        <v>Returning</v>
      </c>
      <c r="E51" s="16" t="str">
        <f>IFERROR(tblClean[[#This Row],[EngagementLevel]],"")</f>
        <v>Medium</v>
      </c>
      <c r="F51" s="22">
        <f ca="1">IFERROR(TODAY()-'Raw Data'!M51,999)</f>
        <v>193</v>
      </c>
      <c r="G51" s="22">
        <f>IFERROR(COUNTIFS(tblTransactions[CustomerID],A51),0)</f>
        <v>3</v>
      </c>
      <c r="H51" s="22">
        <f>IFERROR(SUMIFS(tblTransactions[Amount (INR)],tblTransactions[CustomerID],A51),0)</f>
        <v>7570</v>
      </c>
      <c r="I51" s="16">
        <f t="shared" ca="1" si="8"/>
        <v>1</v>
      </c>
      <c r="J51" s="16">
        <f t="shared" si="9"/>
        <v>2</v>
      </c>
      <c r="K51" s="16">
        <f t="shared" si="10"/>
        <v>2</v>
      </c>
      <c r="L51" s="16" t="str">
        <f t="shared" ca="1" si="11"/>
        <v>122</v>
      </c>
      <c r="M51" s="16">
        <f>IFERROR(INDEX('Raw Data'!$X$3:$X$202,MATCH(A51,'Raw Data'!$W$3:$W$202,0)),"")</f>
        <v>4</v>
      </c>
      <c r="N51" s="16">
        <f>IFERROR(INDEX('Raw Data'!$Z$3:$Z$202,MATCH(A51,'Raw Data'!$W$3:$W$202,0)),"")</f>
        <v>9</v>
      </c>
      <c r="O51" s="16">
        <f t="shared" si="12"/>
        <v>4.25</v>
      </c>
      <c r="P51" s="16" t="str">
        <f>IFERROR(tblClean[[#This Row],[AgeGroup]],"")</f>
        <v>&lt;25</v>
      </c>
      <c r="Q51" s="16" t="str">
        <f>IFERROR(tblClean[[#This Row],[IncomeBracket]],"")</f>
        <v>Mid</v>
      </c>
      <c r="R51" s="16" t="str">
        <f t="shared" si="13"/>
        <v>MED</v>
      </c>
      <c r="S51" s="16" t="str">
        <f t="shared" si="14"/>
        <v>Budget</v>
      </c>
      <c r="T51" s="18" t="str">
        <f t="shared" ca="1" si="7"/>
        <v>General</v>
      </c>
      <c r="U51" s="18" t="str">
        <f>IFERROR(INDEX(tblTransactions[ProductCategory],MATCH(A51,tblTransactions[CustomerID],0)),"N/A")</f>
        <v>Home Decor</v>
      </c>
    </row>
    <row r="52" spans="1:21" ht="15" customHeight="1" x14ac:dyDescent="0.3">
      <c r="A52" s="19" t="str">
        <f>IFERROR(tblClean[[#This Row],[CustomerID]],"")</f>
        <v>C0050</v>
      </c>
      <c r="B52" s="19" t="str">
        <f>IFERROR(tblClean[[#This Row],[Name (Cleaned)]],"")</f>
        <v>Vishal Solanki</v>
      </c>
      <c r="C52" s="19" t="str">
        <f>IFERROR(tblClean[[#This Row],[City/Region (Cleaned)]],"")</f>
        <v>Ahmedabad</v>
      </c>
      <c r="D52" s="19" t="str">
        <f>IFERROR(tblClean[[#This Row],[CustomerType]],"")</f>
        <v>Returning</v>
      </c>
      <c r="E52" s="19" t="str">
        <f>IFERROR(tblClean[[#This Row],[EngagementLevel]],"")</f>
        <v>Medium</v>
      </c>
      <c r="F52" s="23">
        <f ca="1">IFERROR(TODAY()-'Raw Data'!M52,999)</f>
        <v>179</v>
      </c>
      <c r="G52" s="23">
        <f>IFERROR(COUNTIFS(tblTransactions[CustomerID],A52),0)</f>
        <v>5</v>
      </c>
      <c r="H52" s="23">
        <f>IFERROR(SUMIFS(tblTransactions[Amount (INR)],tblTransactions[CustomerID],A52),0)</f>
        <v>24050</v>
      </c>
      <c r="I52" s="19">
        <f t="shared" ca="1" si="8"/>
        <v>2</v>
      </c>
      <c r="J52" s="19">
        <f t="shared" si="9"/>
        <v>3</v>
      </c>
      <c r="K52" s="19">
        <f t="shared" si="10"/>
        <v>3</v>
      </c>
      <c r="L52" s="19" t="str">
        <f t="shared" ca="1" si="11"/>
        <v>233</v>
      </c>
      <c r="M52" s="19">
        <f>IFERROR(INDEX('Raw Data'!$X$3:$X$202,MATCH(A52,'Raw Data'!$W$3:$W$202,0)),"")</f>
        <v>3</v>
      </c>
      <c r="N52" s="19">
        <f>IFERROR(INDEX('Raw Data'!$Z$3:$Z$202,MATCH(A52,'Raw Data'!$W$3:$W$202,0)),"")</f>
        <v>6</v>
      </c>
      <c r="O52" s="19">
        <f t="shared" si="12"/>
        <v>3</v>
      </c>
      <c r="P52" s="19" t="str">
        <f>IFERROR(tblClean[[#This Row],[AgeGroup]],"")</f>
        <v>25-39</v>
      </c>
      <c r="Q52" s="19" t="str">
        <f>IFERROR(tblClean[[#This Row],[IncomeBracket]],"")</f>
        <v>Mid</v>
      </c>
      <c r="R52" s="19" t="str">
        <f t="shared" si="13"/>
        <v>MED</v>
      </c>
      <c r="S52" s="19" t="str">
        <f t="shared" si="14"/>
        <v>Standard</v>
      </c>
      <c r="T52" s="18" t="str">
        <f t="shared" ca="1" si="7"/>
        <v>Bargain Seeker</v>
      </c>
      <c r="U52" s="18" t="str">
        <f>IFERROR(INDEX(tblTransactions[ProductCategory],MATCH(A52,tblTransactions[CustomerID],0)),"N/A")</f>
        <v>Electronics</v>
      </c>
    </row>
    <row r="53" spans="1:21" ht="15" customHeight="1" x14ac:dyDescent="0.3">
      <c r="A53" s="16" t="str">
        <f>IFERROR(tblClean[[#This Row],[CustomerID]],"")</f>
        <v>C0051</v>
      </c>
      <c r="B53" s="16" t="str">
        <f>IFERROR(tblClean[[#This Row],[Name (Cleaned)]],"")</f>
        <v>Priya Sharma</v>
      </c>
      <c r="C53" s="16" t="str">
        <f>IFERROR(tblClean[[#This Row],[City/Region (Cleaned)]],"")</f>
        <v>Bhubaneswar</v>
      </c>
      <c r="D53" s="16" t="str">
        <f>IFERROR(tblClean[[#This Row],[CustomerType]],"")</f>
        <v>Returning</v>
      </c>
      <c r="E53" s="16" t="str">
        <f>IFERROR(tblClean[[#This Row],[EngagementLevel]],"")</f>
        <v>Medium</v>
      </c>
      <c r="F53" s="22">
        <f ca="1">IFERROR(TODAY()-'Raw Data'!M53,999)</f>
        <v>41</v>
      </c>
      <c r="G53" s="22">
        <f>IFERROR(COUNTIFS(tblTransactions[CustomerID],A53),0)</f>
        <v>15</v>
      </c>
      <c r="H53" s="22">
        <f>IFERROR(SUMIFS(tblTransactions[Amount (INR)],tblTransactions[CustomerID],A53),0)</f>
        <v>110290</v>
      </c>
      <c r="I53" s="16">
        <f t="shared" ca="1" si="8"/>
        <v>4</v>
      </c>
      <c r="J53" s="16">
        <f t="shared" si="9"/>
        <v>5</v>
      </c>
      <c r="K53" s="16">
        <f t="shared" si="10"/>
        <v>5</v>
      </c>
      <c r="L53" s="16" t="str">
        <f t="shared" ca="1" si="11"/>
        <v>455</v>
      </c>
      <c r="M53" s="16">
        <f>IFERROR(INDEX('Raw Data'!$X$3:$X$202,MATCH(A53,'Raw Data'!$W$3:$W$202,0)),"")</f>
        <v>2</v>
      </c>
      <c r="N53" s="16">
        <f>IFERROR(INDEX('Raw Data'!$Z$3:$Z$202,MATCH(A53,'Raw Data'!$W$3:$W$202,0)),"")</f>
        <v>4</v>
      </c>
      <c r="O53" s="16">
        <f t="shared" si="12"/>
        <v>2</v>
      </c>
      <c r="P53" s="16" t="str">
        <f>IFERROR(tblClean[[#This Row],[AgeGroup]],"")</f>
        <v>40-54</v>
      </c>
      <c r="Q53" s="16" t="str">
        <f>IFERROR(tblClean[[#This Row],[IncomeBracket]],"")</f>
        <v>High</v>
      </c>
      <c r="R53" s="16" t="str">
        <f t="shared" si="13"/>
        <v>MED</v>
      </c>
      <c r="S53" s="16" t="str">
        <f t="shared" si="14"/>
        <v>Premium</v>
      </c>
      <c r="T53" s="18" t="str">
        <f t="shared" ca="1" si="7"/>
        <v>High Value</v>
      </c>
      <c r="U53" s="18" t="str">
        <f>IFERROR(INDEX(tblTransactions[ProductCategory],MATCH(A53,tblTransactions[CustomerID],0)),"N/A")</f>
        <v>Clothing</v>
      </c>
    </row>
    <row r="54" spans="1:21" ht="15" customHeight="1" x14ac:dyDescent="0.3">
      <c r="A54" s="19" t="str">
        <f>IFERROR(tblClean[[#This Row],[CustomerID]],"")</f>
        <v>C0052</v>
      </c>
      <c r="B54" s="19" t="str">
        <f>IFERROR(tblClean[[#This Row],[Name (Cleaned)]],"")</f>
        <v>Neha Singh</v>
      </c>
      <c r="C54" s="19" t="str">
        <f>IFERROR(tblClean[[#This Row],[City/Region (Cleaned)]],"")</f>
        <v>Surat</v>
      </c>
      <c r="D54" s="19" t="str">
        <f>IFERROR(tblClean[[#This Row],[CustomerType]],"")</f>
        <v>Returning</v>
      </c>
      <c r="E54" s="19" t="str">
        <f>IFERROR(tblClean[[#This Row],[EngagementLevel]],"")</f>
        <v>Medium</v>
      </c>
      <c r="F54" s="23">
        <f ca="1">IFERROR(TODAY()-'Raw Data'!M54,999)</f>
        <v>227</v>
      </c>
      <c r="G54" s="23">
        <f>IFERROR(COUNTIFS(tblTransactions[CustomerID],A54),0)</f>
        <v>6</v>
      </c>
      <c r="H54" s="23">
        <f>IFERROR(SUMIFS(tblTransactions[Amount (INR)],tblTransactions[CustomerID],A54),0)</f>
        <v>36270</v>
      </c>
      <c r="I54" s="19">
        <f t="shared" ca="1" si="8"/>
        <v>1</v>
      </c>
      <c r="J54" s="19">
        <f t="shared" si="9"/>
        <v>4</v>
      </c>
      <c r="K54" s="19">
        <f t="shared" si="10"/>
        <v>4</v>
      </c>
      <c r="L54" s="19" t="str">
        <f t="shared" ca="1" si="11"/>
        <v>144</v>
      </c>
      <c r="M54" s="19">
        <f>IFERROR(INDEX('Raw Data'!$X$3:$X$202,MATCH(A54,'Raw Data'!$W$3:$W$202,0)),"")</f>
        <v>3</v>
      </c>
      <c r="N54" s="19">
        <f>IFERROR(INDEX('Raw Data'!$Z$3:$Z$202,MATCH(A54,'Raw Data'!$W$3:$W$202,0)),"")</f>
        <v>9</v>
      </c>
      <c r="O54" s="19">
        <f t="shared" si="12"/>
        <v>3.75</v>
      </c>
      <c r="P54" s="19" t="str">
        <f>IFERROR(tblClean[[#This Row],[AgeGroup]],"")</f>
        <v>&lt;25</v>
      </c>
      <c r="Q54" s="19" t="str">
        <f>IFERROR(tblClean[[#This Row],[IncomeBracket]],"")</f>
        <v>High</v>
      </c>
      <c r="R54" s="19" t="str">
        <f t="shared" si="13"/>
        <v>MED</v>
      </c>
      <c r="S54" s="19" t="str">
        <f t="shared" si="14"/>
        <v>Standard</v>
      </c>
      <c r="T54" s="18" t="str">
        <f t="shared" ca="1" si="7"/>
        <v>General</v>
      </c>
      <c r="U54" s="18" t="str">
        <f>IFERROR(INDEX(tblTransactions[ProductCategory],MATCH(A54,tblTransactions[CustomerID],0)),"N/A")</f>
        <v>Grocery</v>
      </c>
    </row>
    <row r="55" spans="1:21" ht="15" customHeight="1" x14ac:dyDescent="0.3">
      <c r="A55" s="16" t="str">
        <f>IFERROR(tblClean[[#This Row],[CustomerID]],"")</f>
        <v>C0053</v>
      </c>
      <c r="B55" s="16" t="str">
        <f>IFERROR(tblClean[[#This Row],[Name (Cleaned)]],"")</f>
        <v>Ananya Mehta</v>
      </c>
      <c r="C55" s="16" t="str">
        <f>IFERROR(tblClean[[#This Row],[City/Region (Cleaned)]],"")</f>
        <v>Bangalore</v>
      </c>
      <c r="D55" s="16" t="str">
        <f>IFERROR(tblClean[[#This Row],[CustomerType]],"")</f>
        <v>Returning</v>
      </c>
      <c r="E55" s="16" t="str">
        <f>IFERROR(tblClean[[#This Row],[EngagementLevel]],"")</f>
        <v>Low</v>
      </c>
      <c r="F55" s="22">
        <f ca="1">IFERROR(TODAY()-'Raw Data'!M55,999)</f>
        <v>37</v>
      </c>
      <c r="G55" s="22">
        <f>IFERROR(COUNTIFS(tblTransactions[CustomerID],A55),0)</f>
        <v>1</v>
      </c>
      <c r="H55" s="22">
        <f>IFERROR(SUMIFS(tblTransactions[Amount (INR)],tblTransactions[CustomerID],A55),0)</f>
        <v>6590</v>
      </c>
      <c r="I55" s="16">
        <f t="shared" ca="1" si="8"/>
        <v>4</v>
      </c>
      <c r="J55" s="16">
        <f t="shared" si="9"/>
        <v>1</v>
      </c>
      <c r="K55" s="16">
        <f t="shared" si="10"/>
        <v>2</v>
      </c>
      <c r="L55" s="16" t="str">
        <f t="shared" ca="1" si="11"/>
        <v>412</v>
      </c>
      <c r="M55" s="16">
        <f>IFERROR(INDEX('Raw Data'!$X$3:$X$202,MATCH(A55,'Raw Data'!$W$3:$W$202,0)),"")</f>
        <v>4</v>
      </c>
      <c r="N55" s="16">
        <f>IFERROR(INDEX('Raw Data'!$Z$3:$Z$202,MATCH(A55,'Raw Data'!$W$3:$W$202,0)),"")</f>
        <v>7</v>
      </c>
      <c r="O55" s="16">
        <f t="shared" si="12"/>
        <v>3.75</v>
      </c>
      <c r="P55" s="16" t="str">
        <f>IFERROR(tblClean[[#This Row],[AgeGroup]],"")</f>
        <v>40-54</v>
      </c>
      <c r="Q55" s="16" t="str">
        <f>IFERROR(tblClean[[#This Row],[IncomeBracket]],"")</f>
        <v>High</v>
      </c>
      <c r="R55" s="16" t="str">
        <f t="shared" si="13"/>
        <v>LOW</v>
      </c>
      <c r="S55" s="16" t="str">
        <f t="shared" si="14"/>
        <v>Budget</v>
      </c>
      <c r="T55" s="18" t="str">
        <f t="shared" ca="1" si="7"/>
        <v>General</v>
      </c>
      <c r="U55" s="18" t="str">
        <f>IFERROR(INDEX(tblTransactions[ProductCategory],MATCH(A55,tblTransactions[CustomerID],0)),"N/A")</f>
        <v>Electronics</v>
      </c>
    </row>
    <row r="56" spans="1:21" ht="15" customHeight="1" x14ac:dyDescent="0.3">
      <c r="A56" s="19" t="str">
        <f>IFERROR(tblClean[[#This Row],[CustomerID]],"")</f>
        <v>C0054</v>
      </c>
      <c r="B56" s="19" t="str">
        <f>IFERROR(tblClean[[#This Row],[Name (Cleaned)]],"")</f>
        <v>Divya Gupta</v>
      </c>
      <c r="C56" s="19" t="str">
        <f>IFERROR(tblClean[[#This Row],[City/Region (Cleaned)]],"")</f>
        <v>Kolkata</v>
      </c>
      <c r="D56" s="19" t="str">
        <f>IFERROR(tblClean[[#This Row],[CustomerType]],"")</f>
        <v>New</v>
      </c>
      <c r="E56" s="19" t="str">
        <f>IFERROR(tblClean[[#This Row],[EngagementLevel]],"")</f>
        <v>Low</v>
      </c>
      <c r="F56" s="23">
        <f ca="1">IFERROR(TODAY()-'Raw Data'!M56,999)</f>
        <v>46</v>
      </c>
      <c r="G56" s="23">
        <f>IFERROR(COUNTIFS(tblTransactions[CustomerID],A56),0)</f>
        <v>1</v>
      </c>
      <c r="H56" s="23">
        <f>IFERROR(SUMIFS(tblTransactions[Amount (INR)],tblTransactions[CustomerID],A56),0)</f>
        <v>1430</v>
      </c>
      <c r="I56" s="19">
        <f t="shared" ca="1" si="8"/>
        <v>4</v>
      </c>
      <c r="J56" s="19">
        <f t="shared" si="9"/>
        <v>1</v>
      </c>
      <c r="K56" s="19">
        <f t="shared" si="10"/>
        <v>1</v>
      </c>
      <c r="L56" s="19" t="str">
        <f t="shared" ca="1" si="11"/>
        <v>411</v>
      </c>
      <c r="M56" s="19">
        <f>IFERROR(INDEX('Raw Data'!$X$3:$X$202,MATCH(A56,'Raw Data'!$W$3:$W$202,0)),"")</f>
        <v>4</v>
      </c>
      <c r="N56" s="19">
        <f>IFERROR(INDEX('Raw Data'!$Z$3:$Z$202,MATCH(A56,'Raw Data'!$W$3:$W$202,0)),"")</f>
        <v>9</v>
      </c>
      <c r="O56" s="19">
        <f t="shared" si="12"/>
        <v>4.25</v>
      </c>
      <c r="P56" s="19" t="str">
        <f>IFERROR(tblClean[[#This Row],[AgeGroup]],"")</f>
        <v>40-54</v>
      </c>
      <c r="Q56" s="19" t="str">
        <f>IFERROR(tblClean[[#This Row],[IncomeBracket]],"")</f>
        <v>High</v>
      </c>
      <c r="R56" s="19" t="str">
        <f t="shared" si="13"/>
        <v>LOW</v>
      </c>
      <c r="S56" s="19" t="str">
        <f t="shared" si="14"/>
        <v>Budget</v>
      </c>
      <c r="T56" s="18" t="str">
        <f t="shared" ca="1" si="7"/>
        <v>General</v>
      </c>
      <c r="U56" s="18" t="str">
        <f>IFERROR(INDEX(tblTransactions[ProductCategory],MATCH(A56,tblTransactions[CustomerID],0)),"N/A")</f>
        <v>Electronics</v>
      </c>
    </row>
    <row r="57" spans="1:21" ht="15" customHeight="1" x14ac:dyDescent="0.3">
      <c r="A57" s="16" t="str">
        <f>IFERROR(tblClean[[#This Row],[CustomerID]],"")</f>
        <v>C0055</v>
      </c>
      <c r="B57" s="16" t="str">
        <f>IFERROR(tblClean[[#This Row],[Name (Cleaned)]],"")</f>
        <v>Pooja Verma</v>
      </c>
      <c r="C57" s="16" t="str">
        <f>IFERROR(tblClean[[#This Row],[City/Region (Cleaned)]],"")</f>
        <v>Chennai</v>
      </c>
      <c r="D57" s="16" t="str">
        <f>IFERROR(tblClean[[#This Row],[CustomerType]],"")</f>
        <v>Returning</v>
      </c>
      <c r="E57" s="16" t="str">
        <f>IFERROR(tblClean[[#This Row],[EngagementLevel]],"")</f>
        <v>Medium</v>
      </c>
      <c r="F57" s="22">
        <f ca="1">IFERROR(TODAY()-'Raw Data'!M57,999)</f>
        <v>30</v>
      </c>
      <c r="G57" s="22">
        <f>IFERROR(COUNTIFS(tblTransactions[CustomerID],A57),0)</f>
        <v>13</v>
      </c>
      <c r="H57" s="22">
        <f>IFERROR(SUMIFS(tblTransactions[Amount (INR)],tblTransactions[CustomerID],A57),0)</f>
        <v>70600</v>
      </c>
      <c r="I57" s="16">
        <f t="shared" ca="1" si="8"/>
        <v>5</v>
      </c>
      <c r="J57" s="16">
        <f t="shared" si="9"/>
        <v>5</v>
      </c>
      <c r="K57" s="16">
        <f t="shared" si="10"/>
        <v>5</v>
      </c>
      <c r="L57" s="16" t="str">
        <f t="shared" ca="1" si="11"/>
        <v>555</v>
      </c>
      <c r="M57" s="16">
        <f>IFERROR(INDEX('Raw Data'!$X$3:$X$202,MATCH(A57,'Raw Data'!$W$3:$W$202,0)),"")</f>
        <v>2</v>
      </c>
      <c r="N57" s="16">
        <f>IFERROR(INDEX('Raw Data'!$Z$3:$Z$202,MATCH(A57,'Raw Data'!$W$3:$W$202,0)),"")</f>
        <v>6</v>
      </c>
      <c r="O57" s="16">
        <f t="shared" si="12"/>
        <v>2.5</v>
      </c>
      <c r="P57" s="16" t="str">
        <f>IFERROR(tblClean[[#This Row],[AgeGroup]],"")</f>
        <v>40-54</v>
      </c>
      <c r="Q57" s="16" t="str">
        <f>IFERROR(tblClean[[#This Row],[IncomeBracket]],"")</f>
        <v>High</v>
      </c>
      <c r="R57" s="16" t="str">
        <f t="shared" si="13"/>
        <v>MED</v>
      </c>
      <c r="S57" s="16" t="str">
        <f t="shared" si="14"/>
        <v>Premium</v>
      </c>
      <c r="T57" s="18" t="str">
        <f t="shared" ca="1" si="7"/>
        <v>Loyal</v>
      </c>
      <c r="U57" s="18" t="str">
        <f>IFERROR(INDEX(tblTransactions[ProductCategory],MATCH(A57,tblTransactions[CustomerID],0)),"N/A")</f>
        <v>Grocery</v>
      </c>
    </row>
    <row r="58" spans="1:21" ht="15" customHeight="1" x14ac:dyDescent="0.3">
      <c r="A58" s="19" t="str">
        <f>IFERROR(tblClean[[#This Row],[CustomerID]],"")</f>
        <v>C0056</v>
      </c>
      <c r="B58" s="19" t="str">
        <f>IFERROR(tblClean[[#This Row],[Name (Cleaned)]],"")</f>
        <v>Sunita Kumar</v>
      </c>
      <c r="C58" s="19" t="str">
        <f>IFERROR(tblClean[[#This Row],[City/Region (Cleaned)]],"")</f>
        <v>Bhubaneswar</v>
      </c>
      <c r="D58" s="19" t="str">
        <f>IFERROR(tblClean[[#This Row],[CustomerType]],"")</f>
        <v>Returning</v>
      </c>
      <c r="E58" s="19" t="str">
        <f>IFERROR(tblClean[[#This Row],[EngagementLevel]],"")</f>
        <v>Medium</v>
      </c>
      <c r="F58" s="23">
        <f ca="1">IFERROR(TODAY()-'Raw Data'!M58,999)</f>
        <v>229</v>
      </c>
      <c r="G58" s="23">
        <f>IFERROR(COUNTIFS(tblTransactions[CustomerID],A58),0)</f>
        <v>7</v>
      </c>
      <c r="H58" s="23">
        <f>IFERROR(SUMIFS(tblTransactions[Amount (INR)],tblTransactions[CustomerID],A58),0)</f>
        <v>24760</v>
      </c>
      <c r="I58" s="19">
        <f t="shared" ca="1" si="8"/>
        <v>1</v>
      </c>
      <c r="J58" s="19">
        <f t="shared" si="9"/>
        <v>4</v>
      </c>
      <c r="K58" s="19">
        <f t="shared" si="10"/>
        <v>3</v>
      </c>
      <c r="L58" s="19" t="str">
        <f t="shared" ca="1" si="11"/>
        <v>143</v>
      </c>
      <c r="M58" s="19">
        <f>IFERROR(INDEX('Raw Data'!$X$3:$X$202,MATCH(A58,'Raw Data'!$W$3:$W$202,0)),"")</f>
        <v>4</v>
      </c>
      <c r="N58" s="19">
        <f>IFERROR(INDEX('Raw Data'!$Z$3:$Z$202,MATCH(A58,'Raw Data'!$W$3:$W$202,0)),"")</f>
        <v>8</v>
      </c>
      <c r="O58" s="19">
        <f t="shared" si="12"/>
        <v>4</v>
      </c>
      <c r="P58" s="19" t="str">
        <f>IFERROR(tblClean[[#This Row],[AgeGroup]],"")</f>
        <v>55+</v>
      </c>
      <c r="Q58" s="19" t="str">
        <f>IFERROR(tblClean[[#This Row],[IncomeBracket]],"")</f>
        <v>High</v>
      </c>
      <c r="R58" s="19" t="str">
        <f t="shared" si="13"/>
        <v>MED</v>
      </c>
      <c r="S58" s="19" t="str">
        <f t="shared" si="14"/>
        <v>Standard</v>
      </c>
      <c r="T58" s="18" t="str">
        <f t="shared" ca="1" si="7"/>
        <v>Bargain Seeker</v>
      </c>
      <c r="U58" s="18" t="str">
        <f>IFERROR(INDEX(tblTransactions[ProductCategory],MATCH(A58,tblTransactions[CustomerID],0)),"N/A")</f>
        <v>Clothing</v>
      </c>
    </row>
    <row r="59" spans="1:21" ht="15" customHeight="1" x14ac:dyDescent="0.3">
      <c r="A59" s="16" t="str">
        <f>IFERROR(tblClean[[#This Row],[CustomerID]],"")</f>
        <v>C0057</v>
      </c>
      <c r="B59" s="16" t="str">
        <f>IFERROR(tblClean[[#This Row],[Name (Cleaned)]],"")</f>
        <v>Rekha Patel</v>
      </c>
      <c r="C59" s="16" t="str">
        <f>IFERROR(tblClean[[#This Row],[City/Region (Cleaned)]],"")</f>
        <v>Bangalore</v>
      </c>
      <c r="D59" s="16" t="str">
        <f>IFERROR(tblClean[[#This Row],[CustomerType]],"")</f>
        <v>Returning</v>
      </c>
      <c r="E59" s="16" t="str">
        <f>IFERROR(tblClean[[#This Row],[EngagementLevel]],"")</f>
        <v>Low</v>
      </c>
      <c r="F59" s="22">
        <f ca="1">IFERROR(TODAY()-'Raw Data'!M59,999)</f>
        <v>41</v>
      </c>
      <c r="G59" s="22">
        <f>IFERROR(COUNTIFS(tblTransactions[CustomerID],A59),0)</f>
        <v>1</v>
      </c>
      <c r="H59" s="22">
        <f>IFERROR(SUMIFS(tblTransactions[Amount (INR)],tblTransactions[CustomerID],A59),0)</f>
        <v>1160</v>
      </c>
      <c r="I59" s="16">
        <f t="shared" ca="1" si="8"/>
        <v>4</v>
      </c>
      <c r="J59" s="16">
        <f t="shared" si="9"/>
        <v>1</v>
      </c>
      <c r="K59" s="16">
        <f t="shared" si="10"/>
        <v>1</v>
      </c>
      <c r="L59" s="16" t="str">
        <f t="shared" ca="1" si="11"/>
        <v>411</v>
      </c>
      <c r="M59" s="16">
        <f>IFERROR(INDEX('Raw Data'!$X$3:$X$202,MATCH(A59,'Raw Data'!$W$3:$W$202,0)),"")</f>
        <v>2</v>
      </c>
      <c r="N59" s="16">
        <f>IFERROR(INDEX('Raw Data'!$Z$3:$Z$202,MATCH(A59,'Raw Data'!$W$3:$W$202,0)),"")</f>
        <v>7</v>
      </c>
      <c r="O59" s="16">
        <f t="shared" si="12"/>
        <v>2.75</v>
      </c>
      <c r="P59" s="16" t="str">
        <f>IFERROR(tblClean[[#This Row],[AgeGroup]],"")</f>
        <v>25-39</v>
      </c>
      <c r="Q59" s="16" t="str">
        <f>IFERROR(tblClean[[#This Row],[IncomeBracket]],"")</f>
        <v>Mid</v>
      </c>
      <c r="R59" s="16" t="str">
        <f t="shared" si="13"/>
        <v>LOW</v>
      </c>
      <c r="S59" s="16" t="str">
        <f t="shared" si="14"/>
        <v>Budget</v>
      </c>
      <c r="T59" s="18" t="str">
        <f t="shared" ca="1" si="7"/>
        <v>General</v>
      </c>
      <c r="U59" s="18" t="str">
        <f>IFERROR(INDEX(tblTransactions[ProductCategory],MATCH(A59,tblTransactions[CustomerID],0)),"N/A")</f>
        <v>Home Decor</v>
      </c>
    </row>
    <row r="60" spans="1:21" ht="15" customHeight="1" x14ac:dyDescent="0.3">
      <c r="A60" s="19" t="str">
        <f>IFERROR(tblClean[[#This Row],[CustomerID]],"")</f>
        <v>C0058</v>
      </c>
      <c r="B60" s="19" t="str">
        <f>IFERROR(tblClean[[#This Row],[Name (Cleaned)]],"")</f>
        <v>Kavita Joshi</v>
      </c>
      <c r="C60" s="19" t="str">
        <f>IFERROR(tblClean[[#This Row],[City/Region (Cleaned)]],"")</f>
        <v>Gurgaon</v>
      </c>
      <c r="D60" s="19" t="str">
        <f>IFERROR(tblClean[[#This Row],[CustomerType]],"")</f>
        <v>Returning</v>
      </c>
      <c r="E60" s="19" t="str">
        <f>IFERROR(tblClean[[#This Row],[EngagementLevel]],"")</f>
        <v>High</v>
      </c>
      <c r="F60" s="23">
        <f ca="1">IFERROR(TODAY()-'Raw Data'!M60,999)</f>
        <v>45</v>
      </c>
      <c r="G60" s="23">
        <f>IFERROR(COUNTIFS(tblTransactions[CustomerID],A60),0)</f>
        <v>13</v>
      </c>
      <c r="H60" s="23">
        <f>IFERROR(SUMIFS(tblTransactions[Amount (INR)],tblTransactions[CustomerID],A60),0)</f>
        <v>60800</v>
      </c>
      <c r="I60" s="19">
        <f t="shared" ca="1" si="8"/>
        <v>4</v>
      </c>
      <c r="J60" s="19">
        <f t="shared" si="9"/>
        <v>5</v>
      </c>
      <c r="K60" s="19">
        <f t="shared" si="10"/>
        <v>5</v>
      </c>
      <c r="L60" s="19" t="str">
        <f t="shared" ca="1" si="11"/>
        <v>455</v>
      </c>
      <c r="M60" s="19">
        <f>IFERROR(INDEX('Raw Data'!$X$3:$X$202,MATCH(A60,'Raw Data'!$W$3:$W$202,0)),"")</f>
        <v>3</v>
      </c>
      <c r="N60" s="19">
        <f>IFERROR(INDEX('Raw Data'!$Z$3:$Z$202,MATCH(A60,'Raw Data'!$W$3:$W$202,0)),"")</f>
        <v>6</v>
      </c>
      <c r="O60" s="19">
        <f t="shared" si="12"/>
        <v>3</v>
      </c>
      <c r="P60" s="19" t="str">
        <f>IFERROR(tblClean[[#This Row],[AgeGroup]],"")</f>
        <v>25-39</v>
      </c>
      <c r="Q60" s="19" t="str">
        <f>IFERROR(tblClean[[#This Row],[IncomeBracket]],"")</f>
        <v>Low</v>
      </c>
      <c r="R60" s="19" t="str">
        <f t="shared" si="13"/>
        <v>HIGH</v>
      </c>
      <c r="S60" s="19" t="str">
        <f t="shared" si="14"/>
        <v>Premium</v>
      </c>
      <c r="T60" s="18" t="str">
        <f t="shared" ca="1" si="7"/>
        <v>High Value</v>
      </c>
      <c r="U60" s="18" t="str">
        <f>IFERROR(INDEX(tblTransactions[ProductCategory],MATCH(A60,tblTransactions[CustomerID],0)),"N/A")</f>
        <v>Sports</v>
      </c>
    </row>
    <row r="61" spans="1:21" ht="15" customHeight="1" x14ac:dyDescent="0.3">
      <c r="A61" s="16" t="str">
        <f>IFERROR(tblClean[[#This Row],[CustomerID]],"")</f>
        <v>C0059</v>
      </c>
      <c r="B61" s="16" t="str">
        <f>IFERROR(tblClean[[#This Row],[Name (Cleaned)]],"")</f>
        <v>Shikha Kapoor</v>
      </c>
      <c r="C61" s="16" t="str">
        <f>IFERROR(tblClean[[#This Row],[City/Region (Cleaned)]],"")</f>
        <v>Nagpur</v>
      </c>
      <c r="D61" s="16" t="str">
        <f>IFERROR(tblClean[[#This Row],[CustomerType]],"")</f>
        <v>New</v>
      </c>
      <c r="E61" s="16" t="str">
        <f>IFERROR(tblClean[[#This Row],[EngagementLevel]],"")</f>
        <v>Medium</v>
      </c>
      <c r="F61" s="22">
        <f ca="1">IFERROR(TODAY()-'Raw Data'!M61,999)</f>
        <v>59</v>
      </c>
      <c r="G61" s="22">
        <f>IFERROR(COUNTIFS(tblTransactions[CustomerID],A61),0)</f>
        <v>1</v>
      </c>
      <c r="H61" s="22">
        <f>IFERROR(SUMIFS(tblTransactions[Amount (INR)],tblTransactions[CustomerID],A61),0)</f>
        <v>7920</v>
      </c>
      <c r="I61" s="16">
        <f t="shared" ca="1" si="8"/>
        <v>4</v>
      </c>
      <c r="J61" s="16">
        <f t="shared" si="9"/>
        <v>1</v>
      </c>
      <c r="K61" s="16">
        <f t="shared" si="10"/>
        <v>2</v>
      </c>
      <c r="L61" s="16" t="str">
        <f t="shared" ca="1" si="11"/>
        <v>412</v>
      </c>
      <c r="M61" s="16">
        <f>IFERROR(INDEX('Raw Data'!$X$3:$X$202,MATCH(A61,'Raw Data'!$W$3:$W$202,0)),"")</f>
        <v>5</v>
      </c>
      <c r="N61" s="16">
        <f>IFERROR(INDEX('Raw Data'!$Z$3:$Z$202,MATCH(A61,'Raw Data'!$W$3:$W$202,0)),"")</f>
        <v>7</v>
      </c>
      <c r="O61" s="16">
        <f t="shared" si="12"/>
        <v>4.25</v>
      </c>
      <c r="P61" s="16" t="str">
        <f>IFERROR(tblClean[[#This Row],[AgeGroup]],"")</f>
        <v>55+</v>
      </c>
      <c r="Q61" s="16" t="str">
        <f>IFERROR(tblClean[[#This Row],[IncomeBracket]],"")</f>
        <v>Mid</v>
      </c>
      <c r="R61" s="16" t="str">
        <f t="shared" si="13"/>
        <v>MED</v>
      </c>
      <c r="S61" s="16" t="str">
        <f t="shared" si="14"/>
        <v>Budget</v>
      </c>
      <c r="T61" s="18" t="str">
        <f t="shared" ca="1" si="7"/>
        <v>General</v>
      </c>
      <c r="U61" s="18" t="str">
        <f>IFERROR(INDEX(tblTransactions[ProductCategory],MATCH(A61,tblTransactions[CustomerID],0)),"N/A")</f>
        <v>Electronics</v>
      </c>
    </row>
    <row r="62" spans="1:21" ht="15" customHeight="1" x14ac:dyDescent="0.3">
      <c r="A62" s="19" t="str">
        <f>IFERROR(tblClean[[#This Row],[CustomerID]],"")</f>
        <v>C0060</v>
      </c>
      <c r="B62" s="19" t="str">
        <f>IFERROR(tblClean[[#This Row],[Name (Cleaned)]],"")</f>
        <v>Meera Nair</v>
      </c>
      <c r="C62" s="19" t="str">
        <f>IFERROR(tblClean[[#This Row],[City/Region (Cleaned)]],"")</f>
        <v>Lucknow</v>
      </c>
      <c r="D62" s="19" t="str">
        <f>IFERROR(tblClean[[#This Row],[CustomerType]],"")</f>
        <v>Returning</v>
      </c>
      <c r="E62" s="19" t="str">
        <f>IFERROR(tblClean[[#This Row],[EngagementLevel]],"")</f>
        <v>High</v>
      </c>
      <c r="F62" s="23">
        <f ca="1">IFERROR(TODAY()-'Raw Data'!M62,999)</f>
        <v>29</v>
      </c>
      <c r="G62" s="23">
        <f>IFERROR(COUNTIFS(tblTransactions[CustomerID],A62),0)</f>
        <v>12</v>
      </c>
      <c r="H62" s="23">
        <f>IFERROR(SUMIFS(tblTransactions[Amount (INR)],tblTransactions[CustomerID],A62),0)</f>
        <v>85860</v>
      </c>
      <c r="I62" s="19">
        <f t="shared" ca="1" si="8"/>
        <v>5</v>
      </c>
      <c r="J62" s="19">
        <f t="shared" si="9"/>
        <v>5</v>
      </c>
      <c r="K62" s="19">
        <f t="shared" si="10"/>
        <v>5</v>
      </c>
      <c r="L62" s="19" t="str">
        <f t="shared" ca="1" si="11"/>
        <v>555</v>
      </c>
      <c r="M62" s="19">
        <f>IFERROR(INDEX('Raw Data'!$X$3:$X$202,MATCH(A62,'Raw Data'!$W$3:$W$202,0)),"")</f>
        <v>3</v>
      </c>
      <c r="N62" s="19">
        <f>IFERROR(INDEX('Raw Data'!$Z$3:$Z$202,MATCH(A62,'Raw Data'!$W$3:$W$202,0)),"")</f>
        <v>10</v>
      </c>
      <c r="O62" s="19">
        <f t="shared" si="12"/>
        <v>4</v>
      </c>
      <c r="P62" s="19" t="str">
        <f>IFERROR(tblClean[[#This Row],[AgeGroup]],"")</f>
        <v>25-39</v>
      </c>
      <c r="Q62" s="19" t="str">
        <f>IFERROR(tblClean[[#This Row],[IncomeBracket]],"")</f>
        <v>Mid</v>
      </c>
      <c r="R62" s="19" t="str">
        <f t="shared" si="13"/>
        <v>HIGH</v>
      </c>
      <c r="S62" s="19" t="str">
        <f t="shared" si="14"/>
        <v>Premium</v>
      </c>
      <c r="T62" s="18" t="str">
        <f t="shared" ca="1" si="7"/>
        <v>Loyal</v>
      </c>
      <c r="U62" s="18" t="str">
        <f>IFERROR(INDEX(tblTransactions[ProductCategory],MATCH(A62,tblTransactions[CustomerID],0)),"N/A")</f>
        <v>Home Decor</v>
      </c>
    </row>
    <row r="63" spans="1:21" ht="15" customHeight="1" x14ac:dyDescent="0.3">
      <c r="A63" s="16" t="str">
        <f>IFERROR(tblClean[[#This Row],[CustomerID]],"")</f>
        <v>C0061</v>
      </c>
      <c r="B63" s="16" t="str">
        <f>IFERROR(tblClean[[#This Row],[Name (Cleaned)]],"")</f>
        <v>Anjali Tiwari</v>
      </c>
      <c r="C63" s="16" t="str">
        <f>IFERROR(tblClean[[#This Row],[City/Region (Cleaned)]],"")</f>
        <v>Kochi</v>
      </c>
      <c r="D63" s="16" t="str">
        <f>IFERROR(tblClean[[#This Row],[CustomerType]],"")</f>
        <v>Returning</v>
      </c>
      <c r="E63" s="16" t="str">
        <f>IFERROR(tblClean[[#This Row],[EngagementLevel]],"")</f>
        <v>High</v>
      </c>
      <c r="F63" s="22">
        <f ca="1">IFERROR(TODAY()-'Raw Data'!M63,999)</f>
        <v>352</v>
      </c>
      <c r="G63" s="22">
        <f>IFERROR(COUNTIFS(tblTransactions[CustomerID],A63),0)</f>
        <v>10</v>
      </c>
      <c r="H63" s="22">
        <f>IFERROR(SUMIFS(tblTransactions[Amount (INR)],tblTransactions[CustomerID],A63),0)</f>
        <v>64690</v>
      </c>
      <c r="I63" s="16">
        <f t="shared" ca="1" si="8"/>
        <v>1</v>
      </c>
      <c r="J63" s="16">
        <f t="shared" si="9"/>
        <v>5</v>
      </c>
      <c r="K63" s="16">
        <f t="shared" si="10"/>
        <v>5</v>
      </c>
      <c r="L63" s="16" t="str">
        <f t="shared" ca="1" si="11"/>
        <v>155</v>
      </c>
      <c r="M63" s="16">
        <f>IFERROR(INDEX('Raw Data'!$X$3:$X$202,MATCH(A63,'Raw Data'!$W$3:$W$202,0)),"")</f>
        <v>5</v>
      </c>
      <c r="N63" s="16">
        <f>IFERROR(INDEX('Raw Data'!$Z$3:$Z$202,MATCH(A63,'Raw Data'!$W$3:$W$202,0)),"")</f>
        <v>8</v>
      </c>
      <c r="O63" s="16">
        <f t="shared" si="12"/>
        <v>4.5</v>
      </c>
      <c r="P63" s="16" t="str">
        <f>IFERROR(tblClean[[#This Row],[AgeGroup]],"")</f>
        <v>25-39</v>
      </c>
      <c r="Q63" s="16" t="str">
        <f>IFERROR(tblClean[[#This Row],[IncomeBracket]],"")</f>
        <v>High</v>
      </c>
      <c r="R63" s="16" t="str">
        <f t="shared" si="13"/>
        <v>HIGH</v>
      </c>
      <c r="S63" s="16" t="str">
        <f t="shared" si="14"/>
        <v>Premium</v>
      </c>
      <c r="T63" s="18" t="str">
        <f t="shared" ca="1" si="7"/>
        <v>Loyal</v>
      </c>
      <c r="U63" s="18" t="str">
        <f>IFERROR(INDEX(tblTransactions[ProductCategory],MATCH(A63,tblTransactions[CustomerID],0)),"N/A")</f>
        <v>Beauty</v>
      </c>
    </row>
    <row r="64" spans="1:21" ht="15" customHeight="1" x14ac:dyDescent="0.3">
      <c r="A64" s="19" t="str">
        <f>IFERROR(tblClean[[#This Row],[CustomerID]],"")</f>
        <v>C0062</v>
      </c>
      <c r="B64" s="19" t="str">
        <f>IFERROR(tblClean[[#This Row],[Name (Cleaned)]],"")</f>
        <v>Swati Saxena</v>
      </c>
      <c r="C64" s="19" t="str">
        <f>IFERROR(tblClean[[#This Row],[City/Region (Cleaned)]],"")</f>
        <v>Lucknow</v>
      </c>
      <c r="D64" s="19" t="str">
        <f>IFERROR(tblClean[[#This Row],[CustomerType]],"")</f>
        <v>New</v>
      </c>
      <c r="E64" s="19" t="str">
        <f>IFERROR(tblClean[[#This Row],[EngagementLevel]],"")</f>
        <v>High</v>
      </c>
      <c r="F64" s="23">
        <f ca="1">IFERROR(TODAY()-'Raw Data'!M64,999)</f>
        <v>373</v>
      </c>
      <c r="G64" s="23">
        <f>IFERROR(COUNTIFS(tblTransactions[CustomerID],A64),0)</f>
        <v>1</v>
      </c>
      <c r="H64" s="23">
        <f>IFERROR(SUMIFS(tblTransactions[Amount (INR)],tblTransactions[CustomerID],A64),0)</f>
        <v>12970</v>
      </c>
      <c r="I64" s="19">
        <f t="shared" ca="1" si="8"/>
        <v>1</v>
      </c>
      <c r="J64" s="19">
        <f t="shared" si="9"/>
        <v>1</v>
      </c>
      <c r="K64" s="19">
        <f t="shared" si="10"/>
        <v>2</v>
      </c>
      <c r="L64" s="19" t="str">
        <f t="shared" ca="1" si="11"/>
        <v>112</v>
      </c>
      <c r="M64" s="19">
        <f>IFERROR(INDEX('Raw Data'!$X$3:$X$202,MATCH(A64,'Raw Data'!$W$3:$W$202,0)),"")</f>
        <v>4</v>
      </c>
      <c r="N64" s="19">
        <f>IFERROR(INDEX('Raw Data'!$Z$3:$Z$202,MATCH(A64,'Raw Data'!$W$3:$W$202,0)),"")</f>
        <v>5</v>
      </c>
      <c r="O64" s="19">
        <f t="shared" si="12"/>
        <v>3.25</v>
      </c>
      <c r="P64" s="19" t="str">
        <f>IFERROR(tblClean[[#This Row],[AgeGroup]],"")</f>
        <v>40-54</v>
      </c>
      <c r="Q64" s="19" t="str">
        <f>IFERROR(tblClean[[#This Row],[IncomeBracket]],"")</f>
        <v>High</v>
      </c>
      <c r="R64" s="19" t="str">
        <f t="shared" si="13"/>
        <v>HIGH</v>
      </c>
      <c r="S64" s="19" t="str">
        <f t="shared" si="14"/>
        <v>Budget</v>
      </c>
      <c r="T64" s="18" t="str">
        <f t="shared" ca="1" si="7"/>
        <v>At Risk</v>
      </c>
      <c r="U64" s="18" t="str">
        <f>IFERROR(INDEX(tblTransactions[ProductCategory],MATCH(A64,tblTransactions[CustomerID],0)),"N/A")</f>
        <v>Electronics</v>
      </c>
    </row>
    <row r="65" spans="1:21" ht="15" customHeight="1" x14ac:dyDescent="0.3">
      <c r="A65" s="16" t="str">
        <f>IFERROR(tblClean[[#This Row],[CustomerID]],"")</f>
        <v>C0063</v>
      </c>
      <c r="B65" s="16" t="str">
        <f>IFERROR(tblClean[[#This Row],[Name (Cleaned)]],"")</f>
        <v>Ritu Yadav</v>
      </c>
      <c r="C65" s="16" t="str">
        <f>IFERROR(tblClean[[#This Row],[City/Region (Cleaned)]],"")</f>
        <v>Ahmedabad</v>
      </c>
      <c r="D65" s="16" t="str">
        <f>IFERROR(tblClean[[#This Row],[CustomerType]],"")</f>
        <v>New</v>
      </c>
      <c r="E65" s="16" t="str">
        <f>IFERROR(tblClean[[#This Row],[EngagementLevel]],"")</f>
        <v>Medium</v>
      </c>
      <c r="F65" s="22">
        <f ca="1">IFERROR(TODAY()-'Raw Data'!M65,999)</f>
        <v>56</v>
      </c>
      <c r="G65" s="22">
        <f>IFERROR(COUNTIFS(tblTransactions[CustomerID],A65),0)</f>
        <v>1</v>
      </c>
      <c r="H65" s="22">
        <f>IFERROR(SUMIFS(tblTransactions[Amount (INR)],tblTransactions[CustomerID],A65),0)</f>
        <v>4810</v>
      </c>
      <c r="I65" s="16">
        <f t="shared" ca="1" si="8"/>
        <v>4</v>
      </c>
      <c r="J65" s="16">
        <f t="shared" si="9"/>
        <v>1</v>
      </c>
      <c r="K65" s="16">
        <f t="shared" si="10"/>
        <v>1</v>
      </c>
      <c r="L65" s="16" t="str">
        <f t="shared" ca="1" si="11"/>
        <v>411</v>
      </c>
      <c r="M65" s="16">
        <f>IFERROR(INDEX('Raw Data'!$X$3:$X$202,MATCH(A65,'Raw Data'!$W$3:$W$202,0)),"")</f>
        <v>3</v>
      </c>
      <c r="N65" s="16">
        <f>IFERROR(INDEX('Raw Data'!$Z$3:$Z$202,MATCH(A65,'Raw Data'!$W$3:$W$202,0)),"")</f>
        <v>9</v>
      </c>
      <c r="O65" s="16">
        <f t="shared" si="12"/>
        <v>3.75</v>
      </c>
      <c r="P65" s="16" t="str">
        <f>IFERROR(tblClean[[#This Row],[AgeGroup]],"")</f>
        <v>25-39</v>
      </c>
      <c r="Q65" s="16" t="str">
        <f>IFERROR(tblClean[[#This Row],[IncomeBracket]],"")</f>
        <v>High</v>
      </c>
      <c r="R65" s="16" t="str">
        <f t="shared" si="13"/>
        <v>MED</v>
      </c>
      <c r="S65" s="16" t="str">
        <f t="shared" si="14"/>
        <v>Budget</v>
      </c>
      <c r="T65" s="18" t="str">
        <f t="shared" ca="1" si="7"/>
        <v>General</v>
      </c>
      <c r="U65" s="18" t="str">
        <f>IFERROR(INDEX(tblTransactions[ProductCategory],MATCH(A65,tblTransactions[CustomerID],0)),"N/A")</f>
        <v>Beauty</v>
      </c>
    </row>
    <row r="66" spans="1:21" ht="15" customHeight="1" x14ac:dyDescent="0.3">
      <c r="A66" s="19" t="str">
        <f>IFERROR(tblClean[[#This Row],[CustomerID]],"")</f>
        <v>C0064</v>
      </c>
      <c r="B66" s="19" t="str">
        <f>IFERROR(tblClean[[#This Row],[Name (Cleaned)]],"")</f>
        <v>Sneha Mishra</v>
      </c>
      <c r="C66" s="19" t="str">
        <f>IFERROR(tblClean[[#This Row],[City/Region (Cleaned)]],"")</f>
        <v>Ahmedabad</v>
      </c>
      <c r="D66" s="19" t="str">
        <f>IFERROR(tblClean[[#This Row],[CustomerType]],"")</f>
        <v>New</v>
      </c>
      <c r="E66" s="19" t="str">
        <f>IFERROR(tblClean[[#This Row],[EngagementLevel]],"")</f>
        <v>Medium</v>
      </c>
      <c r="F66" s="23">
        <f ca="1">IFERROR(TODAY()-'Raw Data'!M66,999)</f>
        <v>56</v>
      </c>
      <c r="G66" s="23">
        <f>IFERROR(COUNTIFS(tblTransactions[CustomerID],A66),0)</f>
        <v>1</v>
      </c>
      <c r="H66" s="23">
        <f>IFERROR(SUMIFS(tblTransactions[Amount (INR)],tblTransactions[CustomerID],A66),0)</f>
        <v>2100</v>
      </c>
      <c r="I66" s="19">
        <f t="shared" ca="1" si="8"/>
        <v>4</v>
      </c>
      <c r="J66" s="19">
        <f t="shared" si="9"/>
        <v>1</v>
      </c>
      <c r="K66" s="19">
        <f t="shared" si="10"/>
        <v>1</v>
      </c>
      <c r="L66" s="19" t="str">
        <f t="shared" ca="1" si="11"/>
        <v>411</v>
      </c>
      <c r="M66" s="19">
        <f>IFERROR(INDEX('Raw Data'!$X$3:$X$202,MATCH(A66,'Raw Data'!$W$3:$W$202,0)),"")</f>
        <v>3</v>
      </c>
      <c r="N66" s="19">
        <f>IFERROR(INDEX('Raw Data'!$Z$3:$Z$202,MATCH(A66,'Raw Data'!$W$3:$W$202,0)),"")</f>
        <v>7</v>
      </c>
      <c r="O66" s="19">
        <f t="shared" si="12"/>
        <v>3.25</v>
      </c>
      <c r="P66" s="19" t="str">
        <f>IFERROR(tblClean[[#This Row],[AgeGroup]],"")</f>
        <v>25-39</v>
      </c>
      <c r="Q66" s="19" t="str">
        <f>IFERROR(tblClean[[#This Row],[IncomeBracket]],"")</f>
        <v>Mid</v>
      </c>
      <c r="R66" s="19" t="str">
        <f t="shared" si="13"/>
        <v>MED</v>
      </c>
      <c r="S66" s="19" t="str">
        <f t="shared" si="14"/>
        <v>Budget</v>
      </c>
      <c r="T66" s="18" t="str">
        <f t="shared" ca="1" si="7"/>
        <v>General</v>
      </c>
      <c r="U66" s="18" t="str">
        <f>IFERROR(INDEX(tblTransactions[ProductCategory],MATCH(A66,tblTransactions[CustomerID],0)),"N/A")</f>
        <v>Home Decor</v>
      </c>
    </row>
    <row r="67" spans="1:21" ht="15" customHeight="1" x14ac:dyDescent="0.3">
      <c r="A67" s="16" t="str">
        <f>IFERROR(tblClean[[#This Row],[CustomerID]],"")</f>
        <v>C0065</v>
      </c>
      <c r="B67" s="16" t="str">
        <f>IFERROR(tblClean[[#This Row],[Name (Cleaned)]],"")</f>
        <v>Preeti Chopra</v>
      </c>
      <c r="C67" s="16" t="str">
        <f>IFERROR(tblClean[[#This Row],[City/Region (Cleaned)]],"")</f>
        <v>Bangalore</v>
      </c>
      <c r="D67" s="16" t="str">
        <f>IFERROR(tblClean[[#This Row],[CustomerType]],"")</f>
        <v>Returning</v>
      </c>
      <c r="E67" s="16" t="str">
        <f>IFERROR(tblClean[[#This Row],[EngagementLevel]],"")</f>
        <v>Low</v>
      </c>
      <c r="F67" s="22">
        <f ca="1">IFERROR(TODAY()-'Raw Data'!M67,999)</f>
        <v>67</v>
      </c>
      <c r="G67" s="22">
        <f>IFERROR(COUNTIFS(tblTransactions[CustomerID],A67),0)</f>
        <v>15</v>
      </c>
      <c r="H67" s="22">
        <f>IFERROR(SUMIFS(tblTransactions[Amount (INR)],tblTransactions[CustomerID],A67),0)</f>
        <v>117430</v>
      </c>
      <c r="I67" s="16">
        <f t="shared" ref="I67:I98" ca="1" si="15">IFERROR(IF(F67&lt;=30,5,IF(F67&lt;=60,4,IF(F67&lt;=90,3,IF(F67&lt;=180,2,1)))),1)</f>
        <v>3</v>
      </c>
      <c r="J67" s="16">
        <f t="shared" ref="J67:J98" si="16">IFERROR(IF(G67&gt;=8,5,IF(G67&gt;=6,4,IF(G67&gt;=4,3,IF(G67&gt;=2,2,1)))),1)</f>
        <v>5</v>
      </c>
      <c r="K67" s="16">
        <f t="shared" ref="K67:K98" si="17">IFERROR(IF(H67&gt;=50000,5,IF(H67&gt;=30000,4,IF(H67&gt;=15000,3,IF(H67&gt;=5000,2,1)))),1)</f>
        <v>5</v>
      </c>
      <c r="L67" s="16" t="str">
        <f t="shared" ref="L67:L98" ca="1" si="18">IFERROR(TEXT(I67,"0")&amp;TEXT(J67,"0")&amp;TEXT(K67,"0"),"")</f>
        <v>355</v>
      </c>
      <c r="M67" s="16">
        <f>IFERROR(INDEX('Raw Data'!$X$3:$X$202,MATCH(A67,'Raw Data'!$W$3:$W$202,0)),"")</f>
        <v>5</v>
      </c>
      <c r="N67" s="16">
        <f>IFERROR(INDEX('Raw Data'!$Z$3:$Z$202,MATCH(A67,'Raw Data'!$W$3:$W$202,0)),"")</f>
        <v>8</v>
      </c>
      <c r="O67" s="16">
        <f t="shared" ref="O67:O98" si="19">IFERROR((IF(ISNUMBER(M67),M67,0)+IF(ISNUMBER(N67),N67/2,0))/MAX(1,(IF(ISNUMBER(M67),1,0)+IF(ISNUMBER(N67),1,0))),"")</f>
        <v>4.5</v>
      </c>
      <c r="P67" s="16" t="str">
        <f>IFERROR(tblClean[[#This Row],[AgeGroup]],"")</f>
        <v>25-39</v>
      </c>
      <c r="Q67" s="16" t="str">
        <f>IFERROR(tblClean[[#This Row],[IncomeBracket]],"")</f>
        <v>Mid</v>
      </c>
      <c r="R67" s="16" t="str">
        <f t="shared" ref="R67:R98" si="20">IFERROR(IF(E67="Low","LOW",IF(E67="Medium","MED","HIGH")),"N/A")</f>
        <v>LOW</v>
      </c>
      <c r="S67" s="16" t="str">
        <f t="shared" ref="S67:S98" si="21">IFERROR(IF(H67&gt;=50000,"Premium",IF(H67&gt;=15000,"Standard","Budget")),"N/A")</f>
        <v>Premium</v>
      </c>
      <c r="T67" s="18" t="str">
        <f t="shared" ca="1" si="7"/>
        <v>Loyal</v>
      </c>
      <c r="U67" s="18" t="str">
        <f>IFERROR(INDEX(tblTransactions[ProductCategory],MATCH(A67,tblTransactions[CustomerID],0)),"N/A")</f>
        <v>Grocery</v>
      </c>
    </row>
    <row r="68" spans="1:21" ht="15" customHeight="1" x14ac:dyDescent="0.3">
      <c r="A68" s="19" t="str">
        <f>IFERROR(tblClean[[#This Row],[CustomerID]],"")</f>
        <v>C0066</v>
      </c>
      <c r="B68" s="19" t="str">
        <f>IFERROR(tblClean[[#This Row],[Name (Cleaned)]],"")</f>
        <v>Nandini Reddy</v>
      </c>
      <c r="C68" s="19" t="str">
        <f>IFERROR(tblClean[[#This Row],[City/Region (Cleaned)]],"")</f>
        <v>Delhi</v>
      </c>
      <c r="D68" s="19" t="str">
        <f>IFERROR(tblClean[[#This Row],[CustomerType]],"")</f>
        <v>New</v>
      </c>
      <c r="E68" s="19" t="str">
        <f>IFERROR(tblClean[[#This Row],[EngagementLevel]],"")</f>
        <v>Medium</v>
      </c>
      <c r="F68" s="23">
        <f ca="1">IFERROR(TODAY()-'Raw Data'!M68,999)</f>
        <v>26</v>
      </c>
      <c r="G68" s="23">
        <f>IFERROR(COUNTIFS(tblTransactions[CustomerID],A68),0)</f>
        <v>1</v>
      </c>
      <c r="H68" s="23">
        <f>IFERROR(SUMIFS(tblTransactions[Amount (INR)],tblTransactions[CustomerID],A68),0)</f>
        <v>2200</v>
      </c>
      <c r="I68" s="19">
        <f t="shared" ca="1" si="15"/>
        <v>5</v>
      </c>
      <c r="J68" s="19">
        <f t="shared" si="16"/>
        <v>1</v>
      </c>
      <c r="K68" s="19">
        <f t="shared" si="17"/>
        <v>1</v>
      </c>
      <c r="L68" s="19" t="str">
        <f t="shared" ca="1" si="18"/>
        <v>511</v>
      </c>
      <c r="M68" s="19">
        <f>IFERROR(INDEX('Raw Data'!$X$3:$X$202,MATCH(A68,'Raw Data'!$W$3:$W$202,0)),"")</f>
        <v>3</v>
      </c>
      <c r="N68" s="19">
        <f>IFERROR(INDEX('Raw Data'!$Z$3:$Z$202,MATCH(A68,'Raw Data'!$W$3:$W$202,0)),"")</f>
        <v>7</v>
      </c>
      <c r="O68" s="19">
        <f t="shared" si="19"/>
        <v>3.25</v>
      </c>
      <c r="P68" s="19" t="str">
        <f>IFERROR(tblClean[[#This Row],[AgeGroup]],"")</f>
        <v>55+</v>
      </c>
      <c r="Q68" s="19" t="str">
        <f>IFERROR(tblClean[[#This Row],[IncomeBracket]],"")</f>
        <v>High</v>
      </c>
      <c r="R68" s="19" t="str">
        <f t="shared" si="20"/>
        <v>MED</v>
      </c>
      <c r="S68" s="19" t="str">
        <f t="shared" si="21"/>
        <v>Budget</v>
      </c>
      <c r="T68" s="18" t="str">
        <f t="shared" ref="T68:T131" ca="1" si="22">IFERROR(IF(L68="555","Loyal",IF(AND(ISNUMBER(O68),O68&gt;=4.5,G68&gt;=3),"Loyal",IF(H68&gt;=50000,"High Value",IF(AND(F68&gt;90,G68&lt;3),"At Risk",IF(AND(H68&lt;30000,G68&gt;=5),"Bargain Seeker","General"))))),"General")</f>
        <v>General</v>
      </c>
      <c r="U68" s="18" t="str">
        <f>IFERROR(INDEX(tblTransactions[ProductCategory],MATCH(A68,tblTransactions[CustomerID],0)),"N/A")</f>
        <v>Beauty</v>
      </c>
    </row>
    <row r="69" spans="1:21" ht="15" customHeight="1" x14ac:dyDescent="0.3">
      <c r="A69" s="16" t="str">
        <f>IFERROR(tblClean[[#This Row],[CustomerID]],"")</f>
        <v>C0067</v>
      </c>
      <c r="B69" s="16" t="str">
        <f>IFERROR(tblClean[[#This Row],[Name (Cleaned)]],"")</f>
        <v>Uma Iyer</v>
      </c>
      <c r="C69" s="16" t="str">
        <f>IFERROR(tblClean[[#This Row],[City/Region (Cleaned)]],"")</f>
        <v>Indore</v>
      </c>
      <c r="D69" s="16" t="str">
        <f>IFERROR(tblClean[[#This Row],[CustomerType]],"")</f>
        <v>Returning</v>
      </c>
      <c r="E69" s="16" t="str">
        <f>IFERROR(tblClean[[#This Row],[EngagementLevel]],"")</f>
        <v>Medium</v>
      </c>
      <c r="F69" s="22">
        <f ca="1">IFERROR(TODAY()-'Raw Data'!M69,999)</f>
        <v>28</v>
      </c>
      <c r="G69" s="22">
        <f>IFERROR(COUNTIFS(tblTransactions[CustomerID],A69),0)</f>
        <v>4</v>
      </c>
      <c r="H69" s="22">
        <f>IFERROR(SUMIFS(tblTransactions[Amount (INR)],tblTransactions[CustomerID],A69),0)</f>
        <v>15160</v>
      </c>
      <c r="I69" s="16">
        <f t="shared" ca="1" si="15"/>
        <v>5</v>
      </c>
      <c r="J69" s="16">
        <f t="shared" si="16"/>
        <v>3</v>
      </c>
      <c r="K69" s="16">
        <f t="shared" si="17"/>
        <v>3</v>
      </c>
      <c r="L69" s="16" t="str">
        <f t="shared" ca="1" si="18"/>
        <v>533</v>
      </c>
      <c r="M69" s="16">
        <f>IFERROR(INDEX('Raw Data'!$X$3:$X$202,MATCH(A69,'Raw Data'!$W$3:$W$202,0)),"")</f>
        <v>5</v>
      </c>
      <c r="N69" s="16">
        <f>IFERROR(INDEX('Raw Data'!$Z$3:$Z$202,MATCH(A69,'Raw Data'!$W$3:$W$202,0)),"")</f>
        <v>7</v>
      </c>
      <c r="O69" s="16">
        <f t="shared" si="19"/>
        <v>4.25</v>
      </c>
      <c r="P69" s="16" t="str">
        <f>IFERROR(tblClean[[#This Row],[AgeGroup]],"")</f>
        <v>40-54</v>
      </c>
      <c r="Q69" s="16" t="str">
        <f>IFERROR(tblClean[[#This Row],[IncomeBracket]],"")</f>
        <v>High</v>
      </c>
      <c r="R69" s="16" t="str">
        <f t="shared" si="20"/>
        <v>MED</v>
      </c>
      <c r="S69" s="16" t="str">
        <f t="shared" si="21"/>
        <v>Standard</v>
      </c>
      <c r="T69" s="18" t="str">
        <f t="shared" ca="1" si="22"/>
        <v>General</v>
      </c>
      <c r="U69" s="18" t="str">
        <f>IFERROR(INDEX(tblTransactions[ProductCategory],MATCH(A69,tblTransactions[CustomerID],0)),"N/A")</f>
        <v>Beauty</v>
      </c>
    </row>
    <row r="70" spans="1:21" ht="15" customHeight="1" x14ac:dyDescent="0.3">
      <c r="A70" s="19" t="str">
        <f>IFERROR(tblClean[[#This Row],[CustomerID]],"")</f>
        <v>C0068</v>
      </c>
      <c r="B70" s="19" t="str">
        <f>IFERROR(tblClean[[#This Row],[Name (Cleaned)]],"")</f>
        <v>Deepika Dubey</v>
      </c>
      <c r="C70" s="19" t="str">
        <f>IFERROR(tblClean[[#This Row],[City/Region (Cleaned)]],"")</f>
        <v>Delhi</v>
      </c>
      <c r="D70" s="19" t="str">
        <f>IFERROR(tblClean[[#This Row],[CustomerType]],"")</f>
        <v>Returning</v>
      </c>
      <c r="E70" s="19" t="str">
        <f>IFERROR(tblClean[[#This Row],[EngagementLevel]],"")</f>
        <v>High</v>
      </c>
      <c r="F70" s="23">
        <f ca="1">IFERROR(TODAY()-'Raw Data'!M70,999)</f>
        <v>152</v>
      </c>
      <c r="G70" s="23">
        <f>IFERROR(COUNTIFS(tblTransactions[CustomerID],A70),0)</f>
        <v>9</v>
      </c>
      <c r="H70" s="23">
        <f>IFERROR(SUMIFS(tblTransactions[Amount (INR)],tblTransactions[CustomerID],A70),0)</f>
        <v>47680</v>
      </c>
      <c r="I70" s="19">
        <f t="shared" ca="1" si="15"/>
        <v>2</v>
      </c>
      <c r="J70" s="19">
        <f t="shared" si="16"/>
        <v>5</v>
      </c>
      <c r="K70" s="19">
        <f t="shared" si="17"/>
        <v>4</v>
      </c>
      <c r="L70" s="19" t="str">
        <f t="shared" ca="1" si="18"/>
        <v>254</v>
      </c>
      <c r="M70" s="19">
        <f>IFERROR(INDEX('Raw Data'!$X$3:$X$202,MATCH(A70,'Raw Data'!$W$3:$W$202,0)),"")</f>
        <v>4</v>
      </c>
      <c r="N70" s="19">
        <f>IFERROR(INDEX('Raw Data'!$Z$3:$Z$202,MATCH(A70,'Raw Data'!$W$3:$W$202,0)),"")</f>
        <v>7</v>
      </c>
      <c r="O70" s="19">
        <f t="shared" si="19"/>
        <v>3.75</v>
      </c>
      <c r="P70" s="19" t="str">
        <f>IFERROR(tblClean[[#This Row],[AgeGroup]],"")</f>
        <v>40-54</v>
      </c>
      <c r="Q70" s="19" t="str">
        <f>IFERROR(tblClean[[#This Row],[IncomeBracket]],"")</f>
        <v>Mid</v>
      </c>
      <c r="R70" s="19" t="str">
        <f t="shared" si="20"/>
        <v>HIGH</v>
      </c>
      <c r="S70" s="19" t="str">
        <f t="shared" si="21"/>
        <v>Standard</v>
      </c>
      <c r="T70" s="18" t="str">
        <f t="shared" ca="1" si="22"/>
        <v>General</v>
      </c>
      <c r="U70" s="18" t="str">
        <f>IFERROR(INDEX(tblTransactions[ProductCategory],MATCH(A70,tblTransactions[CustomerID],0)),"N/A")</f>
        <v>Clothing</v>
      </c>
    </row>
    <row r="71" spans="1:21" ht="15" customHeight="1" x14ac:dyDescent="0.3">
      <c r="A71" s="16" t="str">
        <f>IFERROR(tblClean[[#This Row],[CustomerID]],"")</f>
        <v>C0069</v>
      </c>
      <c r="B71" s="16" t="str">
        <f>IFERROR(tblClean[[#This Row],[Name (Cleaned)]],"")</f>
        <v>Pallavi Pandey</v>
      </c>
      <c r="C71" s="16" t="str">
        <f>IFERROR(tblClean[[#This Row],[City/Region (Cleaned)]],"")</f>
        <v>Delhi</v>
      </c>
      <c r="D71" s="16" t="str">
        <f>IFERROR(tblClean[[#This Row],[CustomerType]],"")</f>
        <v>New</v>
      </c>
      <c r="E71" s="16" t="str">
        <f>IFERROR(tblClean[[#This Row],[EngagementLevel]],"")</f>
        <v>Medium</v>
      </c>
      <c r="F71" s="22">
        <f ca="1">IFERROR(TODAY()-'Raw Data'!M71,999)</f>
        <v>69</v>
      </c>
      <c r="G71" s="22">
        <f>IFERROR(COUNTIFS(tblTransactions[CustomerID],A71),0)</f>
        <v>1</v>
      </c>
      <c r="H71" s="22">
        <f>IFERROR(SUMIFS(tblTransactions[Amount (INR)],tblTransactions[CustomerID],A71),0)</f>
        <v>3190</v>
      </c>
      <c r="I71" s="16">
        <f t="shared" ca="1" si="15"/>
        <v>3</v>
      </c>
      <c r="J71" s="16">
        <f t="shared" si="16"/>
        <v>1</v>
      </c>
      <c r="K71" s="16">
        <f t="shared" si="17"/>
        <v>1</v>
      </c>
      <c r="L71" s="16" t="str">
        <f t="shared" ca="1" si="18"/>
        <v>311</v>
      </c>
      <c r="M71" s="16">
        <f>IFERROR(INDEX('Raw Data'!$X$3:$X$202,MATCH(A71,'Raw Data'!$W$3:$W$202,0)),"")</f>
        <v>5</v>
      </c>
      <c r="N71" s="16">
        <f>IFERROR(INDEX('Raw Data'!$Z$3:$Z$202,MATCH(A71,'Raw Data'!$W$3:$W$202,0)),"")</f>
        <v>9</v>
      </c>
      <c r="O71" s="16">
        <f t="shared" si="19"/>
        <v>4.75</v>
      </c>
      <c r="P71" s="16" t="str">
        <f>IFERROR(tblClean[[#This Row],[AgeGroup]],"")</f>
        <v>40-54</v>
      </c>
      <c r="Q71" s="16" t="str">
        <f>IFERROR(tblClean[[#This Row],[IncomeBracket]],"")</f>
        <v>High</v>
      </c>
      <c r="R71" s="16" t="str">
        <f t="shared" si="20"/>
        <v>MED</v>
      </c>
      <c r="S71" s="16" t="str">
        <f t="shared" si="21"/>
        <v>Budget</v>
      </c>
      <c r="T71" s="18" t="str">
        <f t="shared" ca="1" si="22"/>
        <v>General</v>
      </c>
      <c r="U71" s="18" t="str">
        <f>IFERROR(INDEX(tblTransactions[ProductCategory],MATCH(A71,tblTransactions[CustomerID],0)),"N/A")</f>
        <v>Home Decor</v>
      </c>
    </row>
    <row r="72" spans="1:21" ht="15" customHeight="1" x14ac:dyDescent="0.3">
      <c r="A72" s="19" t="str">
        <f>IFERROR(tblClean[[#This Row],[CustomerID]],"")</f>
        <v>C0070</v>
      </c>
      <c r="B72" s="19" t="str">
        <f>IFERROR(tblClean[[#This Row],[Name (Cleaned)]],"")</f>
        <v>Sonia Bhatia</v>
      </c>
      <c r="C72" s="19" t="str">
        <f>IFERROR(tblClean[[#This Row],[City/Region (Cleaned)]],"")</f>
        <v>Mumbai</v>
      </c>
      <c r="D72" s="19" t="str">
        <f>IFERROR(tblClean[[#This Row],[CustomerType]],"")</f>
        <v>New</v>
      </c>
      <c r="E72" s="19" t="str">
        <f>IFERROR(tblClean[[#This Row],[EngagementLevel]],"")</f>
        <v>High</v>
      </c>
      <c r="F72" s="23">
        <f ca="1">IFERROR(TODAY()-'Raw Data'!M72,999)</f>
        <v>67</v>
      </c>
      <c r="G72" s="23">
        <f>IFERROR(COUNTIFS(tblTransactions[CustomerID],A72),0)</f>
        <v>1</v>
      </c>
      <c r="H72" s="23">
        <f>IFERROR(SUMIFS(tblTransactions[Amount (INR)],tblTransactions[CustomerID],A72),0)</f>
        <v>2640</v>
      </c>
      <c r="I72" s="19">
        <f t="shared" ca="1" si="15"/>
        <v>3</v>
      </c>
      <c r="J72" s="19">
        <f t="shared" si="16"/>
        <v>1</v>
      </c>
      <c r="K72" s="19">
        <f t="shared" si="17"/>
        <v>1</v>
      </c>
      <c r="L72" s="19" t="str">
        <f t="shared" ca="1" si="18"/>
        <v>311</v>
      </c>
      <c r="M72" s="19">
        <f>IFERROR(INDEX('Raw Data'!$X$3:$X$202,MATCH(A72,'Raw Data'!$W$3:$W$202,0)),"")</f>
        <v>5</v>
      </c>
      <c r="N72" s="19">
        <f>IFERROR(INDEX('Raw Data'!$Z$3:$Z$202,MATCH(A72,'Raw Data'!$W$3:$W$202,0)),"")</f>
        <v>6</v>
      </c>
      <c r="O72" s="19">
        <f t="shared" si="19"/>
        <v>4</v>
      </c>
      <c r="P72" s="19" t="str">
        <f>IFERROR(tblClean[[#This Row],[AgeGroup]],"")</f>
        <v>25-39</v>
      </c>
      <c r="Q72" s="19" t="str">
        <f>IFERROR(tblClean[[#This Row],[IncomeBracket]],"")</f>
        <v>Mid</v>
      </c>
      <c r="R72" s="19" t="str">
        <f t="shared" si="20"/>
        <v>HIGH</v>
      </c>
      <c r="S72" s="19" t="str">
        <f t="shared" si="21"/>
        <v>Budget</v>
      </c>
      <c r="T72" s="18" t="str">
        <f t="shared" ca="1" si="22"/>
        <v>General</v>
      </c>
      <c r="U72" s="18" t="str">
        <f>IFERROR(INDEX(tblTransactions[ProductCategory],MATCH(A72,tblTransactions[CustomerID],0)),"N/A")</f>
        <v>Grocery</v>
      </c>
    </row>
    <row r="73" spans="1:21" ht="15" customHeight="1" x14ac:dyDescent="0.3">
      <c r="A73" s="16" t="str">
        <f>IFERROR(tblClean[[#This Row],[CustomerID]],"")</f>
        <v>C0071</v>
      </c>
      <c r="B73" s="16" t="str">
        <f>IFERROR(tblClean[[#This Row],[Name (Cleaned)]],"")</f>
        <v>Geeta Rao</v>
      </c>
      <c r="C73" s="16" t="str">
        <f>IFERROR(tblClean[[#This Row],[City/Region (Cleaned)]],"")</f>
        <v>Ahmedabad</v>
      </c>
      <c r="D73" s="16" t="str">
        <f>IFERROR(tblClean[[#This Row],[CustomerType]],"")</f>
        <v>Returning</v>
      </c>
      <c r="E73" s="16" t="str">
        <f>IFERROR(tblClean[[#This Row],[EngagementLevel]],"")</f>
        <v>High</v>
      </c>
      <c r="F73" s="22">
        <f ca="1">IFERROR(TODAY()-'Raw Data'!M73,999)</f>
        <v>40</v>
      </c>
      <c r="G73" s="22">
        <f>IFERROR(COUNTIFS(tblTransactions[CustomerID],A73),0)</f>
        <v>10</v>
      </c>
      <c r="H73" s="22">
        <f>IFERROR(SUMIFS(tblTransactions[Amount (INR)],tblTransactions[CustomerID],A73),0)</f>
        <v>73450</v>
      </c>
      <c r="I73" s="16">
        <f t="shared" ca="1" si="15"/>
        <v>4</v>
      </c>
      <c r="J73" s="16">
        <f t="shared" si="16"/>
        <v>5</v>
      </c>
      <c r="K73" s="16">
        <f t="shared" si="17"/>
        <v>5</v>
      </c>
      <c r="L73" s="16" t="str">
        <f t="shared" ca="1" si="18"/>
        <v>455</v>
      </c>
      <c r="M73" s="16">
        <f>IFERROR(INDEX('Raw Data'!$X$3:$X$202,MATCH(A73,'Raw Data'!$W$3:$W$202,0)),"")</f>
        <v>3</v>
      </c>
      <c r="N73" s="16">
        <f>IFERROR(INDEX('Raw Data'!$Z$3:$Z$202,MATCH(A73,'Raw Data'!$W$3:$W$202,0)),"")</f>
        <v>7</v>
      </c>
      <c r="O73" s="16">
        <f t="shared" si="19"/>
        <v>3.25</v>
      </c>
      <c r="P73" s="16" t="str">
        <f>IFERROR(tblClean[[#This Row],[AgeGroup]],"")</f>
        <v>40-54</v>
      </c>
      <c r="Q73" s="16" t="str">
        <f>IFERROR(tblClean[[#This Row],[IncomeBracket]],"")</f>
        <v>High</v>
      </c>
      <c r="R73" s="16" t="str">
        <f t="shared" si="20"/>
        <v>HIGH</v>
      </c>
      <c r="S73" s="16" t="str">
        <f t="shared" si="21"/>
        <v>Premium</v>
      </c>
      <c r="T73" s="18" t="str">
        <f t="shared" ca="1" si="22"/>
        <v>High Value</v>
      </c>
      <c r="U73" s="18" t="str">
        <f>IFERROR(INDEX(tblTransactions[ProductCategory],MATCH(A73,tblTransactions[CustomerID],0)),"N/A")</f>
        <v>Beauty</v>
      </c>
    </row>
    <row r="74" spans="1:21" ht="15" customHeight="1" x14ac:dyDescent="0.3">
      <c r="A74" s="19" t="str">
        <f>IFERROR(tblClean[[#This Row],[CustomerID]],"")</f>
        <v>C0072</v>
      </c>
      <c r="B74" s="19" t="str">
        <f>IFERROR(tblClean[[#This Row],[Name (Cleaned)]],"")</f>
        <v>Shruti Malhotra</v>
      </c>
      <c r="C74" s="19" t="str">
        <f>IFERROR(tblClean[[#This Row],[City/Region (Cleaned)]],"")</f>
        <v>Bangalore</v>
      </c>
      <c r="D74" s="19" t="str">
        <f>IFERROR(tblClean[[#This Row],[CustomerType]],"")</f>
        <v>Returning</v>
      </c>
      <c r="E74" s="19" t="str">
        <f>IFERROR(tblClean[[#This Row],[EngagementLevel]],"")</f>
        <v>Low</v>
      </c>
      <c r="F74" s="23">
        <f ca="1">IFERROR(TODAY()-'Raw Data'!M74,999)</f>
        <v>71</v>
      </c>
      <c r="G74" s="23">
        <f>IFERROR(COUNTIFS(tblTransactions[CustomerID],A74),0)</f>
        <v>1</v>
      </c>
      <c r="H74" s="23">
        <f>IFERROR(SUMIFS(tblTransactions[Amount (INR)],tblTransactions[CustomerID],A74),0)</f>
        <v>2720</v>
      </c>
      <c r="I74" s="19">
        <f t="shared" ca="1" si="15"/>
        <v>3</v>
      </c>
      <c r="J74" s="19">
        <f t="shared" si="16"/>
        <v>1</v>
      </c>
      <c r="K74" s="19">
        <f t="shared" si="17"/>
        <v>1</v>
      </c>
      <c r="L74" s="19" t="str">
        <f t="shared" ca="1" si="18"/>
        <v>311</v>
      </c>
      <c r="M74" s="19">
        <f>IFERROR(INDEX('Raw Data'!$X$3:$X$202,MATCH(A74,'Raw Data'!$W$3:$W$202,0)),"")</f>
        <v>3</v>
      </c>
      <c r="N74" s="19">
        <f>IFERROR(INDEX('Raw Data'!$Z$3:$Z$202,MATCH(A74,'Raw Data'!$W$3:$W$202,0)),"")</f>
        <v>8</v>
      </c>
      <c r="O74" s="19">
        <f t="shared" si="19"/>
        <v>3.5</v>
      </c>
      <c r="P74" s="19" t="str">
        <f>IFERROR(tblClean[[#This Row],[AgeGroup]],"")</f>
        <v>55+</v>
      </c>
      <c r="Q74" s="19" t="str">
        <f>IFERROR(tblClean[[#This Row],[IncomeBracket]],"")</f>
        <v>High</v>
      </c>
      <c r="R74" s="19" t="str">
        <f t="shared" si="20"/>
        <v>LOW</v>
      </c>
      <c r="S74" s="19" t="str">
        <f t="shared" si="21"/>
        <v>Budget</v>
      </c>
      <c r="T74" s="18" t="str">
        <f t="shared" ca="1" si="22"/>
        <v>General</v>
      </c>
      <c r="U74" s="18" t="str">
        <f>IFERROR(INDEX(tblTransactions[ProductCategory],MATCH(A74,tblTransactions[CustomerID],0)),"N/A")</f>
        <v>Electronics</v>
      </c>
    </row>
    <row r="75" spans="1:21" ht="15" customHeight="1" x14ac:dyDescent="0.3">
      <c r="A75" s="16" t="str">
        <f>IFERROR(tblClean[[#This Row],[CustomerID]],"")</f>
        <v>C0073</v>
      </c>
      <c r="B75" s="16" t="str">
        <f>IFERROR(tblClean[[#This Row],[Name (Cleaned)]],"")</f>
        <v>Lakshmi Menon</v>
      </c>
      <c r="C75" s="16" t="str">
        <f>IFERROR(tblClean[[#This Row],[City/Region (Cleaned)]],"")</f>
        <v>Pune</v>
      </c>
      <c r="D75" s="16" t="str">
        <f>IFERROR(tblClean[[#This Row],[CustomerType]],"")</f>
        <v>New</v>
      </c>
      <c r="E75" s="16" t="str">
        <f>IFERROR(tblClean[[#This Row],[EngagementLevel]],"")</f>
        <v>Medium</v>
      </c>
      <c r="F75" s="22">
        <f ca="1">IFERROR(TODAY()-'Raw Data'!M75,999)</f>
        <v>21</v>
      </c>
      <c r="G75" s="22">
        <f>IFERROR(COUNTIFS(tblTransactions[CustomerID],A75),0)</f>
        <v>1</v>
      </c>
      <c r="H75" s="22">
        <f>IFERROR(SUMIFS(tblTransactions[Amount (INR)],tblTransactions[CustomerID],A75),0)</f>
        <v>4680</v>
      </c>
      <c r="I75" s="16">
        <f t="shared" ca="1" si="15"/>
        <v>5</v>
      </c>
      <c r="J75" s="16">
        <f t="shared" si="16"/>
        <v>1</v>
      </c>
      <c r="K75" s="16">
        <f t="shared" si="17"/>
        <v>1</v>
      </c>
      <c r="L75" s="16" t="str">
        <f t="shared" ca="1" si="18"/>
        <v>511</v>
      </c>
      <c r="M75" s="16">
        <f>IFERROR(INDEX('Raw Data'!$X$3:$X$202,MATCH(A75,'Raw Data'!$W$3:$W$202,0)),"")</f>
        <v>2</v>
      </c>
      <c r="N75" s="16">
        <f>IFERROR(INDEX('Raw Data'!$Z$3:$Z$202,MATCH(A75,'Raw Data'!$W$3:$W$202,0)),"")</f>
        <v>7</v>
      </c>
      <c r="O75" s="16">
        <f t="shared" si="19"/>
        <v>2.75</v>
      </c>
      <c r="P75" s="16" t="str">
        <f>IFERROR(tblClean[[#This Row],[AgeGroup]],"")</f>
        <v>25-39</v>
      </c>
      <c r="Q75" s="16" t="str">
        <f>IFERROR(tblClean[[#This Row],[IncomeBracket]],"")</f>
        <v>Mid</v>
      </c>
      <c r="R75" s="16" t="str">
        <f t="shared" si="20"/>
        <v>MED</v>
      </c>
      <c r="S75" s="16" t="str">
        <f t="shared" si="21"/>
        <v>Budget</v>
      </c>
      <c r="T75" s="18" t="str">
        <f t="shared" ca="1" si="22"/>
        <v>General</v>
      </c>
      <c r="U75" s="18" t="str">
        <f>IFERROR(INDEX(tblTransactions[ProductCategory],MATCH(A75,tblTransactions[CustomerID],0)),"N/A")</f>
        <v>Grocery</v>
      </c>
    </row>
    <row r="76" spans="1:21" ht="15" customHeight="1" x14ac:dyDescent="0.3">
      <c r="A76" s="19" t="str">
        <f>IFERROR(tblClean[[#This Row],[CustomerID]],"")</f>
        <v>C0074</v>
      </c>
      <c r="B76" s="19" t="str">
        <f>IFERROR(tblClean[[#This Row],[Name (Cleaned)]],"")</f>
        <v>Radha Pillai</v>
      </c>
      <c r="C76" s="19" t="str">
        <f>IFERROR(tblClean[[#This Row],[City/Region (Cleaned)]],"")</f>
        <v>Bhubaneswar</v>
      </c>
      <c r="D76" s="19" t="str">
        <f>IFERROR(tblClean[[#This Row],[CustomerType]],"")</f>
        <v>New</v>
      </c>
      <c r="E76" s="19" t="str">
        <f>IFERROR(tblClean[[#This Row],[EngagementLevel]],"")</f>
        <v>Medium</v>
      </c>
      <c r="F76" s="23">
        <f ca="1">IFERROR(TODAY()-'Raw Data'!M76,999)</f>
        <v>307</v>
      </c>
      <c r="G76" s="23">
        <f>IFERROR(COUNTIFS(tblTransactions[CustomerID],A76),0)</f>
        <v>1</v>
      </c>
      <c r="H76" s="23">
        <f>IFERROR(SUMIFS(tblTransactions[Amount (INR)],tblTransactions[CustomerID],A76),0)</f>
        <v>6490</v>
      </c>
      <c r="I76" s="19">
        <f t="shared" ca="1" si="15"/>
        <v>1</v>
      </c>
      <c r="J76" s="19">
        <f t="shared" si="16"/>
        <v>1</v>
      </c>
      <c r="K76" s="19">
        <f t="shared" si="17"/>
        <v>2</v>
      </c>
      <c r="L76" s="19" t="str">
        <f t="shared" ca="1" si="18"/>
        <v>112</v>
      </c>
      <c r="M76" s="19">
        <f>IFERROR(INDEX('Raw Data'!$X$3:$X$202,MATCH(A76,'Raw Data'!$W$3:$W$202,0)),"")</f>
        <v>3</v>
      </c>
      <c r="N76" s="19">
        <f>IFERROR(INDEX('Raw Data'!$Z$3:$Z$202,MATCH(A76,'Raw Data'!$W$3:$W$202,0)),"")</f>
        <v>6</v>
      </c>
      <c r="O76" s="19">
        <f t="shared" si="19"/>
        <v>3</v>
      </c>
      <c r="P76" s="19" t="str">
        <f>IFERROR(tblClean[[#This Row],[AgeGroup]],"")</f>
        <v>25-39</v>
      </c>
      <c r="Q76" s="19" t="str">
        <f>IFERROR(tblClean[[#This Row],[IncomeBracket]],"")</f>
        <v>High</v>
      </c>
      <c r="R76" s="19" t="str">
        <f t="shared" si="20"/>
        <v>MED</v>
      </c>
      <c r="S76" s="19" t="str">
        <f t="shared" si="21"/>
        <v>Budget</v>
      </c>
      <c r="T76" s="18" t="str">
        <f t="shared" ca="1" si="22"/>
        <v>At Risk</v>
      </c>
      <c r="U76" s="18" t="str">
        <f>IFERROR(INDEX(tblTransactions[ProductCategory],MATCH(A76,tblTransactions[CustomerID],0)),"N/A")</f>
        <v>Electronics</v>
      </c>
    </row>
    <row r="77" spans="1:21" ht="15" customHeight="1" x14ac:dyDescent="0.3">
      <c r="A77" s="16" t="str">
        <f>IFERROR(tblClean[[#This Row],[CustomerID]],"")</f>
        <v>C0075</v>
      </c>
      <c r="B77" s="16" t="str">
        <f>IFERROR(tblClean[[#This Row],[Name (Cleaned)]],"")</f>
        <v>Madhuri Srivastava</v>
      </c>
      <c r="C77" s="16" t="str">
        <f>IFERROR(tblClean[[#This Row],[City/Region (Cleaned)]],"")</f>
        <v>Nagpur</v>
      </c>
      <c r="D77" s="16" t="str">
        <f>IFERROR(tblClean[[#This Row],[CustomerType]],"")</f>
        <v>Returning</v>
      </c>
      <c r="E77" s="16" t="str">
        <f>IFERROR(tblClean[[#This Row],[EngagementLevel]],"")</f>
        <v>Low</v>
      </c>
      <c r="F77" s="22">
        <f ca="1">IFERROR(TODAY()-'Raw Data'!M77,999)</f>
        <v>134</v>
      </c>
      <c r="G77" s="22">
        <f>IFERROR(COUNTIFS(tblTransactions[CustomerID],A77),0)</f>
        <v>3</v>
      </c>
      <c r="H77" s="22">
        <f>IFERROR(SUMIFS(tblTransactions[Amount (INR)],tblTransactions[CustomerID],A77),0)</f>
        <v>5110</v>
      </c>
      <c r="I77" s="16">
        <f t="shared" ca="1" si="15"/>
        <v>2</v>
      </c>
      <c r="J77" s="16">
        <f t="shared" si="16"/>
        <v>2</v>
      </c>
      <c r="K77" s="16">
        <f t="shared" si="17"/>
        <v>2</v>
      </c>
      <c r="L77" s="16" t="str">
        <f t="shared" ca="1" si="18"/>
        <v>222</v>
      </c>
      <c r="M77" s="16">
        <f>IFERROR(INDEX('Raw Data'!$X$3:$X$202,MATCH(A77,'Raw Data'!$W$3:$W$202,0)),"")</f>
        <v>3</v>
      </c>
      <c r="N77" s="16">
        <f>IFERROR(INDEX('Raw Data'!$Z$3:$Z$202,MATCH(A77,'Raw Data'!$W$3:$W$202,0)),"")</f>
        <v>6</v>
      </c>
      <c r="O77" s="16">
        <f t="shared" si="19"/>
        <v>3</v>
      </c>
      <c r="P77" s="16" t="str">
        <f>IFERROR(tblClean[[#This Row],[AgeGroup]],"")</f>
        <v>25-39</v>
      </c>
      <c r="Q77" s="16" t="str">
        <f>IFERROR(tblClean[[#This Row],[IncomeBracket]],"")</f>
        <v>High</v>
      </c>
      <c r="R77" s="16" t="str">
        <f t="shared" si="20"/>
        <v>LOW</v>
      </c>
      <c r="S77" s="16" t="str">
        <f t="shared" si="21"/>
        <v>Budget</v>
      </c>
      <c r="T77" s="18" t="str">
        <f t="shared" ca="1" si="22"/>
        <v>General</v>
      </c>
      <c r="U77" s="18" t="str">
        <f>IFERROR(INDEX(tblTransactions[ProductCategory],MATCH(A77,tblTransactions[CustomerID],0)),"N/A")</f>
        <v>Grocery</v>
      </c>
    </row>
    <row r="78" spans="1:21" ht="15" customHeight="1" x14ac:dyDescent="0.3">
      <c r="A78" s="19" t="str">
        <f>IFERROR(tblClean[[#This Row],[CustomerID]],"")</f>
        <v>C0076</v>
      </c>
      <c r="B78" s="19" t="str">
        <f>IFERROR(tblClean[[#This Row],[Name (Cleaned)]],"")</f>
        <v>Bindu Thakur</v>
      </c>
      <c r="C78" s="19" t="str">
        <f>IFERROR(tblClean[[#This Row],[City/Region (Cleaned)]],"")</f>
        <v>Pune</v>
      </c>
      <c r="D78" s="19" t="str">
        <f>IFERROR(tblClean[[#This Row],[CustomerType]],"")</f>
        <v>Returning</v>
      </c>
      <c r="E78" s="19" t="str">
        <f>IFERROR(tblClean[[#This Row],[EngagementLevel]],"")</f>
        <v>Low</v>
      </c>
      <c r="F78" s="23">
        <f ca="1">IFERROR(TODAY()-'Raw Data'!M78,999)</f>
        <v>98</v>
      </c>
      <c r="G78" s="23">
        <f>IFERROR(COUNTIFS(tblTransactions[CustomerID],A78),0)</f>
        <v>3</v>
      </c>
      <c r="H78" s="23">
        <f>IFERROR(SUMIFS(tblTransactions[Amount (INR)],tblTransactions[CustomerID],A78),0)</f>
        <v>10730</v>
      </c>
      <c r="I78" s="19">
        <f t="shared" ca="1" si="15"/>
        <v>2</v>
      </c>
      <c r="J78" s="19">
        <f t="shared" si="16"/>
        <v>2</v>
      </c>
      <c r="K78" s="19">
        <f t="shared" si="17"/>
        <v>2</v>
      </c>
      <c r="L78" s="19" t="str">
        <f t="shared" ca="1" si="18"/>
        <v>222</v>
      </c>
      <c r="M78" s="19">
        <f>IFERROR(INDEX('Raw Data'!$X$3:$X$202,MATCH(A78,'Raw Data'!$W$3:$W$202,0)),"")</f>
        <v>3</v>
      </c>
      <c r="N78" s="19">
        <f>IFERROR(INDEX('Raw Data'!$Z$3:$Z$202,MATCH(A78,'Raw Data'!$W$3:$W$202,0)),"")</f>
        <v>4</v>
      </c>
      <c r="O78" s="19">
        <f t="shared" si="19"/>
        <v>2.5</v>
      </c>
      <c r="P78" s="19" t="str">
        <f>IFERROR(tblClean[[#This Row],[AgeGroup]],"")</f>
        <v>55+</v>
      </c>
      <c r="Q78" s="19" t="str">
        <f>IFERROR(tblClean[[#This Row],[IncomeBracket]],"")</f>
        <v>Mid</v>
      </c>
      <c r="R78" s="19" t="str">
        <f t="shared" si="20"/>
        <v>LOW</v>
      </c>
      <c r="S78" s="19" t="str">
        <f t="shared" si="21"/>
        <v>Budget</v>
      </c>
      <c r="T78" s="18" t="str">
        <f t="shared" ca="1" si="22"/>
        <v>General</v>
      </c>
      <c r="U78" s="18" t="str">
        <f>IFERROR(INDEX(tblTransactions[ProductCategory],MATCH(A78,tblTransactions[CustomerID],0)),"N/A")</f>
        <v>Beauty</v>
      </c>
    </row>
    <row r="79" spans="1:21" ht="15" customHeight="1" x14ac:dyDescent="0.3">
      <c r="A79" s="16" t="str">
        <f>IFERROR(tblClean[[#This Row],[CustomerID]],"")</f>
        <v>C0077</v>
      </c>
      <c r="B79" s="16" t="str">
        <f>IFERROR(tblClean[[#This Row],[Name (Cleaned)]],"")</f>
        <v>Kamala Bansal</v>
      </c>
      <c r="C79" s="16" t="str">
        <f>IFERROR(tblClean[[#This Row],[City/Region (Cleaned)]],"")</f>
        <v>Chandigarh</v>
      </c>
      <c r="D79" s="16" t="str">
        <f>IFERROR(tblClean[[#This Row],[CustomerType]],"")</f>
        <v>Returning</v>
      </c>
      <c r="E79" s="16" t="str">
        <f>IFERROR(tblClean[[#This Row],[EngagementLevel]],"")</f>
        <v>Low</v>
      </c>
      <c r="F79" s="22">
        <f ca="1">IFERROR(TODAY()-'Raw Data'!M79,999)</f>
        <v>65</v>
      </c>
      <c r="G79" s="22">
        <f>IFERROR(COUNTIFS(tblTransactions[CustomerID],A79),0)</f>
        <v>1</v>
      </c>
      <c r="H79" s="22">
        <f>IFERROR(SUMIFS(tblTransactions[Amount (INR)],tblTransactions[CustomerID],A79),0)</f>
        <v>4870</v>
      </c>
      <c r="I79" s="16">
        <f t="shared" ca="1" si="15"/>
        <v>3</v>
      </c>
      <c r="J79" s="16">
        <f t="shared" si="16"/>
        <v>1</v>
      </c>
      <c r="K79" s="16">
        <f t="shared" si="17"/>
        <v>1</v>
      </c>
      <c r="L79" s="16" t="str">
        <f t="shared" ca="1" si="18"/>
        <v>311</v>
      </c>
      <c r="M79" s="16">
        <f>IFERROR(INDEX('Raw Data'!$X$3:$X$202,MATCH(A79,'Raw Data'!$W$3:$W$202,0)),"")</f>
        <v>3</v>
      </c>
      <c r="N79" s="16">
        <f>IFERROR(INDEX('Raw Data'!$Z$3:$Z$202,MATCH(A79,'Raw Data'!$W$3:$W$202,0)),"")</f>
        <v>7</v>
      </c>
      <c r="O79" s="16">
        <f t="shared" si="19"/>
        <v>3.25</v>
      </c>
      <c r="P79" s="16" t="str">
        <f>IFERROR(tblClean[[#This Row],[AgeGroup]],"")</f>
        <v>&lt;25</v>
      </c>
      <c r="Q79" s="16" t="str">
        <f>IFERROR(tblClean[[#This Row],[IncomeBracket]],"")</f>
        <v>High</v>
      </c>
      <c r="R79" s="16" t="str">
        <f t="shared" si="20"/>
        <v>LOW</v>
      </c>
      <c r="S79" s="16" t="str">
        <f t="shared" si="21"/>
        <v>Budget</v>
      </c>
      <c r="T79" s="18" t="str">
        <f t="shared" ca="1" si="22"/>
        <v>General</v>
      </c>
      <c r="U79" s="18" t="str">
        <f>IFERROR(INDEX(tblTransactions[ProductCategory],MATCH(A79,tblTransactions[CustomerID],0)),"N/A")</f>
        <v>Home Decor</v>
      </c>
    </row>
    <row r="80" spans="1:21" ht="15" customHeight="1" x14ac:dyDescent="0.3">
      <c r="A80" s="19" t="str">
        <f>IFERROR(tblClean[[#This Row],[CustomerID]],"")</f>
        <v>C0078</v>
      </c>
      <c r="B80" s="19" t="str">
        <f>IFERROR(tblClean[[#This Row],[Name (Cleaned)]],"")</f>
        <v>Seema Agarwal</v>
      </c>
      <c r="C80" s="19" t="str">
        <f>IFERROR(tblClean[[#This Row],[City/Region (Cleaned)]],"")</f>
        <v>Noida</v>
      </c>
      <c r="D80" s="19" t="str">
        <f>IFERROR(tblClean[[#This Row],[CustomerType]],"")</f>
        <v>Returning</v>
      </c>
      <c r="E80" s="19" t="str">
        <f>IFERROR(tblClean[[#This Row],[EngagementLevel]],"")</f>
        <v>Medium</v>
      </c>
      <c r="F80" s="23">
        <f ca="1">IFERROR(TODAY()-'Raw Data'!M80,999)</f>
        <v>109</v>
      </c>
      <c r="G80" s="23">
        <f>IFERROR(COUNTIFS(tblTransactions[CustomerID],A80),0)</f>
        <v>13</v>
      </c>
      <c r="H80" s="23">
        <f>IFERROR(SUMIFS(tblTransactions[Amount (INR)],tblTransactions[CustomerID],A80),0)</f>
        <v>85460</v>
      </c>
      <c r="I80" s="19">
        <f t="shared" ca="1" si="15"/>
        <v>2</v>
      </c>
      <c r="J80" s="19">
        <f t="shared" si="16"/>
        <v>5</v>
      </c>
      <c r="K80" s="19">
        <f t="shared" si="17"/>
        <v>5</v>
      </c>
      <c r="L80" s="19" t="str">
        <f t="shared" ca="1" si="18"/>
        <v>255</v>
      </c>
      <c r="M80" s="19">
        <f>IFERROR(INDEX('Raw Data'!$X$3:$X$202,MATCH(A80,'Raw Data'!$W$3:$W$202,0)),"")</f>
        <v>4</v>
      </c>
      <c r="N80" s="19">
        <f>IFERROR(INDEX('Raw Data'!$Z$3:$Z$202,MATCH(A80,'Raw Data'!$W$3:$W$202,0)),"")</f>
        <v>7</v>
      </c>
      <c r="O80" s="19">
        <f t="shared" si="19"/>
        <v>3.75</v>
      </c>
      <c r="P80" s="19" t="str">
        <f>IFERROR(tblClean[[#This Row],[AgeGroup]],"")</f>
        <v>40-54</v>
      </c>
      <c r="Q80" s="19" t="str">
        <f>IFERROR(tblClean[[#This Row],[IncomeBracket]],"")</f>
        <v>High</v>
      </c>
      <c r="R80" s="19" t="str">
        <f t="shared" si="20"/>
        <v>MED</v>
      </c>
      <c r="S80" s="19" t="str">
        <f t="shared" si="21"/>
        <v>Premium</v>
      </c>
      <c r="T80" s="18" t="str">
        <f t="shared" ca="1" si="22"/>
        <v>High Value</v>
      </c>
      <c r="U80" s="18" t="str">
        <f>IFERROR(INDEX(tblTransactions[ProductCategory],MATCH(A80,tblTransactions[CustomerID],0)),"N/A")</f>
        <v>Clothing</v>
      </c>
    </row>
    <row r="81" spans="1:21" ht="15" customHeight="1" x14ac:dyDescent="0.3">
      <c r="A81" s="16" t="str">
        <f>IFERROR(tblClean[[#This Row],[CustomerID]],"")</f>
        <v>C0079</v>
      </c>
      <c r="B81" s="16" t="str">
        <f>IFERROR(tblClean[[#This Row],[Name (Cleaned)]],"")</f>
        <v>Asha Dixit</v>
      </c>
      <c r="C81" s="16" t="str">
        <f>IFERROR(tblClean[[#This Row],[City/Region (Cleaned)]],"")</f>
        <v>Bhubaneswar</v>
      </c>
      <c r="D81" s="16" t="str">
        <f>IFERROR(tblClean[[#This Row],[CustomerType]],"")</f>
        <v>Returning</v>
      </c>
      <c r="E81" s="16" t="str">
        <f>IFERROR(tblClean[[#This Row],[EngagementLevel]],"")</f>
        <v>High</v>
      </c>
      <c r="F81" s="22">
        <f ca="1">IFERROR(TODAY()-'Raw Data'!M81,999)</f>
        <v>72</v>
      </c>
      <c r="G81" s="22">
        <f>IFERROR(COUNTIFS(tblTransactions[CustomerID],A81),0)</f>
        <v>6</v>
      </c>
      <c r="H81" s="22">
        <f>IFERROR(SUMIFS(tblTransactions[Amount (INR)],tblTransactions[CustomerID],A81),0)</f>
        <v>36740</v>
      </c>
      <c r="I81" s="16">
        <f t="shared" ca="1" si="15"/>
        <v>3</v>
      </c>
      <c r="J81" s="16">
        <f t="shared" si="16"/>
        <v>4</v>
      </c>
      <c r="K81" s="16">
        <f t="shared" si="17"/>
        <v>4</v>
      </c>
      <c r="L81" s="16" t="str">
        <f t="shared" ca="1" si="18"/>
        <v>344</v>
      </c>
      <c r="M81" s="16">
        <f>IFERROR(INDEX('Raw Data'!$X$3:$X$202,MATCH(A81,'Raw Data'!$W$3:$W$202,0)),"")</f>
        <v>3</v>
      </c>
      <c r="N81" s="16">
        <f>IFERROR(INDEX('Raw Data'!$Z$3:$Z$202,MATCH(A81,'Raw Data'!$W$3:$W$202,0)),"")</f>
        <v>9</v>
      </c>
      <c r="O81" s="16">
        <f t="shared" si="19"/>
        <v>3.75</v>
      </c>
      <c r="P81" s="16" t="str">
        <f>IFERROR(tblClean[[#This Row],[AgeGroup]],"")</f>
        <v>25-39</v>
      </c>
      <c r="Q81" s="16" t="str">
        <f>IFERROR(tblClean[[#This Row],[IncomeBracket]],"")</f>
        <v>High</v>
      </c>
      <c r="R81" s="16" t="str">
        <f t="shared" si="20"/>
        <v>HIGH</v>
      </c>
      <c r="S81" s="16" t="str">
        <f t="shared" si="21"/>
        <v>Standard</v>
      </c>
      <c r="T81" s="18" t="str">
        <f t="shared" ca="1" si="22"/>
        <v>General</v>
      </c>
      <c r="U81" s="18" t="str">
        <f>IFERROR(INDEX(tblTransactions[ProductCategory],MATCH(A81,tblTransactions[CustomerID],0)),"N/A")</f>
        <v>Clothing</v>
      </c>
    </row>
    <row r="82" spans="1:21" ht="15" customHeight="1" x14ac:dyDescent="0.3">
      <c r="A82" s="19" t="str">
        <f>IFERROR(tblClean[[#This Row],[CustomerID]],"")</f>
        <v>C0080</v>
      </c>
      <c r="B82" s="19" t="str">
        <f>IFERROR(tblClean[[#This Row],[Name (Cleaned)]],"")</f>
        <v>Nisha Shah</v>
      </c>
      <c r="C82" s="19" t="str">
        <f>IFERROR(tblClean[[#This Row],[City/Region (Cleaned)]],"")</f>
        <v>Pune</v>
      </c>
      <c r="D82" s="19" t="str">
        <f>IFERROR(tblClean[[#This Row],[CustomerType]],"")</f>
        <v>Returning</v>
      </c>
      <c r="E82" s="19" t="str">
        <f>IFERROR(tblClean[[#This Row],[EngagementLevel]],"")</f>
        <v>High</v>
      </c>
      <c r="F82" s="23">
        <f ca="1">IFERROR(TODAY()-'Raw Data'!M82,999)</f>
        <v>55</v>
      </c>
      <c r="G82" s="23">
        <f>IFERROR(COUNTIFS(tblTransactions[CustomerID],A82),0)</f>
        <v>8</v>
      </c>
      <c r="H82" s="23">
        <f>IFERROR(SUMIFS(tblTransactions[Amount (INR)],tblTransactions[CustomerID],A82),0)</f>
        <v>37870</v>
      </c>
      <c r="I82" s="19">
        <f t="shared" ca="1" si="15"/>
        <v>4</v>
      </c>
      <c r="J82" s="19">
        <f t="shared" si="16"/>
        <v>5</v>
      </c>
      <c r="K82" s="19">
        <f t="shared" si="17"/>
        <v>4</v>
      </c>
      <c r="L82" s="19" t="str">
        <f t="shared" ca="1" si="18"/>
        <v>454</v>
      </c>
      <c r="M82" s="19">
        <f>IFERROR(INDEX('Raw Data'!$X$3:$X$202,MATCH(A82,'Raw Data'!$W$3:$W$202,0)),"")</f>
        <v>4</v>
      </c>
      <c r="N82" s="19">
        <f>IFERROR(INDEX('Raw Data'!$Z$3:$Z$202,MATCH(A82,'Raw Data'!$W$3:$W$202,0)),"")</f>
        <v>5</v>
      </c>
      <c r="O82" s="19">
        <f t="shared" si="19"/>
        <v>3.25</v>
      </c>
      <c r="P82" s="19" t="str">
        <f>IFERROR(tblClean[[#This Row],[AgeGroup]],"")</f>
        <v>25-39</v>
      </c>
      <c r="Q82" s="19" t="str">
        <f>IFERROR(tblClean[[#This Row],[IncomeBracket]],"")</f>
        <v>High</v>
      </c>
      <c r="R82" s="19" t="str">
        <f t="shared" si="20"/>
        <v>HIGH</v>
      </c>
      <c r="S82" s="19" t="str">
        <f t="shared" si="21"/>
        <v>Standard</v>
      </c>
      <c r="T82" s="18" t="str">
        <f t="shared" ca="1" si="22"/>
        <v>General</v>
      </c>
      <c r="U82" s="18" t="str">
        <f>IFERROR(INDEX(tblTransactions[ProductCategory],MATCH(A82,tblTransactions[CustomerID],0)),"N/A")</f>
        <v>Home Decor</v>
      </c>
    </row>
    <row r="83" spans="1:21" ht="15" customHeight="1" x14ac:dyDescent="0.3">
      <c r="A83" s="16" t="str">
        <f>IFERROR(tblClean[[#This Row],[CustomerID]],"")</f>
        <v>C0081</v>
      </c>
      <c r="B83" s="16" t="str">
        <f>IFERROR(tblClean[[#This Row],[Name (Cleaned)]],"")</f>
        <v>Lata Jain</v>
      </c>
      <c r="C83" s="16" t="str">
        <f>IFERROR(tblClean[[#This Row],[City/Region (Cleaned)]],"")</f>
        <v>Faridabad</v>
      </c>
      <c r="D83" s="16" t="str">
        <f>IFERROR(tblClean[[#This Row],[CustomerType]],"")</f>
        <v>New</v>
      </c>
      <c r="E83" s="16" t="str">
        <f>IFERROR(tblClean[[#This Row],[EngagementLevel]],"")</f>
        <v>Low</v>
      </c>
      <c r="F83" s="22">
        <f ca="1">IFERROR(TODAY()-'Raw Data'!M83,999)</f>
        <v>28</v>
      </c>
      <c r="G83" s="22">
        <f>IFERROR(COUNTIFS(tblTransactions[CustomerID],A83),0)</f>
        <v>1</v>
      </c>
      <c r="H83" s="22">
        <f>IFERROR(SUMIFS(tblTransactions[Amount (INR)],tblTransactions[CustomerID],A83),0)</f>
        <v>820</v>
      </c>
      <c r="I83" s="16">
        <f t="shared" ca="1" si="15"/>
        <v>5</v>
      </c>
      <c r="J83" s="16">
        <f t="shared" si="16"/>
        <v>1</v>
      </c>
      <c r="K83" s="16">
        <f t="shared" si="17"/>
        <v>1</v>
      </c>
      <c r="L83" s="16" t="str">
        <f t="shared" ca="1" si="18"/>
        <v>511</v>
      </c>
      <c r="M83" s="16">
        <f>IFERROR(INDEX('Raw Data'!$X$3:$X$202,MATCH(A83,'Raw Data'!$W$3:$W$202,0)),"")</f>
        <v>4</v>
      </c>
      <c r="N83" s="16">
        <f>IFERROR(INDEX('Raw Data'!$Z$3:$Z$202,MATCH(A83,'Raw Data'!$W$3:$W$202,0)),"")</f>
        <v>5</v>
      </c>
      <c r="O83" s="16">
        <f t="shared" si="19"/>
        <v>3.25</v>
      </c>
      <c r="P83" s="16" t="str">
        <f>IFERROR(tblClean[[#This Row],[AgeGroup]],"")</f>
        <v>55+</v>
      </c>
      <c r="Q83" s="16" t="str">
        <f>IFERROR(tblClean[[#This Row],[IncomeBracket]],"")</f>
        <v>Mid</v>
      </c>
      <c r="R83" s="16" t="str">
        <f t="shared" si="20"/>
        <v>LOW</v>
      </c>
      <c r="S83" s="16" t="str">
        <f t="shared" si="21"/>
        <v>Budget</v>
      </c>
      <c r="T83" s="18" t="str">
        <f t="shared" ca="1" si="22"/>
        <v>General</v>
      </c>
      <c r="U83" s="18" t="str">
        <f>IFERROR(INDEX(tblTransactions[ProductCategory],MATCH(A83,tblTransactions[CustomerID],0)),"N/A")</f>
        <v>Beauty</v>
      </c>
    </row>
    <row r="84" spans="1:21" ht="15" customHeight="1" x14ac:dyDescent="0.3">
      <c r="A84" s="19" t="str">
        <f>IFERROR(tblClean[[#This Row],[CustomerID]],"")</f>
        <v>C0082</v>
      </c>
      <c r="B84" s="19" t="str">
        <f>IFERROR(tblClean[[#This Row],[Name (Cleaned)]],"")</f>
        <v>Tanya Negi</v>
      </c>
      <c r="C84" s="19" t="str">
        <f>IFERROR(tblClean[[#This Row],[City/Region (Cleaned)]],"")</f>
        <v>Ahmedabad</v>
      </c>
      <c r="D84" s="19" t="str">
        <f>IFERROR(tblClean[[#This Row],[CustomerType]],"")</f>
        <v>Returning</v>
      </c>
      <c r="E84" s="19" t="str">
        <f>IFERROR(tblClean[[#This Row],[EngagementLevel]],"")</f>
        <v>Low</v>
      </c>
      <c r="F84" s="23">
        <f ca="1">IFERROR(TODAY()-'Raw Data'!M84,999)</f>
        <v>44</v>
      </c>
      <c r="G84" s="23">
        <f>IFERROR(COUNTIFS(tblTransactions[CustomerID],A84),0)</f>
        <v>1</v>
      </c>
      <c r="H84" s="23">
        <f>IFERROR(SUMIFS(tblTransactions[Amount (INR)],tblTransactions[CustomerID],A84),0)</f>
        <v>5070</v>
      </c>
      <c r="I84" s="19">
        <f t="shared" ca="1" si="15"/>
        <v>4</v>
      </c>
      <c r="J84" s="19">
        <f t="shared" si="16"/>
        <v>1</v>
      </c>
      <c r="K84" s="19">
        <f t="shared" si="17"/>
        <v>2</v>
      </c>
      <c r="L84" s="19" t="str">
        <f t="shared" ca="1" si="18"/>
        <v>412</v>
      </c>
      <c r="M84" s="19">
        <f>IFERROR(INDEX('Raw Data'!$X$3:$X$202,MATCH(A84,'Raw Data'!$W$3:$W$202,0)),"")</f>
        <v>3</v>
      </c>
      <c r="N84" s="19">
        <f>IFERROR(INDEX('Raw Data'!$Z$3:$Z$202,MATCH(A84,'Raw Data'!$W$3:$W$202,0)),"")</f>
        <v>8</v>
      </c>
      <c r="O84" s="19">
        <f t="shared" si="19"/>
        <v>3.5</v>
      </c>
      <c r="P84" s="19" t="str">
        <f>IFERROR(tblClean[[#This Row],[AgeGroup]],"")</f>
        <v>40-54</v>
      </c>
      <c r="Q84" s="19" t="str">
        <f>IFERROR(tblClean[[#This Row],[IncomeBracket]],"")</f>
        <v>High</v>
      </c>
      <c r="R84" s="19" t="str">
        <f t="shared" si="20"/>
        <v>LOW</v>
      </c>
      <c r="S84" s="19" t="str">
        <f t="shared" si="21"/>
        <v>Budget</v>
      </c>
      <c r="T84" s="18" t="str">
        <f t="shared" ca="1" si="22"/>
        <v>General</v>
      </c>
      <c r="U84" s="18" t="str">
        <f>IFERROR(INDEX(tblTransactions[ProductCategory],MATCH(A84,tblTransactions[CustomerID],0)),"N/A")</f>
        <v>Home Decor</v>
      </c>
    </row>
    <row r="85" spans="1:21" ht="15" customHeight="1" x14ac:dyDescent="0.3">
      <c r="A85" s="16" t="str">
        <f>IFERROR(tblClean[[#This Row],[CustomerID]],"")</f>
        <v>C0083</v>
      </c>
      <c r="B85" s="16" t="str">
        <f>IFERROR(tblClean[[#This Row],[Name (Cleaned)]],"")</f>
        <v>Roshni Bhatt</v>
      </c>
      <c r="C85" s="16" t="str">
        <f>IFERROR(tblClean[[#This Row],[City/Region (Cleaned)]],"")</f>
        <v>Bhopal</v>
      </c>
      <c r="D85" s="16" t="str">
        <f>IFERROR(tblClean[[#This Row],[CustomerType]],"")</f>
        <v>Returning</v>
      </c>
      <c r="E85" s="16" t="str">
        <f>IFERROR(tblClean[[#This Row],[EngagementLevel]],"")</f>
        <v>Medium</v>
      </c>
      <c r="F85" s="22">
        <f ca="1">IFERROR(TODAY()-'Raw Data'!M85,999)</f>
        <v>63</v>
      </c>
      <c r="G85" s="22">
        <f>IFERROR(COUNTIFS(tblTransactions[CustomerID],A85),0)</f>
        <v>2</v>
      </c>
      <c r="H85" s="22">
        <f>IFERROR(SUMIFS(tblTransactions[Amount (INR)],tblTransactions[CustomerID],A85),0)</f>
        <v>12420</v>
      </c>
      <c r="I85" s="16">
        <f t="shared" ca="1" si="15"/>
        <v>3</v>
      </c>
      <c r="J85" s="16">
        <f t="shared" si="16"/>
        <v>2</v>
      </c>
      <c r="K85" s="16">
        <f t="shared" si="17"/>
        <v>2</v>
      </c>
      <c r="L85" s="16" t="str">
        <f t="shared" ca="1" si="18"/>
        <v>322</v>
      </c>
      <c r="M85" s="16">
        <f>IFERROR(INDEX('Raw Data'!$X$3:$X$202,MATCH(A85,'Raw Data'!$W$3:$W$202,0)),"")</f>
        <v>4</v>
      </c>
      <c r="N85" s="16">
        <f>IFERROR(INDEX('Raw Data'!$Z$3:$Z$202,MATCH(A85,'Raw Data'!$W$3:$W$202,0)),"")</f>
        <v>8</v>
      </c>
      <c r="O85" s="16">
        <f t="shared" si="19"/>
        <v>4</v>
      </c>
      <c r="P85" s="16" t="str">
        <f>IFERROR(tblClean[[#This Row],[AgeGroup]],"")</f>
        <v>40-54</v>
      </c>
      <c r="Q85" s="16" t="str">
        <f>IFERROR(tblClean[[#This Row],[IncomeBracket]],"")</f>
        <v>High</v>
      </c>
      <c r="R85" s="16" t="str">
        <f t="shared" si="20"/>
        <v>MED</v>
      </c>
      <c r="S85" s="16" t="str">
        <f t="shared" si="21"/>
        <v>Budget</v>
      </c>
      <c r="T85" s="18" t="str">
        <f t="shared" ca="1" si="22"/>
        <v>General</v>
      </c>
      <c r="U85" s="18" t="str">
        <f>IFERROR(INDEX(tblTransactions[ProductCategory],MATCH(A85,tblTransactions[CustomerID],0)),"N/A")</f>
        <v>Sports</v>
      </c>
    </row>
    <row r="86" spans="1:21" ht="15" customHeight="1" x14ac:dyDescent="0.3">
      <c r="A86" s="19" t="str">
        <f>IFERROR(tblClean[[#This Row],[CustomerID]],"")</f>
        <v>C0084</v>
      </c>
      <c r="B86" s="19" t="str">
        <f>IFERROR(tblClean[[#This Row],[Name (Cleaned)]],"")</f>
        <v>Simran Goyal</v>
      </c>
      <c r="C86" s="19" t="str">
        <f>IFERROR(tblClean[[#This Row],[City/Region (Cleaned)]],"")</f>
        <v>Kolkata</v>
      </c>
      <c r="D86" s="19" t="str">
        <f>IFERROR(tblClean[[#This Row],[CustomerType]],"")</f>
        <v>Returning</v>
      </c>
      <c r="E86" s="19" t="str">
        <f>IFERROR(tblClean[[#This Row],[EngagementLevel]],"")</f>
        <v>Medium</v>
      </c>
      <c r="F86" s="23">
        <f ca="1">IFERROR(TODAY()-'Raw Data'!M86,999)</f>
        <v>94</v>
      </c>
      <c r="G86" s="23">
        <f>IFERROR(COUNTIFS(tblTransactions[CustomerID],A86),0)</f>
        <v>14</v>
      </c>
      <c r="H86" s="23">
        <f>IFERROR(SUMIFS(tblTransactions[Amount (INR)],tblTransactions[CustomerID],A86),0)</f>
        <v>102620</v>
      </c>
      <c r="I86" s="19">
        <f t="shared" ca="1" si="15"/>
        <v>2</v>
      </c>
      <c r="J86" s="19">
        <f t="shared" si="16"/>
        <v>5</v>
      </c>
      <c r="K86" s="19">
        <f t="shared" si="17"/>
        <v>5</v>
      </c>
      <c r="L86" s="19" t="str">
        <f t="shared" ca="1" si="18"/>
        <v>255</v>
      </c>
      <c r="M86" s="19">
        <f>IFERROR(INDEX('Raw Data'!$X$3:$X$202,MATCH(A86,'Raw Data'!$W$3:$W$202,0)),"")</f>
        <v>2</v>
      </c>
      <c r="N86" s="19">
        <f>IFERROR(INDEX('Raw Data'!$Z$3:$Z$202,MATCH(A86,'Raw Data'!$W$3:$W$202,0)),"")</f>
        <v>7</v>
      </c>
      <c r="O86" s="19">
        <f t="shared" si="19"/>
        <v>2.75</v>
      </c>
      <c r="P86" s="19" t="str">
        <f>IFERROR(tblClean[[#This Row],[AgeGroup]],"")</f>
        <v>&lt;25</v>
      </c>
      <c r="Q86" s="19" t="str">
        <f>IFERROR(tblClean[[#This Row],[IncomeBracket]],"")</f>
        <v>Mid</v>
      </c>
      <c r="R86" s="19" t="str">
        <f t="shared" si="20"/>
        <v>MED</v>
      </c>
      <c r="S86" s="19" t="str">
        <f t="shared" si="21"/>
        <v>Premium</v>
      </c>
      <c r="T86" s="18" t="str">
        <f t="shared" ca="1" si="22"/>
        <v>High Value</v>
      </c>
      <c r="U86" s="18" t="str">
        <f>IFERROR(INDEX(tblTransactions[ProductCategory],MATCH(A86,tblTransactions[CustomerID],0)),"N/A")</f>
        <v>Electronics</v>
      </c>
    </row>
    <row r="87" spans="1:21" ht="15" customHeight="1" x14ac:dyDescent="0.3">
      <c r="A87" s="16" t="str">
        <f>IFERROR(tblClean[[#This Row],[CustomerID]],"")</f>
        <v>C0085</v>
      </c>
      <c r="B87" s="16" t="str">
        <f>IFERROR(tblClean[[#This Row],[Name (Cleaned)]],"")</f>
        <v>Kavya Bajaj</v>
      </c>
      <c r="C87" s="16" t="str">
        <f>IFERROR(tblClean[[#This Row],[City/Region (Cleaned)]],"")</f>
        <v>Indore</v>
      </c>
      <c r="D87" s="16" t="str">
        <f>IFERROR(tblClean[[#This Row],[CustomerType]],"")</f>
        <v>New</v>
      </c>
      <c r="E87" s="16" t="str">
        <f>IFERROR(tblClean[[#This Row],[EngagementLevel]],"")</f>
        <v>Low</v>
      </c>
      <c r="F87" s="22">
        <f ca="1">IFERROR(TODAY()-'Raw Data'!M87,999)</f>
        <v>88</v>
      </c>
      <c r="G87" s="22">
        <f>IFERROR(COUNTIFS(tblTransactions[CustomerID],A87),0)</f>
        <v>1</v>
      </c>
      <c r="H87" s="22">
        <f>IFERROR(SUMIFS(tblTransactions[Amount (INR)],tblTransactions[CustomerID],A87),0)</f>
        <v>14230</v>
      </c>
      <c r="I87" s="16">
        <f t="shared" ca="1" si="15"/>
        <v>3</v>
      </c>
      <c r="J87" s="16">
        <f t="shared" si="16"/>
        <v>1</v>
      </c>
      <c r="K87" s="16">
        <f t="shared" si="17"/>
        <v>2</v>
      </c>
      <c r="L87" s="16" t="str">
        <f t="shared" ca="1" si="18"/>
        <v>312</v>
      </c>
      <c r="M87" s="16">
        <f>IFERROR(INDEX('Raw Data'!$X$3:$X$202,MATCH(A87,'Raw Data'!$W$3:$W$202,0)),"")</f>
        <v>3</v>
      </c>
      <c r="N87" s="16">
        <f>IFERROR(INDEX('Raw Data'!$Z$3:$Z$202,MATCH(A87,'Raw Data'!$W$3:$W$202,0)),"")</f>
        <v>8</v>
      </c>
      <c r="O87" s="16">
        <f t="shared" si="19"/>
        <v>3.5</v>
      </c>
      <c r="P87" s="16" t="str">
        <f>IFERROR(tblClean[[#This Row],[AgeGroup]],"")</f>
        <v>40-54</v>
      </c>
      <c r="Q87" s="16" t="str">
        <f>IFERROR(tblClean[[#This Row],[IncomeBracket]],"")</f>
        <v>Mid</v>
      </c>
      <c r="R87" s="16" t="str">
        <f t="shared" si="20"/>
        <v>LOW</v>
      </c>
      <c r="S87" s="16" t="str">
        <f t="shared" si="21"/>
        <v>Budget</v>
      </c>
      <c r="T87" s="18" t="str">
        <f t="shared" ca="1" si="22"/>
        <v>General</v>
      </c>
      <c r="U87" s="18" t="str">
        <f>IFERROR(INDEX(tblTransactions[ProductCategory],MATCH(A87,tblTransactions[CustomerID],0)),"N/A")</f>
        <v>Home Decor</v>
      </c>
    </row>
    <row r="88" spans="1:21" ht="15" customHeight="1" x14ac:dyDescent="0.3">
      <c r="A88" s="19" t="str">
        <f>IFERROR(tblClean[[#This Row],[CustomerID]],"")</f>
        <v>C0086</v>
      </c>
      <c r="B88" s="19" t="str">
        <f>IFERROR(tblClean[[#This Row],[Name (Cleaned)]],"")</f>
        <v>Shalini Choudhury</v>
      </c>
      <c r="C88" s="19" t="str">
        <f>IFERROR(tblClean[[#This Row],[City/Region (Cleaned)]],"")</f>
        <v>Indore</v>
      </c>
      <c r="D88" s="19" t="str">
        <f>IFERROR(tblClean[[#This Row],[CustomerType]],"")</f>
        <v>Returning</v>
      </c>
      <c r="E88" s="19" t="str">
        <f>IFERROR(tblClean[[#This Row],[EngagementLevel]],"")</f>
        <v>Medium</v>
      </c>
      <c r="F88" s="23">
        <f ca="1">IFERROR(TODAY()-'Raw Data'!M88,999)</f>
        <v>360</v>
      </c>
      <c r="G88" s="23">
        <f>IFERROR(COUNTIFS(tblTransactions[CustomerID],A88),0)</f>
        <v>2</v>
      </c>
      <c r="H88" s="23">
        <f>IFERROR(SUMIFS(tblTransactions[Amount (INR)],tblTransactions[CustomerID],A88),0)</f>
        <v>7800</v>
      </c>
      <c r="I88" s="19">
        <f t="shared" ca="1" si="15"/>
        <v>1</v>
      </c>
      <c r="J88" s="19">
        <f t="shared" si="16"/>
        <v>2</v>
      </c>
      <c r="K88" s="19">
        <f t="shared" si="17"/>
        <v>2</v>
      </c>
      <c r="L88" s="19" t="str">
        <f t="shared" ca="1" si="18"/>
        <v>122</v>
      </c>
      <c r="M88" s="19">
        <f>IFERROR(INDEX('Raw Data'!$X$3:$X$202,MATCH(A88,'Raw Data'!$W$3:$W$202,0)),"")</f>
        <v>3</v>
      </c>
      <c r="N88" s="19">
        <f>IFERROR(INDEX('Raw Data'!$Z$3:$Z$202,MATCH(A88,'Raw Data'!$W$3:$W$202,0)),"")</f>
        <v>7</v>
      </c>
      <c r="O88" s="19">
        <f t="shared" si="19"/>
        <v>3.25</v>
      </c>
      <c r="P88" s="19" t="str">
        <f>IFERROR(tblClean[[#This Row],[AgeGroup]],"")</f>
        <v>25-39</v>
      </c>
      <c r="Q88" s="19" t="str">
        <f>IFERROR(tblClean[[#This Row],[IncomeBracket]],"")</f>
        <v>High</v>
      </c>
      <c r="R88" s="19" t="str">
        <f t="shared" si="20"/>
        <v>MED</v>
      </c>
      <c r="S88" s="19" t="str">
        <f t="shared" si="21"/>
        <v>Budget</v>
      </c>
      <c r="T88" s="18" t="str">
        <f t="shared" ca="1" si="22"/>
        <v>At Risk</v>
      </c>
      <c r="U88" s="18" t="str">
        <f>IFERROR(INDEX(tblTransactions[ProductCategory],MATCH(A88,tblTransactions[CustomerID],0)),"N/A")</f>
        <v>Home Decor</v>
      </c>
    </row>
    <row r="89" spans="1:21" ht="15" customHeight="1" x14ac:dyDescent="0.3">
      <c r="A89" s="16" t="str">
        <f>IFERROR(tblClean[[#This Row],[CustomerID]],"")</f>
        <v>C0087</v>
      </c>
      <c r="B89" s="16" t="str">
        <f>IFERROR(tblClean[[#This Row],[Name (Cleaned)]],"")</f>
        <v>Rashmi Wagh</v>
      </c>
      <c r="C89" s="16" t="str">
        <f>IFERROR(tblClean[[#This Row],[City/Region (Cleaned)]],"")</f>
        <v>Bhubaneswar</v>
      </c>
      <c r="D89" s="16" t="str">
        <f>IFERROR(tblClean[[#This Row],[CustomerType]],"")</f>
        <v>Returning</v>
      </c>
      <c r="E89" s="16" t="str">
        <f>IFERROR(tblClean[[#This Row],[EngagementLevel]],"")</f>
        <v>Medium</v>
      </c>
      <c r="F89" s="22">
        <f ca="1">IFERROR(TODAY()-'Raw Data'!M89,999)</f>
        <v>266</v>
      </c>
      <c r="G89" s="22">
        <f>IFERROR(COUNTIFS(tblTransactions[CustomerID],A89),0)</f>
        <v>15</v>
      </c>
      <c r="H89" s="22">
        <f>IFERROR(SUMIFS(tblTransactions[Amount (INR)],tblTransactions[CustomerID],A89),0)</f>
        <v>66210</v>
      </c>
      <c r="I89" s="16">
        <f t="shared" ca="1" si="15"/>
        <v>1</v>
      </c>
      <c r="J89" s="16">
        <f t="shared" si="16"/>
        <v>5</v>
      </c>
      <c r="K89" s="16">
        <f t="shared" si="17"/>
        <v>5</v>
      </c>
      <c r="L89" s="16" t="str">
        <f t="shared" ca="1" si="18"/>
        <v>155</v>
      </c>
      <c r="M89" s="16">
        <f>IFERROR(INDEX('Raw Data'!$X$3:$X$202,MATCH(A89,'Raw Data'!$W$3:$W$202,0)),"")</f>
        <v>3</v>
      </c>
      <c r="N89" s="16">
        <f>IFERROR(INDEX('Raw Data'!$Z$3:$Z$202,MATCH(A89,'Raw Data'!$W$3:$W$202,0)),"")</f>
        <v>8</v>
      </c>
      <c r="O89" s="16">
        <f t="shared" si="19"/>
        <v>3.5</v>
      </c>
      <c r="P89" s="16" t="str">
        <f>IFERROR(tblClean[[#This Row],[AgeGroup]],"")</f>
        <v>40-54</v>
      </c>
      <c r="Q89" s="16" t="str">
        <f>IFERROR(tblClean[[#This Row],[IncomeBracket]],"")</f>
        <v>Mid</v>
      </c>
      <c r="R89" s="16" t="str">
        <f t="shared" si="20"/>
        <v>MED</v>
      </c>
      <c r="S89" s="16" t="str">
        <f t="shared" si="21"/>
        <v>Premium</v>
      </c>
      <c r="T89" s="18" t="str">
        <f t="shared" ca="1" si="22"/>
        <v>High Value</v>
      </c>
      <c r="U89" s="18" t="str">
        <f>IFERROR(INDEX(tblTransactions[ProductCategory],MATCH(A89,tblTransactions[CustomerID],0)),"N/A")</f>
        <v>Electronics</v>
      </c>
    </row>
    <row r="90" spans="1:21" ht="15" customHeight="1" x14ac:dyDescent="0.3">
      <c r="A90" s="19" t="str">
        <f>IFERROR(tblClean[[#This Row],[CustomerID]],"")</f>
        <v>C0088</v>
      </c>
      <c r="B90" s="19" t="str">
        <f>IFERROR(tblClean[[#This Row],[Name (Cleaned)]],"")</f>
        <v>Manju Mahajan</v>
      </c>
      <c r="C90" s="19" t="str">
        <f>IFERROR(tblClean[[#This Row],[City/Region (Cleaned)]],"")</f>
        <v>Ahmedabad</v>
      </c>
      <c r="D90" s="19" t="str">
        <f>IFERROR(tblClean[[#This Row],[CustomerType]],"")</f>
        <v>Returning</v>
      </c>
      <c r="E90" s="19" t="str">
        <f>IFERROR(tblClean[[#This Row],[EngagementLevel]],"")</f>
        <v>Medium</v>
      </c>
      <c r="F90" s="23">
        <f ca="1">IFERROR(TODAY()-'Raw Data'!M90,999)</f>
        <v>140</v>
      </c>
      <c r="G90" s="23">
        <f>IFERROR(COUNTIFS(tblTransactions[CustomerID],A90),0)</f>
        <v>4</v>
      </c>
      <c r="H90" s="23">
        <f>IFERROR(SUMIFS(tblTransactions[Amount (INR)],tblTransactions[CustomerID],A90),0)</f>
        <v>25280</v>
      </c>
      <c r="I90" s="19">
        <f t="shared" ca="1" si="15"/>
        <v>2</v>
      </c>
      <c r="J90" s="19">
        <f t="shared" si="16"/>
        <v>3</v>
      </c>
      <c r="K90" s="19">
        <f t="shared" si="17"/>
        <v>3</v>
      </c>
      <c r="L90" s="19" t="str">
        <f t="shared" ca="1" si="18"/>
        <v>233</v>
      </c>
      <c r="M90" s="19">
        <f>IFERROR(INDEX('Raw Data'!$X$3:$X$202,MATCH(A90,'Raw Data'!$W$3:$W$202,0)),"")</f>
        <v>4</v>
      </c>
      <c r="N90" s="19">
        <f>IFERROR(INDEX('Raw Data'!$Z$3:$Z$202,MATCH(A90,'Raw Data'!$W$3:$W$202,0)),"")</f>
        <v>9</v>
      </c>
      <c r="O90" s="19">
        <f t="shared" si="19"/>
        <v>4.25</v>
      </c>
      <c r="P90" s="19" t="str">
        <f>IFERROR(tblClean[[#This Row],[AgeGroup]],"")</f>
        <v>25-39</v>
      </c>
      <c r="Q90" s="19" t="str">
        <f>IFERROR(tblClean[[#This Row],[IncomeBracket]],"")</f>
        <v>Mid</v>
      </c>
      <c r="R90" s="19" t="str">
        <f t="shared" si="20"/>
        <v>MED</v>
      </c>
      <c r="S90" s="19" t="str">
        <f t="shared" si="21"/>
        <v>Standard</v>
      </c>
      <c r="T90" s="18" t="str">
        <f t="shared" ca="1" si="22"/>
        <v>General</v>
      </c>
      <c r="U90" s="18" t="str">
        <f>IFERROR(INDEX(tblTransactions[ProductCategory],MATCH(A90,tblTransactions[CustomerID],0)),"N/A")</f>
        <v>Beauty</v>
      </c>
    </row>
    <row r="91" spans="1:21" ht="15" customHeight="1" x14ac:dyDescent="0.3">
      <c r="A91" s="16" t="str">
        <f>IFERROR(tblClean[[#This Row],[CustomerID]],"")</f>
        <v>C0089</v>
      </c>
      <c r="B91" s="16" t="str">
        <f>IFERROR(tblClean[[#This Row],[Name (Cleaned)]],"")</f>
        <v>Gauri Deshpande</v>
      </c>
      <c r="C91" s="16" t="str">
        <f>IFERROR(tblClean[[#This Row],[City/Region (Cleaned)]],"")</f>
        <v>Delhi</v>
      </c>
      <c r="D91" s="16" t="str">
        <f>IFERROR(tblClean[[#This Row],[CustomerType]],"")</f>
        <v>New</v>
      </c>
      <c r="E91" s="16" t="str">
        <f>IFERROR(tblClean[[#This Row],[EngagementLevel]],"")</f>
        <v>High</v>
      </c>
      <c r="F91" s="22">
        <f ca="1">IFERROR(TODAY()-'Raw Data'!M91,999)</f>
        <v>55</v>
      </c>
      <c r="G91" s="22">
        <f>IFERROR(COUNTIFS(tblTransactions[CustomerID],A91),0)</f>
        <v>1</v>
      </c>
      <c r="H91" s="22">
        <f>IFERROR(SUMIFS(tblTransactions[Amount (INR)],tblTransactions[CustomerID],A91),0)</f>
        <v>13170</v>
      </c>
      <c r="I91" s="16">
        <f t="shared" ca="1" si="15"/>
        <v>4</v>
      </c>
      <c r="J91" s="16">
        <f t="shared" si="16"/>
        <v>1</v>
      </c>
      <c r="K91" s="16">
        <f t="shared" si="17"/>
        <v>2</v>
      </c>
      <c r="L91" s="16" t="str">
        <f t="shared" ca="1" si="18"/>
        <v>412</v>
      </c>
      <c r="M91" s="16">
        <f>IFERROR(INDEX('Raw Data'!$X$3:$X$202,MATCH(A91,'Raw Data'!$W$3:$W$202,0)),"")</f>
        <v>4</v>
      </c>
      <c r="N91" s="16">
        <f>IFERROR(INDEX('Raw Data'!$Z$3:$Z$202,MATCH(A91,'Raw Data'!$W$3:$W$202,0)),"")</f>
        <v>4</v>
      </c>
      <c r="O91" s="16">
        <f t="shared" si="19"/>
        <v>3</v>
      </c>
      <c r="P91" s="16" t="str">
        <f>IFERROR(tblClean[[#This Row],[AgeGroup]],"")</f>
        <v>25-39</v>
      </c>
      <c r="Q91" s="16" t="str">
        <f>IFERROR(tblClean[[#This Row],[IncomeBracket]],"")</f>
        <v>High</v>
      </c>
      <c r="R91" s="16" t="str">
        <f t="shared" si="20"/>
        <v>HIGH</v>
      </c>
      <c r="S91" s="16" t="str">
        <f t="shared" si="21"/>
        <v>Budget</v>
      </c>
      <c r="T91" s="18" t="str">
        <f t="shared" ca="1" si="22"/>
        <v>General</v>
      </c>
      <c r="U91" s="18" t="str">
        <f>IFERROR(INDEX(tblTransactions[ProductCategory],MATCH(A91,tblTransactions[CustomerID],0)),"N/A")</f>
        <v>Clothing</v>
      </c>
    </row>
    <row r="92" spans="1:21" ht="15" customHeight="1" x14ac:dyDescent="0.3">
      <c r="A92" s="19" t="str">
        <f>IFERROR(tblClean[[#This Row],[CustomerID]],"")</f>
        <v>C0090</v>
      </c>
      <c r="B92" s="19" t="str">
        <f>IFERROR(tblClean[[#This Row],[Name (Cleaned)]],"")</f>
        <v>Shraddha Kulkarni</v>
      </c>
      <c r="C92" s="19" t="str">
        <f>IFERROR(tblClean[[#This Row],[City/Region (Cleaned)]],"")</f>
        <v>Noida</v>
      </c>
      <c r="D92" s="19" t="str">
        <f>IFERROR(tblClean[[#This Row],[CustomerType]],"")</f>
        <v>Returning</v>
      </c>
      <c r="E92" s="19" t="str">
        <f>IFERROR(tblClean[[#This Row],[EngagementLevel]],"")</f>
        <v>Medium</v>
      </c>
      <c r="F92" s="23">
        <f ca="1">IFERROR(TODAY()-'Raw Data'!M92,999)</f>
        <v>25</v>
      </c>
      <c r="G92" s="23">
        <f>IFERROR(COUNTIFS(tblTransactions[CustomerID],A92),0)</f>
        <v>2</v>
      </c>
      <c r="H92" s="23">
        <f>IFERROR(SUMIFS(tblTransactions[Amount (INR)],tblTransactions[CustomerID],A92),0)</f>
        <v>16630</v>
      </c>
      <c r="I92" s="19">
        <f t="shared" ca="1" si="15"/>
        <v>5</v>
      </c>
      <c r="J92" s="19">
        <f t="shared" si="16"/>
        <v>2</v>
      </c>
      <c r="K92" s="19">
        <f t="shared" si="17"/>
        <v>3</v>
      </c>
      <c r="L92" s="19" t="str">
        <f t="shared" ca="1" si="18"/>
        <v>523</v>
      </c>
      <c r="M92" s="19">
        <f>IFERROR(INDEX('Raw Data'!$X$3:$X$202,MATCH(A92,'Raw Data'!$W$3:$W$202,0)),"")</f>
        <v>3</v>
      </c>
      <c r="N92" s="19">
        <f>IFERROR(INDEX('Raw Data'!$Z$3:$Z$202,MATCH(A92,'Raw Data'!$W$3:$W$202,0)),"")</f>
        <v>6</v>
      </c>
      <c r="O92" s="19">
        <f t="shared" si="19"/>
        <v>3</v>
      </c>
      <c r="P92" s="19" t="str">
        <f>IFERROR(tblClean[[#This Row],[AgeGroup]],"")</f>
        <v>40-54</v>
      </c>
      <c r="Q92" s="19" t="str">
        <f>IFERROR(tblClean[[#This Row],[IncomeBracket]],"")</f>
        <v>High</v>
      </c>
      <c r="R92" s="19" t="str">
        <f t="shared" si="20"/>
        <v>MED</v>
      </c>
      <c r="S92" s="19" t="str">
        <f t="shared" si="21"/>
        <v>Standard</v>
      </c>
      <c r="T92" s="18" t="str">
        <f t="shared" ca="1" si="22"/>
        <v>General</v>
      </c>
      <c r="U92" s="18" t="str">
        <f>IFERROR(INDEX(tblTransactions[ProductCategory],MATCH(A92,tblTransactions[CustomerID],0)),"N/A")</f>
        <v>Electronics</v>
      </c>
    </row>
    <row r="93" spans="1:21" ht="15" customHeight="1" x14ac:dyDescent="0.3">
      <c r="A93" s="16" t="str">
        <f>IFERROR(tblClean[[#This Row],[CustomerID]],"")</f>
        <v>C0091</v>
      </c>
      <c r="B93" s="16" t="str">
        <f>IFERROR(tblClean[[#This Row],[Name (Cleaned)]],"")</f>
        <v>Sapna Garg</v>
      </c>
      <c r="C93" s="16" t="str">
        <f>IFERROR(tblClean[[#This Row],[City/Region (Cleaned)]],"")</f>
        <v>Kolkata</v>
      </c>
      <c r="D93" s="16" t="str">
        <f>IFERROR(tblClean[[#This Row],[CustomerType]],"")</f>
        <v>Returning</v>
      </c>
      <c r="E93" s="16" t="str">
        <f>IFERROR(tblClean[[#This Row],[EngagementLevel]],"")</f>
        <v>Medium</v>
      </c>
      <c r="F93" s="22">
        <f ca="1">IFERROR(TODAY()-'Raw Data'!M93,999)</f>
        <v>60</v>
      </c>
      <c r="G93" s="22">
        <f>IFERROR(COUNTIFS(tblTransactions[CustomerID],A93),0)</f>
        <v>7</v>
      </c>
      <c r="H93" s="22">
        <f>IFERROR(SUMIFS(tblTransactions[Amount (INR)],tblTransactions[CustomerID],A93),0)</f>
        <v>59470</v>
      </c>
      <c r="I93" s="16">
        <f t="shared" ca="1" si="15"/>
        <v>4</v>
      </c>
      <c r="J93" s="16">
        <f t="shared" si="16"/>
        <v>4</v>
      </c>
      <c r="K93" s="16">
        <f t="shared" si="17"/>
        <v>5</v>
      </c>
      <c r="L93" s="16" t="str">
        <f t="shared" ca="1" si="18"/>
        <v>445</v>
      </c>
      <c r="M93" s="16">
        <f>IFERROR(INDEX('Raw Data'!$X$3:$X$202,MATCH(A93,'Raw Data'!$W$3:$W$202,0)),"")</f>
        <v>3</v>
      </c>
      <c r="N93" s="16">
        <f>IFERROR(INDEX('Raw Data'!$Z$3:$Z$202,MATCH(A93,'Raw Data'!$W$3:$W$202,0)),"")</f>
        <v>8</v>
      </c>
      <c r="O93" s="16">
        <f t="shared" si="19"/>
        <v>3.5</v>
      </c>
      <c r="P93" s="16" t="str">
        <f>IFERROR(tblClean[[#This Row],[AgeGroup]],"")</f>
        <v>55+</v>
      </c>
      <c r="Q93" s="16" t="str">
        <f>IFERROR(tblClean[[#This Row],[IncomeBracket]],"")</f>
        <v>Mid</v>
      </c>
      <c r="R93" s="16" t="str">
        <f t="shared" si="20"/>
        <v>MED</v>
      </c>
      <c r="S93" s="16" t="str">
        <f t="shared" si="21"/>
        <v>Premium</v>
      </c>
      <c r="T93" s="18" t="str">
        <f t="shared" ca="1" si="22"/>
        <v>High Value</v>
      </c>
      <c r="U93" s="18" t="str">
        <f>IFERROR(INDEX(tblTransactions[ProductCategory],MATCH(A93,tblTransactions[CustomerID],0)),"N/A")</f>
        <v>Electronics</v>
      </c>
    </row>
    <row r="94" spans="1:21" ht="15" customHeight="1" x14ac:dyDescent="0.3">
      <c r="A94" s="19" t="str">
        <f>IFERROR(tblClean[[#This Row],[CustomerID]],"")</f>
        <v>C0092</v>
      </c>
      <c r="B94" s="19" t="str">
        <f>IFERROR(tblClean[[#This Row],[Name (Cleaned)]],"")</f>
        <v>Vaishali Shukla</v>
      </c>
      <c r="C94" s="19" t="str">
        <f>IFERROR(tblClean[[#This Row],[City/Region (Cleaned)]],"")</f>
        <v>Faridabad</v>
      </c>
      <c r="D94" s="19" t="str">
        <f>IFERROR(tblClean[[#This Row],[CustomerType]],"")</f>
        <v>Returning</v>
      </c>
      <c r="E94" s="19" t="str">
        <f>IFERROR(tblClean[[#This Row],[EngagementLevel]],"")</f>
        <v>Medium</v>
      </c>
      <c r="F94" s="23">
        <f ca="1">IFERROR(TODAY()-'Raw Data'!M94,999)</f>
        <v>43</v>
      </c>
      <c r="G94" s="23">
        <f>IFERROR(COUNTIFS(tblTransactions[CustomerID],A94),0)</f>
        <v>4</v>
      </c>
      <c r="H94" s="23">
        <f>IFERROR(SUMIFS(tblTransactions[Amount (INR)],tblTransactions[CustomerID],A94),0)</f>
        <v>17670</v>
      </c>
      <c r="I94" s="19">
        <f t="shared" ca="1" si="15"/>
        <v>4</v>
      </c>
      <c r="J94" s="19">
        <f t="shared" si="16"/>
        <v>3</v>
      </c>
      <c r="K94" s="19">
        <f t="shared" si="17"/>
        <v>3</v>
      </c>
      <c r="L94" s="19" t="str">
        <f t="shared" ca="1" si="18"/>
        <v>433</v>
      </c>
      <c r="M94" s="19">
        <f>IFERROR(INDEX('Raw Data'!$X$3:$X$202,MATCH(A94,'Raw Data'!$W$3:$W$202,0)),"")</f>
        <v>4</v>
      </c>
      <c r="N94" s="19">
        <f>IFERROR(INDEX('Raw Data'!$Z$3:$Z$202,MATCH(A94,'Raw Data'!$W$3:$W$202,0)),"")</f>
        <v>8</v>
      </c>
      <c r="O94" s="19">
        <f t="shared" si="19"/>
        <v>4</v>
      </c>
      <c r="P94" s="19" t="str">
        <f>IFERROR(tblClean[[#This Row],[AgeGroup]],"")</f>
        <v>40-54</v>
      </c>
      <c r="Q94" s="19" t="str">
        <f>IFERROR(tblClean[[#This Row],[IncomeBracket]],"")</f>
        <v>High</v>
      </c>
      <c r="R94" s="19" t="str">
        <f t="shared" si="20"/>
        <v>MED</v>
      </c>
      <c r="S94" s="19" t="str">
        <f t="shared" si="21"/>
        <v>Standard</v>
      </c>
      <c r="T94" s="18" t="str">
        <f t="shared" ca="1" si="22"/>
        <v>General</v>
      </c>
      <c r="U94" s="18" t="str">
        <f>IFERROR(INDEX(tblTransactions[ProductCategory],MATCH(A94,tblTransactions[CustomerID],0)),"N/A")</f>
        <v>Grocery</v>
      </c>
    </row>
    <row r="95" spans="1:21" ht="15" customHeight="1" x14ac:dyDescent="0.3">
      <c r="A95" s="16" t="str">
        <f>IFERROR(tblClean[[#This Row],[CustomerID]],"")</f>
        <v>C0093</v>
      </c>
      <c r="B95" s="16" t="str">
        <f>IFERROR(tblClean[[#This Row],[Name (Cleaned)]],"")</f>
        <v>Tejal Patil</v>
      </c>
      <c r="C95" s="16" t="str">
        <f>IFERROR(tblClean[[#This Row],[City/Region (Cleaned)]],"")</f>
        <v>Bhubaneswar</v>
      </c>
      <c r="D95" s="16" t="str">
        <f>IFERROR(tblClean[[#This Row],[CustomerType]],"")</f>
        <v>New</v>
      </c>
      <c r="E95" s="16" t="str">
        <f>IFERROR(tblClean[[#This Row],[EngagementLevel]],"")</f>
        <v>Low</v>
      </c>
      <c r="F95" s="22">
        <f ca="1">IFERROR(TODAY()-'Raw Data'!M95,999)</f>
        <v>164</v>
      </c>
      <c r="G95" s="22">
        <f>IFERROR(COUNTIFS(tblTransactions[CustomerID],A95),0)</f>
        <v>1</v>
      </c>
      <c r="H95" s="22">
        <f>IFERROR(SUMIFS(tblTransactions[Amount (INR)],tblTransactions[CustomerID],A95),0)</f>
        <v>3880</v>
      </c>
      <c r="I95" s="16">
        <f t="shared" ca="1" si="15"/>
        <v>2</v>
      </c>
      <c r="J95" s="16">
        <f t="shared" si="16"/>
        <v>1</v>
      </c>
      <c r="K95" s="16">
        <f t="shared" si="17"/>
        <v>1</v>
      </c>
      <c r="L95" s="16" t="str">
        <f t="shared" ca="1" si="18"/>
        <v>211</v>
      </c>
      <c r="M95" s="16">
        <f>IFERROR(INDEX('Raw Data'!$X$3:$X$202,MATCH(A95,'Raw Data'!$W$3:$W$202,0)),"")</f>
        <v>4</v>
      </c>
      <c r="N95" s="16">
        <f>IFERROR(INDEX('Raw Data'!$Z$3:$Z$202,MATCH(A95,'Raw Data'!$W$3:$W$202,0)),"")</f>
        <v>8</v>
      </c>
      <c r="O95" s="16">
        <f t="shared" si="19"/>
        <v>4</v>
      </c>
      <c r="P95" s="16" t="str">
        <f>IFERROR(tblClean[[#This Row],[AgeGroup]],"")</f>
        <v>&lt;25</v>
      </c>
      <c r="Q95" s="16" t="str">
        <f>IFERROR(tblClean[[#This Row],[IncomeBracket]],"")</f>
        <v>High</v>
      </c>
      <c r="R95" s="16" t="str">
        <f t="shared" si="20"/>
        <v>LOW</v>
      </c>
      <c r="S95" s="16" t="str">
        <f t="shared" si="21"/>
        <v>Budget</v>
      </c>
      <c r="T95" s="18" t="str">
        <f t="shared" ca="1" si="22"/>
        <v>At Risk</v>
      </c>
      <c r="U95" s="18" t="str">
        <f>IFERROR(INDEX(tblTransactions[ProductCategory],MATCH(A95,tblTransactions[CustomerID],0)),"N/A")</f>
        <v>Clothing</v>
      </c>
    </row>
    <row r="96" spans="1:21" ht="15" customHeight="1" x14ac:dyDescent="0.3">
      <c r="A96" s="19" t="str">
        <f>IFERROR(tblClean[[#This Row],[CustomerID]],"")</f>
        <v>C0094</v>
      </c>
      <c r="B96" s="19" t="str">
        <f>IFERROR(tblClean[[#This Row],[Name (Cleaned)]],"")</f>
        <v>Jyoti Parekh</v>
      </c>
      <c r="C96" s="19" t="str">
        <f>IFERROR(tblClean[[#This Row],[City/Region (Cleaned)]],"")</f>
        <v>Pune</v>
      </c>
      <c r="D96" s="19" t="str">
        <f>IFERROR(tblClean[[#This Row],[CustomerType]],"")</f>
        <v>Returning</v>
      </c>
      <c r="E96" s="19" t="str">
        <f>IFERROR(tblClean[[#This Row],[EngagementLevel]],"")</f>
        <v>Medium</v>
      </c>
      <c r="F96" s="23">
        <f ca="1">IFERROR(TODAY()-'Raw Data'!M96,999)</f>
        <v>205</v>
      </c>
      <c r="G96" s="23">
        <f>IFERROR(COUNTIFS(tblTransactions[CustomerID],A96),0)</f>
        <v>5</v>
      </c>
      <c r="H96" s="23">
        <f>IFERROR(SUMIFS(tblTransactions[Amount (INR)],tblTransactions[CustomerID],A96),0)</f>
        <v>19180</v>
      </c>
      <c r="I96" s="19">
        <f t="shared" ca="1" si="15"/>
        <v>1</v>
      </c>
      <c r="J96" s="19">
        <f t="shared" si="16"/>
        <v>3</v>
      </c>
      <c r="K96" s="19">
        <f t="shared" si="17"/>
        <v>3</v>
      </c>
      <c r="L96" s="19" t="str">
        <f t="shared" ca="1" si="18"/>
        <v>133</v>
      </c>
      <c r="M96" s="19">
        <f>IFERROR(INDEX('Raw Data'!$X$3:$X$202,MATCH(A96,'Raw Data'!$W$3:$W$202,0)),"")</f>
        <v>3</v>
      </c>
      <c r="N96" s="19">
        <f>IFERROR(INDEX('Raw Data'!$Z$3:$Z$202,MATCH(A96,'Raw Data'!$W$3:$W$202,0)),"")</f>
        <v>6</v>
      </c>
      <c r="O96" s="19">
        <f t="shared" si="19"/>
        <v>3</v>
      </c>
      <c r="P96" s="19" t="str">
        <f>IFERROR(tblClean[[#This Row],[AgeGroup]],"")</f>
        <v>25-39</v>
      </c>
      <c r="Q96" s="19" t="str">
        <f>IFERROR(tblClean[[#This Row],[IncomeBracket]],"")</f>
        <v>Mid</v>
      </c>
      <c r="R96" s="19" t="str">
        <f t="shared" si="20"/>
        <v>MED</v>
      </c>
      <c r="S96" s="19" t="str">
        <f t="shared" si="21"/>
        <v>Standard</v>
      </c>
      <c r="T96" s="18" t="str">
        <f t="shared" ca="1" si="22"/>
        <v>Bargain Seeker</v>
      </c>
      <c r="U96" s="18" t="str">
        <f>IFERROR(INDEX(tblTransactions[ProductCategory],MATCH(A96,tblTransactions[CustomerID],0)),"N/A")</f>
        <v>Beauty</v>
      </c>
    </row>
    <row r="97" spans="1:21" ht="15" customHeight="1" x14ac:dyDescent="0.3">
      <c r="A97" s="16" t="str">
        <f>IFERROR(tblClean[[#This Row],[CustomerID]],"")</f>
        <v>C0095</v>
      </c>
      <c r="B97" s="16" t="str">
        <f>IFERROR(tblClean[[#This Row],[Name (Cleaned)]],"")</f>
        <v>Ridhi Oberoi</v>
      </c>
      <c r="C97" s="16" t="str">
        <f>IFERROR(tblClean[[#This Row],[City/Region (Cleaned)]],"")</f>
        <v>Pune</v>
      </c>
      <c r="D97" s="16" t="str">
        <f>IFERROR(tblClean[[#This Row],[CustomerType]],"")</f>
        <v>Returning</v>
      </c>
      <c r="E97" s="16" t="str">
        <f>IFERROR(tblClean[[#This Row],[EngagementLevel]],"")</f>
        <v>Medium</v>
      </c>
      <c r="F97" s="22">
        <f ca="1">IFERROR(TODAY()-'Raw Data'!M97,999)</f>
        <v>93</v>
      </c>
      <c r="G97" s="22">
        <f>IFERROR(COUNTIFS(tblTransactions[CustomerID],A97),0)</f>
        <v>2</v>
      </c>
      <c r="H97" s="22">
        <f>IFERROR(SUMIFS(tblTransactions[Amount (INR)],tblTransactions[CustomerID],A97),0)</f>
        <v>6830</v>
      </c>
      <c r="I97" s="16">
        <f t="shared" ca="1" si="15"/>
        <v>2</v>
      </c>
      <c r="J97" s="16">
        <f t="shared" si="16"/>
        <v>2</v>
      </c>
      <c r="K97" s="16">
        <f t="shared" si="17"/>
        <v>2</v>
      </c>
      <c r="L97" s="16" t="str">
        <f t="shared" ca="1" si="18"/>
        <v>222</v>
      </c>
      <c r="M97" s="16">
        <f>IFERROR(INDEX('Raw Data'!$X$3:$X$202,MATCH(A97,'Raw Data'!$W$3:$W$202,0)),"")</f>
        <v>3</v>
      </c>
      <c r="N97" s="16">
        <f>IFERROR(INDEX('Raw Data'!$Z$3:$Z$202,MATCH(A97,'Raw Data'!$W$3:$W$202,0)),"")</f>
        <v>8</v>
      </c>
      <c r="O97" s="16">
        <f t="shared" si="19"/>
        <v>3.5</v>
      </c>
      <c r="P97" s="16" t="str">
        <f>IFERROR(tblClean[[#This Row],[AgeGroup]],"")</f>
        <v>&lt;25</v>
      </c>
      <c r="Q97" s="16" t="str">
        <f>IFERROR(tblClean[[#This Row],[IncomeBracket]],"")</f>
        <v>Mid</v>
      </c>
      <c r="R97" s="16" t="str">
        <f t="shared" si="20"/>
        <v>MED</v>
      </c>
      <c r="S97" s="16" t="str">
        <f t="shared" si="21"/>
        <v>Budget</v>
      </c>
      <c r="T97" s="18" t="str">
        <f t="shared" ca="1" si="22"/>
        <v>At Risk</v>
      </c>
      <c r="U97" s="18" t="str">
        <f>IFERROR(INDEX(tblTransactions[ProductCategory],MATCH(A97,tblTransactions[CustomerID],0)),"N/A")</f>
        <v>Sports</v>
      </c>
    </row>
    <row r="98" spans="1:21" ht="15" customHeight="1" x14ac:dyDescent="0.3">
      <c r="A98" s="19" t="str">
        <f>IFERROR(tblClean[[#This Row],[CustomerID]],"")</f>
        <v>C0096</v>
      </c>
      <c r="B98" s="19" t="str">
        <f>IFERROR(tblClean[[#This Row],[Name (Cleaned)]],"")</f>
        <v>Varsha Mitra</v>
      </c>
      <c r="C98" s="19" t="str">
        <f>IFERROR(tblClean[[#This Row],[City/Region (Cleaned)]],"")</f>
        <v>Nagpur</v>
      </c>
      <c r="D98" s="19" t="str">
        <f>IFERROR(tblClean[[#This Row],[CustomerType]],"")</f>
        <v>Returning</v>
      </c>
      <c r="E98" s="19" t="str">
        <f>IFERROR(tblClean[[#This Row],[EngagementLevel]],"")</f>
        <v>Medium</v>
      </c>
      <c r="F98" s="23">
        <f ca="1">IFERROR(TODAY()-'Raw Data'!M98,999)</f>
        <v>119</v>
      </c>
      <c r="G98" s="23">
        <f>IFERROR(COUNTIFS(tblTransactions[CustomerID],A98),0)</f>
        <v>2</v>
      </c>
      <c r="H98" s="23">
        <f>IFERROR(SUMIFS(tblTransactions[Amount (INR)],tblTransactions[CustomerID],A98),0)</f>
        <v>12020</v>
      </c>
      <c r="I98" s="19">
        <f t="shared" ca="1" si="15"/>
        <v>2</v>
      </c>
      <c r="J98" s="19">
        <f t="shared" si="16"/>
        <v>2</v>
      </c>
      <c r="K98" s="19">
        <f t="shared" si="17"/>
        <v>2</v>
      </c>
      <c r="L98" s="19" t="str">
        <f t="shared" ca="1" si="18"/>
        <v>222</v>
      </c>
      <c r="M98" s="19">
        <f>IFERROR(INDEX('Raw Data'!$X$3:$X$202,MATCH(A98,'Raw Data'!$W$3:$W$202,0)),"")</f>
        <v>2</v>
      </c>
      <c r="N98" s="19">
        <f>IFERROR(INDEX('Raw Data'!$Z$3:$Z$202,MATCH(A98,'Raw Data'!$W$3:$W$202,0)),"")</f>
        <v>6</v>
      </c>
      <c r="O98" s="19">
        <f t="shared" si="19"/>
        <v>2.5</v>
      </c>
      <c r="P98" s="19" t="str">
        <f>IFERROR(tblClean[[#This Row],[AgeGroup]],"")</f>
        <v>55+</v>
      </c>
      <c r="Q98" s="19" t="str">
        <f>IFERROR(tblClean[[#This Row],[IncomeBracket]],"")</f>
        <v>High</v>
      </c>
      <c r="R98" s="19" t="str">
        <f t="shared" si="20"/>
        <v>MED</v>
      </c>
      <c r="S98" s="19" t="str">
        <f t="shared" si="21"/>
        <v>Budget</v>
      </c>
      <c r="T98" s="18" t="str">
        <f t="shared" ca="1" si="22"/>
        <v>At Risk</v>
      </c>
      <c r="U98" s="18" t="str">
        <f>IFERROR(INDEX(tblTransactions[ProductCategory],MATCH(A98,tblTransactions[CustomerID],0)),"N/A")</f>
        <v>Sports</v>
      </c>
    </row>
    <row r="99" spans="1:21" ht="15" customHeight="1" x14ac:dyDescent="0.3">
      <c r="A99" s="16" t="str">
        <f>IFERROR(tblClean[[#This Row],[CustomerID]],"")</f>
        <v>C0097</v>
      </c>
      <c r="B99" s="16" t="str">
        <f>IFERROR(tblClean[[#This Row],[Name (Cleaned)]],"")</f>
        <v>Rupal Sinha</v>
      </c>
      <c r="C99" s="16" t="str">
        <f>IFERROR(tblClean[[#This Row],[City/Region (Cleaned)]],"")</f>
        <v>Bangalore</v>
      </c>
      <c r="D99" s="16" t="str">
        <f>IFERROR(tblClean[[#This Row],[CustomerType]],"")</f>
        <v>Returning</v>
      </c>
      <c r="E99" s="16" t="str">
        <f>IFERROR(tblClean[[#This Row],[EngagementLevel]],"")</f>
        <v>High</v>
      </c>
      <c r="F99" s="22">
        <f ca="1">IFERROR(TODAY()-'Raw Data'!M99,999)</f>
        <v>105</v>
      </c>
      <c r="G99" s="22">
        <f>IFERROR(COUNTIFS(tblTransactions[CustomerID],A99),0)</f>
        <v>13</v>
      </c>
      <c r="H99" s="22">
        <f>IFERROR(SUMIFS(tblTransactions[Amount (INR)],tblTransactions[CustomerID],A99),0)</f>
        <v>76520</v>
      </c>
      <c r="I99" s="16">
        <f t="shared" ref="I99:I130" ca="1" si="23">IFERROR(IF(F99&lt;=30,5,IF(F99&lt;=60,4,IF(F99&lt;=90,3,IF(F99&lt;=180,2,1)))),1)</f>
        <v>2</v>
      </c>
      <c r="J99" s="16">
        <f t="shared" ref="J99:J130" si="24">IFERROR(IF(G99&gt;=8,5,IF(G99&gt;=6,4,IF(G99&gt;=4,3,IF(G99&gt;=2,2,1)))),1)</f>
        <v>5</v>
      </c>
      <c r="K99" s="16">
        <f t="shared" ref="K99:K130" si="25">IFERROR(IF(H99&gt;=50000,5,IF(H99&gt;=30000,4,IF(H99&gt;=15000,3,IF(H99&gt;=5000,2,1)))),1)</f>
        <v>5</v>
      </c>
      <c r="L99" s="16" t="str">
        <f t="shared" ref="L99:L130" ca="1" si="26">IFERROR(TEXT(I99,"0")&amp;TEXT(J99,"0")&amp;TEXT(K99,"0"),"")</f>
        <v>255</v>
      </c>
      <c r="M99" s="16">
        <f>IFERROR(INDEX('Raw Data'!$X$3:$X$202,MATCH(A99,'Raw Data'!$W$3:$W$202,0)),"")</f>
        <v>4</v>
      </c>
      <c r="N99" s="16">
        <f>IFERROR(INDEX('Raw Data'!$Z$3:$Z$202,MATCH(A99,'Raw Data'!$W$3:$W$202,0)),"")</f>
        <v>6</v>
      </c>
      <c r="O99" s="16">
        <f t="shared" ref="O99:O130" si="27">IFERROR((IF(ISNUMBER(M99),M99,0)+IF(ISNUMBER(N99),N99/2,0))/MAX(1,(IF(ISNUMBER(M99),1,0)+IF(ISNUMBER(N99),1,0))),"")</f>
        <v>3.5</v>
      </c>
      <c r="P99" s="16" t="str">
        <f>IFERROR(tblClean[[#This Row],[AgeGroup]],"")</f>
        <v>25-39</v>
      </c>
      <c r="Q99" s="16" t="str">
        <f>IFERROR(tblClean[[#This Row],[IncomeBracket]],"")</f>
        <v>Mid</v>
      </c>
      <c r="R99" s="16" t="str">
        <f t="shared" ref="R99:R130" si="28">IFERROR(IF(E99="Low","LOW",IF(E99="Medium","MED","HIGH")),"N/A")</f>
        <v>HIGH</v>
      </c>
      <c r="S99" s="16" t="str">
        <f t="shared" ref="S99:S130" si="29">IFERROR(IF(H99&gt;=50000,"Premium",IF(H99&gt;=15000,"Standard","Budget")),"N/A")</f>
        <v>Premium</v>
      </c>
      <c r="T99" s="18" t="str">
        <f t="shared" ca="1" si="22"/>
        <v>High Value</v>
      </c>
      <c r="U99" s="18" t="str">
        <f>IFERROR(INDEX(tblTransactions[ProductCategory],MATCH(A99,tblTransactions[CustomerID],0)),"N/A")</f>
        <v>Grocery</v>
      </c>
    </row>
    <row r="100" spans="1:21" ht="15" customHeight="1" x14ac:dyDescent="0.3">
      <c r="A100" s="19" t="str">
        <f>IFERROR(tblClean[[#This Row],[CustomerID]],"")</f>
        <v>C0098</v>
      </c>
      <c r="B100" s="19" t="str">
        <f>IFERROR(tblClean[[#This Row],[Name (Cleaned)]],"")</f>
        <v>Prerna Rastogi</v>
      </c>
      <c r="C100" s="19" t="str">
        <f>IFERROR(tblClean[[#This Row],[City/Region (Cleaned)]],"")</f>
        <v>Kolkata</v>
      </c>
      <c r="D100" s="19" t="str">
        <f>IFERROR(tblClean[[#This Row],[CustomerType]],"")</f>
        <v>Returning</v>
      </c>
      <c r="E100" s="19" t="str">
        <f>IFERROR(tblClean[[#This Row],[EngagementLevel]],"")</f>
        <v>Low</v>
      </c>
      <c r="F100" s="23">
        <f ca="1">IFERROR(TODAY()-'Raw Data'!M100,999)</f>
        <v>60</v>
      </c>
      <c r="G100" s="23">
        <f>IFERROR(COUNTIFS(tblTransactions[CustomerID],A100),0)</f>
        <v>2</v>
      </c>
      <c r="H100" s="23">
        <f>IFERROR(SUMIFS(tblTransactions[Amount (INR)],tblTransactions[CustomerID],A100),0)</f>
        <v>20300</v>
      </c>
      <c r="I100" s="19">
        <f t="shared" ca="1" si="23"/>
        <v>4</v>
      </c>
      <c r="J100" s="19">
        <f t="shared" si="24"/>
        <v>2</v>
      </c>
      <c r="K100" s="19">
        <f t="shared" si="25"/>
        <v>3</v>
      </c>
      <c r="L100" s="19" t="str">
        <f t="shared" ca="1" si="26"/>
        <v>423</v>
      </c>
      <c r="M100" s="19">
        <f>IFERROR(INDEX('Raw Data'!$X$3:$X$202,MATCH(A100,'Raw Data'!$W$3:$W$202,0)),"")</f>
        <v>4</v>
      </c>
      <c r="N100" s="19">
        <f>IFERROR(INDEX('Raw Data'!$Z$3:$Z$202,MATCH(A100,'Raw Data'!$W$3:$W$202,0)),"")</f>
        <v>8</v>
      </c>
      <c r="O100" s="19">
        <f t="shared" si="27"/>
        <v>4</v>
      </c>
      <c r="P100" s="19" t="str">
        <f>IFERROR(tblClean[[#This Row],[AgeGroup]],"")</f>
        <v>40-54</v>
      </c>
      <c r="Q100" s="19" t="str">
        <f>IFERROR(tblClean[[#This Row],[IncomeBracket]],"")</f>
        <v>High</v>
      </c>
      <c r="R100" s="19" t="str">
        <f t="shared" si="28"/>
        <v>LOW</v>
      </c>
      <c r="S100" s="19" t="str">
        <f t="shared" si="29"/>
        <v>Standard</v>
      </c>
      <c r="T100" s="18" t="str">
        <f t="shared" ca="1" si="22"/>
        <v>General</v>
      </c>
      <c r="U100" s="18" t="str">
        <f>IFERROR(INDEX(tblTransactions[ProductCategory],MATCH(A100,tblTransactions[CustomerID],0)),"N/A")</f>
        <v>Electronics</v>
      </c>
    </row>
    <row r="101" spans="1:21" ht="15" customHeight="1" x14ac:dyDescent="0.3">
      <c r="A101" s="16" t="str">
        <f>IFERROR(tblClean[[#This Row],[CustomerID]],"")</f>
        <v>C0099</v>
      </c>
      <c r="B101" s="16" t="str">
        <f>IFERROR(tblClean[[#This Row],[Name (Cleaned)]],"")</f>
        <v>Aditi Tomar</v>
      </c>
      <c r="C101" s="16" t="str">
        <f>IFERROR(tblClean[[#This Row],[City/Region (Cleaned)]],"")</f>
        <v>Jaipur</v>
      </c>
      <c r="D101" s="16" t="str">
        <f>IFERROR(tblClean[[#This Row],[CustomerType]],"")</f>
        <v>Returning</v>
      </c>
      <c r="E101" s="16" t="str">
        <f>IFERROR(tblClean[[#This Row],[EngagementLevel]],"")</f>
        <v>High</v>
      </c>
      <c r="F101" s="22">
        <f ca="1">IFERROR(TODAY()-'Raw Data'!M101,999)</f>
        <v>30</v>
      </c>
      <c r="G101" s="22">
        <f>IFERROR(COUNTIFS(tblTransactions[CustomerID],A101),0)</f>
        <v>9</v>
      </c>
      <c r="H101" s="22">
        <f>IFERROR(SUMIFS(tblTransactions[Amount (INR)],tblTransactions[CustomerID],A101),0)</f>
        <v>79330</v>
      </c>
      <c r="I101" s="16">
        <f t="shared" ca="1" si="23"/>
        <v>5</v>
      </c>
      <c r="J101" s="16">
        <f t="shared" si="24"/>
        <v>5</v>
      </c>
      <c r="K101" s="16">
        <f t="shared" si="25"/>
        <v>5</v>
      </c>
      <c r="L101" s="16" t="str">
        <f t="shared" ca="1" si="26"/>
        <v>555</v>
      </c>
      <c r="M101" s="16">
        <f>IFERROR(INDEX('Raw Data'!$X$3:$X$202,MATCH(A101,'Raw Data'!$W$3:$W$202,0)),"")</f>
        <v>4</v>
      </c>
      <c r="N101" s="16">
        <f>IFERROR(INDEX('Raw Data'!$Z$3:$Z$202,MATCH(A101,'Raw Data'!$W$3:$W$202,0)),"")</f>
        <v>9</v>
      </c>
      <c r="O101" s="16">
        <f t="shared" si="27"/>
        <v>4.25</v>
      </c>
      <c r="P101" s="16" t="str">
        <f>IFERROR(tblClean[[#This Row],[AgeGroup]],"")</f>
        <v>40-54</v>
      </c>
      <c r="Q101" s="16" t="str">
        <f>IFERROR(tblClean[[#This Row],[IncomeBracket]],"")</f>
        <v>High</v>
      </c>
      <c r="R101" s="16" t="str">
        <f t="shared" si="28"/>
        <v>HIGH</v>
      </c>
      <c r="S101" s="16" t="str">
        <f t="shared" si="29"/>
        <v>Premium</v>
      </c>
      <c r="T101" s="18" t="str">
        <f t="shared" ca="1" si="22"/>
        <v>Loyal</v>
      </c>
      <c r="U101" s="18" t="str">
        <f>IFERROR(INDEX(tblTransactions[ProductCategory],MATCH(A101,tblTransactions[CustomerID],0)),"N/A")</f>
        <v>Grocery</v>
      </c>
    </row>
    <row r="102" spans="1:21" ht="15" customHeight="1" x14ac:dyDescent="0.3">
      <c r="A102" s="19" t="str">
        <f>IFERROR(tblClean[[#This Row],[CustomerID]],"")</f>
        <v>C0100</v>
      </c>
      <c r="B102" s="19" t="str">
        <f>IFERROR(tblClean[[#This Row],[Name (Cleaned)]],"")</f>
        <v>Poonam Solanki</v>
      </c>
      <c r="C102" s="19" t="str">
        <f>IFERROR(tblClean[[#This Row],[City/Region (Cleaned)]],"")</f>
        <v>Ahmedabad</v>
      </c>
      <c r="D102" s="19" t="str">
        <f>IFERROR(tblClean[[#This Row],[CustomerType]],"")</f>
        <v>Returning</v>
      </c>
      <c r="E102" s="19" t="str">
        <f>IFERROR(tblClean[[#This Row],[EngagementLevel]],"")</f>
        <v>High</v>
      </c>
      <c r="F102" s="23">
        <f ca="1">IFERROR(TODAY()-'Raw Data'!M102,999)</f>
        <v>85</v>
      </c>
      <c r="G102" s="23">
        <f>IFERROR(COUNTIFS(tblTransactions[CustomerID],A102),0)</f>
        <v>14</v>
      </c>
      <c r="H102" s="23">
        <f>IFERROR(SUMIFS(tblTransactions[Amount (INR)],tblTransactions[CustomerID],A102),0)</f>
        <v>45840</v>
      </c>
      <c r="I102" s="19">
        <f t="shared" ca="1" si="23"/>
        <v>3</v>
      </c>
      <c r="J102" s="19">
        <f t="shared" si="24"/>
        <v>5</v>
      </c>
      <c r="K102" s="19">
        <f t="shared" si="25"/>
        <v>4</v>
      </c>
      <c r="L102" s="19" t="str">
        <f t="shared" ca="1" si="26"/>
        <v>354</v>
      </c>
      <c r="M102" s="19">
        <f>IFERROR(INDEX('Raw Data'!$X$3:$X$202,MATCH(A102,'Raw Data'!$W$3:$W$202,0)),"")</f>
        <v>2</v>
      </c>
      <c r="N102" s="19">
        <f>IFERROR(INDEX('Raw Data'!$Z$3:$Z$202,MATCH(A102,'Raw Data'!$W$3:$W$202,0)),"")</f>
        <v>5</v>
      </c>
      <c r="O102" s="19">
        <f t="shared" si="27"/>
        <v>2.25</v>
      </c>
      <c r="P102" s="19" t="str">
        <f>IFERROR(tblClean[[#This Row],[AgeGroup]],"")</f>
        <v>&lt;25</v>
      </c>
      <c r="Q102" s="19" t="str">
        <f>IFERROR(tblClean[[#This Row],[IncomeBracket]],"")</f>
        <v>High</v>
      </c>
      <c r="R102" s="19" t="str">
        <f t="shared" si="28"/>
        <v>HIGH</v>
      </c>
      <c r="S102" s="19" t="str">
        <f t="shared" si="29"/>
        <v>Standard</v>
      </c>
      <c r="T102" s="18" t="str">
        <f t="shared" ca="1" si="22"/>
        <v>General</v>
      </c>
      <c r="U102" s="18" t="str">
        <f>IFERROR(INDEX(tblTransactions[ProductCategory],MATCH(A102,tblTransactions[CustomerID],0)),"N/A")</f>
        <v>Electronics</v>
      </c>
    </row>
    <row r="103" spans="1:21" ht="15" customHeight="1" x14ac:dyDescent="0.3">
      <c r="A103" s="16" t="str">
        <f>IFERROR(tblClean[[#This Row],[CustomerID]],"")</f>
        <v>C0101</v>
      </c>
      <c r="B103" s="16" t="str">
        <f>IFERROR(tblClean[[#This Row],[Name (Cleaned)]],"")</f>
        <v>Rahul Verma</v>
      </c>
      <c r="C103" s="16" t="str">
        <f>IFERROR(tblClean[[#This Row],[City/Region (Cleaned)]],"")</f>
        <v>Jaipur</v>
      </c>
      <c r="D103" s="16" t="str">
        <f>IFERROR(tblClean[[#This Row],[CustomerType]],"")</f>
        <v>New</v>
      </c>
      <c r="E103" s="16" t="str">
        <f>IFERROR(tblClean[[#This Row],[EngagementLevel]],"")</f>
        <v>High</v>
      </c>
      <c r="F103" s="22">
        <f ca="1">IFERROR(TODAY()-'Raw Data'!M103,999)</f>
        <v>361</v>
      </c>
      <c r="G103" s="22">
        <f>IFERROR(COUNTIFS(tblTransactions[CustomerID],A103),0)</f>
        <v>9</v>
      </c>
      <c r="H103" s="22">
        <f>IFERROR(SUMIFS(tblTransactions[Amount (INR)],tblTransactions[CustomerID],A103),0)</f>
        <v>121865</v>
      </c>
      <c r="I103" s="16">
        <f t="shared" ca="1" si="23"/>
        <v>1</v>
      </c>
      <c r="J103" s="16">
        <f t="shared" si="24"/>
        <v>5</v>
      </c>
      <c r="K103" s="16">
        <f t="shared" si="25"/>
        <v>5</v>
      </c>
      <c r="L103" s="16" t="str">
        <f t="shared" ca="1" si="26"/>
        <v>155</v>
      </c>
      <c r="M103" s="16">
        <f>IFERROR(INDEX('Raw Data'!$X$3:$X$202,MATCH(A103,'Raw Data'!$W$3:$W$202,0)),"")</f>
        <v>2</v>
      </c>
      <c r="N103" s="16">
        <f>IFERROR(INDEX('Raw Data'!$Z$3:$Z$202,MATCH(A103,'Raw Data'!$W$3:$W$202,0)),"")</f>
        <v>7</v>
      </c>
      <c r="O103" s="16">
        <f t="shared" si="27"/>
        <v>2.75</v>
      </c>
      <c r="P103" s="16" t="str">
        <f>IFERROR(tblClean[[#This Row],[AgeGroup]],"")</f>
        <v>&lt;25</v>
      </c>
      <c r="Q103" s="16" t="str">
        <f>IFERROR(tblClean[[#This Row],[IncomeBracket]],"")</f>
        <v>High</v>
      </c>
      <c r="R103" s="16" t="str">
        <f t="shared" si="28"/>
        <v>HIGH</v>
      </c>
      <c r="S103" s="16" t="str">
        <f t="shared" si="29"/>
        <v>Premium</v>
      </c>
      <c r="T103" s="18" t="str">
        <f t="shared" ca="1" si="22"/>
        <v>High Value</v>
      </c>
      <c r="U103" s="18" t="str">
        <f>IFERROR(INDEX(tblTransactions[ProductCategory],MATCH(A103,tblTransactions[CustomerID],0)),"N/A")</f>
        <v>Grocery</v>
      </c>
    </row>
    <row r="104" spans="1:21" ht="15" customHeight="1" x14ac:dyDescent="0.3">
      <c r="A104" s="19" t="str">
        <f>IFERROR(tblClean[[#This Row],[CustomerID]],"")</f>
        <v>C0102</v>
      </c>
      <c r="B104" s="19" t="str">
        <f>IFERROR(tblClean[[#This Row],[Name (Cleaned)]],"")</f>
        <v>Ravi Kumar</v>
      </c>
      <c r="C104" s="19" t="str">
        <f>IFERROR(tblClean[[#This Row],[City/Region (Cleaned)]],"")</f>
        <v>Pune</v>
      </c>
      <c r="D104" s="19" t="str">
        <f>IFERROR(tblClean[[#This Row],[CustomerType]],"")</f>
        <v>New</v>
      </c>
      <c r="E104" s="19" t="str">
        <f>IFERROR(tblClean[[#This Row],[EngagementLevel]],"")</f>
        <v>Low</v>
      </c>
      <c r="F104" s="23">
        <f ca="1">IFERROR(TODAY()-'Raw Data'!M104,999)</f>
        <v>161</v>
      </c>
      <c r="G104" s="23">
        <f>IFERROR(COUNTIFS(tblTransactions[CustomerID],A104),0)</f>
        <v>3</v>
      </c>
      <c r="H104" s="23">
        <f>IFERROR(SUMIFS(tblTransactions[Amount (INR)],tblTransactions[CustomerID],A104),0)</f>
        <v>52683</v>
      </c>
      <c r="I104" s="19">
        <f t="shared" ca="1" si="23"/>
        <v>2</v>
      </c>
      <c r="J104" s="19">
        <f t="shared" si="24"/>
        <v>2</v>
      </c>
      <c r="K104" s="19">
        <f t="shared" si="25"/>
        <v>5</v>
      </c>
      <c r="L104" s="19" t="str">
        <f t="shared" ca="1" si="26"/>
        <v>225</v>
      </c>
      <c r="M104" s="19">
        <f>IFERROR(INDEX('Raw Data'!$X$3:$X$202,MATCH(A104,'Raw Data'!$W$3:$W$202,0)),"")</f>
        <v>1</v>
      </c>
      <c r="N104" s="19">
        <f>IFERROR(INDEX('Raw Data'!$Z$3:$Z$202,MATCH(A104,'Raw Data'!$W$3:$W$202,0)),"")</f>
        <v>8</v>
      </c>
      <c r="O104" s="19">
        <f t="shared" si="27"/>
        <v>2.5</v>
      </c>
      <c r="P104" s="19" t="str">
        <f>IFERROR(tblClean[[#This Row],[AgeGroup]],"")</f>
        <v>55+</v>
      </c>
      <c r="Q104" s="19" t="str">
        <f>IFERROR(tblClean[[#This Row],[IncomeBracket]],"")</f>
        <v>High</v>
      </c>
      <c r="R104" s="19" t="str">
        <f t="shared" si="28"/>
        <v>LOW</v>
      </c>
      <c r="S104" s="19" t="str">
        <f t="shared" si="29"/>
        <v>Premium</v>
      </c>
      <c r="T104" s="18" t="str">
        <f t="shared" ca="1" si="22"/>
        <v>High Value</v>
      </c>
      <c r="U104" s="18" t="str">
        <f>IFERROR(INDEX(tblTransactions[ProductCategory],MATCH(A104,tblTransactions[CustomerID],0)),"N/A")</f>
        <v>Beauty</v>
      </c>
    </row>
    <row r="105" spans="1:21" ht="15" customHeight="1" x14ac:dyDescent="0.3">
      <c r="A105" s="16" t="str">
        <f>IFERROR(tblClean[[#This Row],[CustomerID]],"")</f>
        <v>C0103</v>
      </c>
      <c r="B105" s="16" t="str">
        <f>IFERROR(tblClean[[#This Row],[Name (Cleaned)]],"")</f>
        <v>Geeta Verma</v>
      </c>
      <c r="C105" s="16" t="str">
        <f>IFERROR(tblClean[[#This Row],[City/Region (Cleaned)]],"")</f>
        <v>Bangalore</v>
      </c>
      <c r="D105" s="16" t="str">
        <f>IFERROR(tblClean[[#This Row],[CustomerType]],"")</f>
        <v>Returning</v>
      </c>
      <c r="E105" s="16" t="str">
        <f>IFERROR(tblClean[[#This Row],[EngagementLevel]],"")</f>
        <v>Low</v>
      </c>
      <c r="F105" s="22">
        <f ca="1">IFERROR(TODAY()-'Raw Data'!M105,999)</f>
        <v>142</v>
      </c>
      <c r="G105" s="22">
        <f>IFERROR(COUNTIFS(tblTransactions[CustomerID],A105),0)</f>
        <v>10</v>
      </c>
      <c r="H105" s="22">
        <f>IFERROR(SUMIFS(tblTransactions[Amount (INR)],tblTransactions[CustomerID],A105),0)</f>
        <v>124479</v>
      </c>
      <c r="I105" s="16">
        <f t="shared" ca="1" si="23"/>
        <v>2</v>
      </c>
      <c r="J105" s="16">
        <f t="shared" si="24"/>
        <v>5</v>
      </c>
      <c r="K105" s="16">
        <f t="shared" si="25"/>
        <v>5</v>
      </c>
      <c r="L105" s="16" t="str">
        <f t="shared" ca="1" si="26"/>
        <v>255</v>
      </c>
      <c r="M105" s="16">
        <f>IFERROR(INDEX('Raw Data'!$X$3:$X$202,MATCH(A105,'Raw Data'!$W$3:$W$202,0)),"")</f>
        <v>5</v>
      </c>
      <c r="N105" s="16">
        <f>IFERROR(INDEX('Raw Data'!$Z$3:$Z$202,MATCH(A105,'Raw Data'!$W$3:$W$202,0)),"")</f>
        <v>7</v>
      </c>
      <c r="O105" s="16">
        <f t="shared" si="27"/>
        <v>4.25</v>
      </c>
      <c r="P105" s="16" t="str">
        <f>IFERROR(tblClean[[#This Row],[AgeGroup]],"")</f>
        <v>25-39</v>
      </c>
      <c r="Q105" s="16" t="str">
        <f>IFERROR(tblClean[[#This Row],[IncomeBracket]],"")</f>
        <v>High</v>
      </c>
      <c r="R105" s="16" t="str">
        <f t="shared" si="28"/>
        <v>LOW</v>
      </c>
      <c r="S105" s="16" t="str">
        <f t="shared" si="29"/>
        <v>Premium</v>
      </c>
      <c r="T105" s="18" t="str">
        <f t="shared" ca="1" si="22"/>
        <v>High Value</v>
      </c>
      <c r="U105" s="18" t="str">
        <f>IFERROR(INDEX(tblTransactions[ProductCategory],MATCH(A105,tblTransactions[CustomerID],0)),"N/A")</f>
        <v>Sports</v>
      </c>
    </row>
    <row r="106" spans="1:21" ht="15" customHeight="1" x14ac:dyDescent="0.3">
      <c r="A106" s="19" t="str">
        <f>IFERROR(tblClean[[#This Row],[CustomerID]],"")</f>
        <v>C0104</v>
      </c>
      <c r="B106" s="19" t="str">
        <f>IFERROR(tblClean[[#This Row],[Name (Cleaned)]],"")</f>
        <v>Sneha Jain</v>
      </c>
      <c r="C106" s="19" t="str">
        <f>IFERROR(tblClean[[#This Row],[City/Region (Cleaned)]],"")</f>
        <v>Coimbatore</v>
      </c>
      <c r="D106" s="19" t="str">
        <f>IFERROR(tblClean[[#This Row],[CustomerType]],"")</f>
        <v>New</v>
      </c>
      <c r="E106" s="19" t="str">
        <f>IFERROR(tblClean[[#This Row],[EngagementLevel]],"")</f>
        <v>High</v>
      </c>
      <c r="F106" s="23">
        <f ca="1">IFERROR(TODAY()-'Raw Data'!M106,999)</f>
        <v>229</v>
      </c>
      <c r="G106" s="23">
        <f>IFERROR(COUNTIFS(tblTransactions[CustomerID],A106),0)</f>
        <v>2</v>
      </c>
      <c r="H106" s="23">
        <f>IFERROR(SUMIFS(tblTransactions[Amount (INR)],tblTransactions[CustomerID],A106),0)</f>
        <v>36179</v>
      </c>
      <c r="I106" s="19">
        <f t="shared" ca="1" si="23"/>
        <v>1</v>
      </c>
      <c r="J106" s="19">
        <f t="shared" si="24"/>
        <v>2</v>
      </c>
      <c r="K106" s="19">
        <f t="shared" si="25"/>
        <v>4</v>
      </c>
      <c r="L106" s="19" t="str">
        <f t="shared" ca="1" si="26"/>
        <v>124</v>
      </c>
      <c r="M106" s="19">
        <f>IFERROR(INDEX('Raw Data'!$X$3:$X$202,MATCH(A106,'Raw Data'!$W$3:$W$202,0)),"")</f>
        <v>1</v>
      </c>
      <c r="N106" s="19">
        <f>IFERROR(INDEX('Raw Data'!$Z$3:$Z$202,MATCH(A106,'Raw Data'!$W$3:$W$202,0)),"")</f>
        <v>4</v>
      </c>
      <c r="O106" s="19">
        <f t="shared" si="27"/>
        <v>1.5</v>
      </c>
      <c r="P106" s="19" t="str">
        <f>IFERROR(tblClean[[#This Row],[AgeGroup]],"")</f>
        <v>55+</v>
      </c>
      <c r="Q106" s="19" t="str">
        <f>IFERROR(tblClean[[#This Row],[IncomeBracket]],"")</f>
        <v>High</v>
      </c>
      <c r="R106" s="19" t="str">
        <f t="shared" si="28"/>
        <v>HIGH</v>
      </c>
      <c r="S106" s="19" t="str">
        <f t="shared" si="29"/>
        <v>Standard</v>
      </c>
      <c r="T106" s="18" t="str">
        <f t="shared" ca="1" si="22"/>
        <v>At Risk</v>
      </c>
      <c r="U106" s="18" t="str">
        <f>IFERROR(INDEX(tblTransactions[ProductCategory],MATCH(A106,tblTransactions[CustomerID],0)),"N/A")</f>
        <v>Home Decor</v>
      </c>
    </row>
    <row r="107" spans="1:21" ht="15" customHeight="1" x14ac:dyDescent="0.3">
      <c r="A107" s="16" t="str">
        <f>IFERROR(tblClean[[#This Row],[CustomerID]],"")</f>
        <v>C0105</v>
      </c>
      <c r="B107" s="16" t="str">
        <f>IFERROR(tblClean[[#This Row],[Name (Cleaned)]],"")</f>
        <v>Sneha Nair</v>
      </c>
      <c r="C107" s="16" t="str">
        <f>IFERROR(tblClean[[#This Row],[City/Region (Cleaned)]],"")</f>
        <v>Indore</v>
      </c>
      <c r="D107" s="16" t="str">
        <f>IFERROR(tblClean[[#This Row],[CustomerType]],"")</f>
        <v>Returning</v>
      </c>
      <c r="E107" s="16" t="str">
        <f>IFERROR(tblClean[[#This Row],[EngagementLevel]],"")</f>
        <v>High</v>
      </c>
      <c r="F107" s="22">
        <f ca="1">IFERROR(TODAY()-'Raw Data'!M107,999)</f>
        <v>46</v>
      </c>
      <c r="G107" s="22">
        <f>IFERROR(COUNTIFS(tblTransactions[CustomerID],A107),0)</f>
        <v>8</v>
      </c>
      <c r="H107" s="22">
        <f>IFERROR(SUMIFS(tblTransactions[Amount (INR)],tblTransactions[CustomerID],A107),0)</f>
        <v>84971</v>
      </c>
      <c r="I107" s="16">
        <f t="shared" ca="1" si="23"/>
        <v>4</v>
      </c>
      <c r="J107" s="16">
        <f t="shared" si="24"/>
        <v>5</v>
      </c>
      <c r="K107" s="16">
        <f t="shared" si="25"/>
        <v>5</v>
      </c>
      <c r="L107" s="16" t="str">
        <f t="shared" ca="1" si="26"/>
        <v>455</v>
      </c>
      <c r="M107" s="16">
        <f>IFERROR(INDEX('Raw Data'!$X$3:$X$202,MATCH(A107,'Raw Data'!$W$3:$W$202,0)),"")</f>
        <v>3</v>
      </c>
      <c r="N107" s="16">
        <f>IFERROR(INDEX('Raw Data'!$Z$3:$Z$202,MATCH(A107,'Raw Data'!$W$3:$W$202,0)),"")</f>
        <v>10</v>
      </c>
      <c r="O107" s="16">
        <f t="shared" si="27"/>
        <v>4</v>
      </c>
      <c r="P107" s="16" t="str">
        <f>IFERROR(tblClean[[#This Row],[AgeGroup]],"")</f>
        <v>40-54</v>
      </c>
      <c r="Q107" s="16" t="str">
        <f>IFERROR(tblClean[[#This Row],[IncomeBracket]],"")</f>
        <v>Mid</v>
      </c>
      <c r="R107" s="16" t="str">
        <f t="shared" si="28"/>
        <v>HIGH</v>
      </c>
      <c r="S107" s="16" t="str">
        <f t="shared" si="29"/>
        <v>Premium</v>
      </c>
      <c r="T107" s="18" t="str">
        <f t="shared" ca="1" si="22"/>
        <v>High Value</v>
      </c>
      <c r="U107" s="18" t="str">
        <f>IFERROR(INDEX(tblTransactions[ProductCategory],MATCH(A107,tblTransactions[CustomerID],0)),"N/A")</f>
        <v>Sports</v>
      </c>
    </row>
    <row r="108" spans="1:21" ht="15" customHeight="1" x14ac:dyDescent="0.3">
      <c r="A108" s="19" t="str">
        <f>IFERROR(tblClean[[#This Row],[CustomerID]],"")</f>
        <v>C0106</v>
      </c>
      <c r="B108" s="19" t="str">
        <f>IFERROR(tblClean[[#This Row],[Name (Cleaned)]],"")</f>
        <v>Kunal Gupta</v>
      </c>
      <c r="C108" s="19" t="str">
        <f>IFERROR(tblClean[[#This Row],[City/Region (Cleaned)]],"")</f>
        <v>Nagpur</v>
      </c>
      <c r="D108" s="19" t="str">
        <f>IFERROR(tblClean[[#This Row],[CustomerType]],"")</f>
        <v>Returning</v>
      </c>
      <c r="E108" s="19" t="str">
        <f>IFERROR(tblClean[[#This Row],[EngagementLevel]],"")</f>
        <v>Low</v>
      </c>
      <c r="F108" s="23">
        <f ca="1">IFERROR(TODAY()-'Raw Data'!M108,999)</f>
        <v>361</v>
      </c>
      <c r="G108" s="23">
        <f>IFERROR(COUNTIFS(tblTransactions[CustomerID],A108),0)</f>
        <v>1</v>
      </c>
      <c r="H108" s="23">
        <f>IFERROR(SUMIFS(tblTransactions[Amount (INR)],tblTransactions[CustomerID],A108),0)</f>
        <v>9906</v>
      </c>
      <c r="I108" s="19">
        <f t="shared" ca="1" si="23"/>
        <v>1</v>
      </c>
      <c r="J108" s="19">
        <f t="shared" si="24"/>
        <v>1</v>
      </c>
      <c r="K108" s="19">
        <f t="shared" si="25"/>
        <v>2</v>
      </c>
      <c r="L108" s="19" t="str">
        <f t="shared" ca="1" si="26"/>
        <v>112</v>
      </c>
      <c r="M108" s="19">
        <f>IFERROR(INDEX('Raw Data'!$X$3:$X$202,MATCH(A108,'Raw Data'!$W$3:$W$202,0)),"")</f>
        <v>1</v>
      </c>
      <c r="N108" s="19">
        <f>IFERROR(INDEX('Raw Data'!$Z$3:$Z$202,MATCH(A108,'Raw Data'!$W$3:$W$202,0)),"")</f>
        <v>6</v>
      </c>
      <c r="O108" s="19">
        <f t="shared" si="27"/>
        <v>2</v>
      </c>
      <c r="P108" s="19" t="str">
        <f>IFERROR(tblClean[[#This Row],[AgeGroup]],"")</f>
        <v>25-39</v>
      </c>
      <c r="Q108" s="19" t="str">
        <f>IFERROR(tblClean[[#This Row],[IncomeBracket]],"")</f>
        <v>High</v>
      </c>
      <c r="R108" s="19" t="str">
        <f t="shared" si="28"/>
        <v>LOW</v>
      </c>
      <c r="S108" s="19" t="str">
        <f t="shared" si="29"/>
        <v>Budget</v>
      </c>
      <c r="T108" s="18" t="str">
        <f t="shared" ca="1" si="22"/>
        <v>At Risk</v>
      </c>
      <c r="U108" s="18" t="str">
        <f>IFERROR(INDEX(tblTransactions[ProductCategory],MATCH(A108,tblTransactions[CustomerID],0)),"N/A")</f>
        <v>Fashion</v>
      </c>
    </row>
    <row r="109" spans="1:21" ht="15" customHeight="1" x14ac:dyDescent="0.3">
      <c r="A109" s="16" t="str">
        <f>IFERROR(tblClean[[#This Row],[CustomerID]],"")</f>
        <v>C0107</v>
      </c>
      <c r="B109" s="16" t="str">
        <f>IFERROR(tblClean[[#This Row],[Name (Cleaned)]],"")</f>
        <v>Aarti Reddy</v>
      </c>
      <c r="C109" s="16" t="str">
        <f>IFERROR(tblClean[[#This Row],[City/Region (Cleaned)]],"")</f>
        <v>Patna</v>
      </c>
      <c r="D109" s="16" t="str">
        <f>IFERROR(tblClean[[#This Row],[CustomerType]],"")</f>
        <v>New</v>
      </c>
      <c r="E109" s="16" t="str">
        <f>IFERROR(tblClean[[#This Row],[EngagementLevel]],"")</f>
        <v>Medium</v>
      </c>
      <c r="F109" s="22">
        <f ca="1">IFERROR(TODAY()-'Raw Data'!M109,999)</f>
        <v>251</v>
      </c>
      <c r="G109" s="22">
        <f>IFERROR(COUNTIFS(tblTransactions[CustomerID],A109),0)</f>
        <v>2</v>
      </c>
      <c r="H109" s="22">
        <f>IFERROR(SUMIFS(tblTransactions[Amount (INR)],tblTransactions[CustomerID],A109),0)</f>
        <v>33750</v>
      </c>
      <c r="I109" s="16">
        <f t="shared" ca="1" si="23"/>
        <v>1</v>
      </c>
      <c r="J109" s="16">
        <f t="shared" si="24"/>
        <v>2</v>
      </c>
      <c r="K109" s="16">
        <f t="shared" si="25"/>
        <v>4</v>
      </c>
      <c r="L109" s="16" t="str">
        <f t="shared" ca="1" si="26"/>
        <v>124</v>
      </c>
      <c r="M109" s="16">
        <f>IFERROR(INDEX('Raw Data'!$X$3:$X$202,MATCH(A109,'Raw Data'!$W$3:$W$202,0)),"")</f>
        <v>3</v>
      </c>
      <c r="N109" s="16">
        <f>IFERROR(INDEX('Raw Data'!$Z$3:$Z$202,MATCH(A109,'Raw Data'!$W$3:$W$202,0)),"")</f>
        <v>8</v>
      </c>
      <c r="O109" s="16">
        <f t="shared" si="27"/>
        <v>3.5</v>
      </c>
      <c r="P109" s="16" t="str">
        <f>IFERROR(tblClean[[#This Row],[AgeGroup]],"")</f>
        <v>25-39</v>
      </c>
      <c r="Q109" s="16" t="str">
        <f>IFERROR(tblClean[[#This Row],[IncomeBracket]],"")</f>
        <v>High</v>
      </c>
      <c r="R109" s="16" t="str">
        <f t="shared" si="28"/>
        <v>MED</v>
      </c>
      <c r="S109" s="16" t="str">
        <f t="shared" si="29"/>
        <v>Standard</v>
      </c>
      <c r="T109" s="18" t="str">
        <f t="shared" ca="1" si="22"/>
        <v>At Risk</v>
      </c>
      <c r="U109" s="18" t="str">
        <f>IFERROR(INDEX(tblTransactions[ProductCategory],MATCH(A109,tblTransactions[CustomerID],0)),"N/A")</f>
        <v>Electronics</v>
      </c>
    </row>
    <row r="110" spans="1:21" ht="15" customHeight="1" x14ac:dyDescent="0.3">
      <c r="A110" s="19" t="str">
        <f>IFERROR(tblClean[[#This Row],[CustomerID]],"")</f>
        <v>C0108</v>
      </c>
      <c r="B110" s="19" t="str">
        <f>IFERROR(tblClean[[#This Row],[Name (Cleaned)]],"")</f>
        <v>Divya Singh</v>
      </c>
      <c r="C110" s="19" t="str">
        <f>IFERROR(tblClean[[#This Row],[City/Region (Cleaned)]],"")</f>
        <v>Bhopal</v>
      </c>
      <c r="D110" s="19" t="str">
        <f>IFERROR(tblClean[[#This Row],[CustomerType]],"")</f>
        <v>New</v>
      </c>
      <c r="E110" s="19" t="str">
        <f>IFERROR(tblClean[[#This Row],[EngagementLevel]],"")</f>
        <v>Low</v>
      </c>
      <c r="F110" s="23">
        <f ca="1">IFERROR(TODAY()-'Raw Data'!M110,999)</f>
        <v>299</v>
      </c>
      <c r="G110" s="23">
        <f>IFERROR(COUNTIFS(tblTransactions[CustomerID],A110),0)</f>
        <v>8</v>
      </c>
      <c r="H110" s="23">
        <f>IFERROR(SUMIFS(tblTransactions[Amount (INR)],tblTransactions[CustomerID],A110),0)</f>
        <v>141365</v>
      </c>
      <c r="I110" s="19">
        <f t="shared" ca="1" si="23"/>
        <v>1</v>
      </c>
      <c r="J110" s="19">
        <f t="shared" si="24"/>
        <v>5</v>
      </c>
      <c r="K110" s="19">
        <f t="shared" si="25"/>
        <v>5</v>
      </c>
      <c r="L110" s="19" t="str">
        <f t="shared" ca="1" si="26"/>
        <v>155</v>
      </c>
      <c r="M110" s="19">
        <f>IFERROR(INDEX('Raw Data'!$X$3:$X$202,MATCH(A110,'Raw Data'!$W$3:$W$202,0)),"")</f>
        <v>1</v>
      </c>
      <c r="N110" s="19">
        <f>IFERROR(INDEX('Raw Data'!$Z$3:$Z$202,MATCH(A110,'Raw Data'!$W$3:$W$202,0)),"")</f>
        <v>8</v>
      </c>
      <c r="O110" s="19">
        <f t="shared" si="27"/>
        <v>2.5</v>
      </c>
      <c r="P110" s="19" t="str">
        <f>IFERROR(tblClean[[#This Row],[AgeGroup]],"")</f>
        <v>55+</v>
      </c>
      <c r="Q110" s="19" t="str">
        <f>IFERROR(tblClean[[#This Row],[IncomeBracket]],"")</f>
        <v>High</v>
      </c>
      <c r="R110" s="19" t="str">
        <f t="shared" si="28"/>
        <v>LOW</v>
      </c>
      <c r="S110" s="19" t="str">
        <f t="shared" si="29"/>
        <v>Premium</v>
      </c>
      <c r="T110" s="18" t="str">
        <f t="shared" ca="1" si="22"/>
        <v>High Value</v>
      </c>
      <c r="U110" s="18" t="str">
        <f>IFERROR(INDEX(tblTransactions[ProductCategory],MATCH(A110,tblTransactions[CustomerID],0)),"N/A")</f>
        <v>Sports</v>
      </c>
    </row>
    <row r="111" spans="1:21" ht="15" customHeight="1" x14ac:dyDescent="0.3">
      <c r="A111" s="16" t="str">
        <f>IFERROR(tblClean[[#This Row],[CustomerID]],"")</f>
        <v>C0109</v>
      </c>
      <c r="B111" s="16" t="str">
        <f>IFERROR(tblClean[[#This Row],[Name (Cleaned)]],"")</f>
        <v>Kunal Iyer</v>
      </c>
      <c r="C111" s="16" t="str">
        <f>IFERROR(tblClean[[#This Row],[City/Region (Cleaned)]],"")</f>
        <v>Bhopal</v>
      </c>
      <c r="D111" s="16" t="str">
        <f>IFERROR(tblClean[[#This Row],[CustomerType]],"")</f>
        <v>New</v>
      </c>
      <c r="E111" s="16" t="str">
        <f>IFERROR(tblClean[[#This Row],[EngagementLevel]],"")</f>
        <v>High</v>
      </c>
      <c r="F111" s="22">
        <f ca="1">IFERROR(TODAY()-'Raw Data'!M111,999)</f>
        <v>241</v>
      </c>
      <c r="G111" s="22">
        <f>IFERROR(COUNTIFS(tblTransactions[CustomerID],A111),0)</f>
        <v>8</v>
      </c>
      <c r="H111" s="22">
        <f>IFERROR(SUMIFS(tblTransactions[Amount (INR)],tblTransactions[CustomerID],A111),0)</f>
        <v>118417</v>
      </c>
      <c r="I111" s="16">
        <f t="shared" ca="1" si="23"/>
        <v>1</v>
      </c>
      <c r="J111" s="16">
        <f t="shared" si="24"/>
        <v>5</v>
      </c>
      <c r="K111" s="16">
        <f t="shared" si="25"/>
        <v>5</v>
      </c>
      <c r="L111" s="16" t="str">
        <f t="shared" ca="1" si="26"/>
        <v>155</v>
      </c>
      <c r="M111" s="16">
        <f>IFERROR(INDEX('Raw Data'!$X$3:$X$202,MATCH(A111,'Raw Data'!$W$3:$W$202,0)),"")</f>
        <v>5</v>
      </c>
      <c r="N111" s="16">
        <f>IFERROR(INDEX('Raw Data'!$Z$3:$Z$202,MATCH(A111,'Raw Data'!$W$3:$W$202,0)),"")</f>
        <v>10</v>
      </c>
      <c r="O111" s="16">
        <f t="shared" si="27"/>
        <v>5</v>
      </c>
      <c r="P111" s="16" t="str">
        <f>IFERROR(tblClean[[#This Row],[AgeGroup]],"")</f>
        <v>40-54</v>
      </c>
      <c r="Q111" s="16" t="str">
        <f>IFERROR(tblClean[[#This Row],[IncomeBracket]],"")</f>
        <v>High</v>
      </c>
      <c r="R111" s="16" t="str">
        <f t="shared" si="28"/>
        <v>HIGH</v>
      </c>
      <c r="S111" s="16" t="str">
        <f t="shared" si="29"/>
        <v>Premium</v>
      </c>
      <c r="T111" s="18" t="str">
        <f t="shared" ca="1" si="22"/>
        <v>Loyal</v>
      </c>
      <c r="U111" s="18" t="str">
        <f>IFERROR(INDEX(tblTransactions[ProductCategory],MATCH(A111,tblTransactions[CustomerID],0)),"N/A")</f>
        <v>Sports</v>
      </c>
    </row>
    <row r="112" spans="1:21" ht="15" customHeight="1" x14ac:dyDescent="0.3">
      <c r="A112" s="19" t="str">
        <f>IFERROR(tblClean[[#This Row],[CustomerID]],"")</f>
        <v>C0110</v>
      </c>
      <c r="B112" s="19" t="str">
        <f>IFERROR(tblClean[[#This Row],[Name (Cleaned)]],"")</f>
        <v>Anil Nair</v>
      </c>
      <c r="C112" s="19" t="str">
        <f>IFERROR(tblClean[[#This Row],[City/Region (Cleaned)]],"")</f>
        <v>Mumbai</v>
      </c>
      <c r="D112" s="19" t="str">
        <f>IFERROR(tblClean[[#This Row],[CustomerType]],"")</f>
        <v>New</v>
      </c>
      <c r="E112" s="19" t="str">
        <f>IFERROR(tblClean[[#This Row],[EngagementLevel]],"")</f>
        <v>High</v>
      </c>
      <c r="F112" s="23">
        <f ca="1">IFERROR(TODAY()-'Raw Data'!M112,999)</f>
        <v>50</v>
      </c>
      <c r="G112" s="23">
        <f>IFERROR(COUNTIFS(tblTransactions[CustomerID],A112),0)</f>
        <v>5</v>
      </c>
      <c r="H112" s="23">
        <f>IFERROR(SUMIFS(tblTransactions[Amount (INR)],tblTransactions[CustomerID],A112),0)</f>
        <v>65096</v>
      </c>
      <c r="I112" s="19">
        <f t="shared" ca="1" si="23"/>
        <v>4</v>
      </c>
      <c r="J112" s="19">
        <f t="shared" si="24"/>
        <v>3</v>
      </c>
      <c r="K112" s="19">
        <f t="shared" si="25"/>
        <v>5</v>
      </c>
      <c r="L112" s="19" t="str">
        <f t="shared" ca="1" si="26"/>
        <v>435</v>
      </c>
      <c r="M112" s="19">
        <f>IFERROR(INDEX('Raw Data'!$X$3:$X$202,MATCH(A112,'Raw Data'!$W$3:$W$202,0)),"")</f>
        <v>4</v>
      </c>
      <c r="N112" s="19">
        <f>IFERROR(INDEX('Raw Data'!$Z$3:$Z$202,MATCH(A112,'Raw Data'!$W$3:$W$202,0)),"")</f>
        <v>10</v>
      </c>
      <c r="O112" s="19">
        <f t="shared" si="27"/>
        <v>4.5</v>
      </c>
      <c r="P112" s="19" t="str">
        <f>IFERROR(tblClean[[#This Row],[AgeGroup]],"")</f>
        <v>40-54</v>
      </c>
      <c r="Q112" s="19" t="str">
        <f>IFERROR(tblClean[[#This Row],[IncomeBracket]],"")</f>
        <v>High</v>
      </c>
      <c r="R112" s="19" t="str">
        <f t="shared" si="28"/>
        <v>HIGH</v>
      </c>
      <c r="S112" s="19" t="str">
        <f t="shared" si="29"/>
        <v>Premium</v>
      </c>
      <c r="T112" s="18" t="str">
        <f t="shared" ca="1" si="22"/>
        <v>Loyal</v>
      </c>
      <c r="U112" s="18" t="str">
        <f>IFERROR(INDEX(tblTransactions[ProductCategory],MATCH(A112,tblTransactions[CustomerID],0)),"N/A")</f>
        <v>Sports</v>
      </c>
    </row>
    <row r="113" spans="1:21" ht="15" customHeight="1" x14ac:dyDescent="0.3">
      <c r="A113" s="16" t="str">
        <f>IFERROR(tblClean[[#This Row],[CustomerID]],"")</f>
        <v>C0111</v>
      </c>
      <c r="B113" s="16" t="str">
        <f>IFERROR(tblClean[[#This Row],[Name (Cleaned)]],"")</f>
        <v>Deepak Sharma</v>
      </c>
      <c r="C113" s="16" t="str">
        <f>IFERROR(tblClean[[#This Row],[City/Region (Cleaned)]],"")</f>
        <v>Bhubaneswar</v>
      </c>
      <c r="D113" s="16" t="str">
        <f>IFERROR(tblClean[[#This Row],[CustomerType]],"")</f>
        <v>New</v>
      </c>
      <c r="E113" s="16" t="str">
        <f>IFERROR(tblClean[[#This Row],[EngagementLevel]],"")</f>
        <v>Low</v>
      </c>
      <c r="F113" s="22">
        <f ca="1">IFERROR(TODAY()-'Raw Data'!M113,999)</f>
        <v>220</v>
      </c>
      <c r="G113" s="22">
        <f>IFERROR(COUNTIFS(tblTransactions[CustomerID],A113),0)</f>
        <v>10</v>
      </c>
      <c r="H113" s="22">
        <f>IFERROR(SUMIFS(tblTransactions[Amount (INR)],tblTransactions[CustomerID],A113),0)</f>
        <v>148743</v>
      </c>
      <c r="I113" s="16">
        <f t="shared" ca="1" si="23"/>
        <v>1</v>
      </c>
      <c r="J113" s="16">
        <f t="shared" si="24"/>
        <v>5</v>
      </c>
      <c r="K113" s="16">
        <f t="shared" si="25"/>
        <v>5</v>
      </c>
      <c r="L113" s="16" t="str">
        <f t="shared" ca="1" si="26"/>
        <v>155</v>
      </c>
      <c r="M113" s="16">
        <f>IFERROR(INDEX('Raw Data'!$X$3:$X$202,MATCH(A113,'Raw Data'!$W$3:$W$202,0)),"")</f>
        <v>1</v>
      </c>
      <c r="N113" s="16">
        <f>IFERROR(INDEX('Raw Data'!$Z$3:$Z$202,MATCH(A113,'Raw Data'!$W$3:$W$202,0)),"")</f>
        <v>6</v>
      </c>
      <c r="O113" s="16">
        <f t="shared" si="27"/>
        <v>2</v>
      </c>
      <c r="P113" s="16" t="str">
        <f>IFERROR(tblClean[[#This Row],[AgeGroup]],"")</f>
        <v>55+</v>
      </c>
      <c r="Q113" s="16" t="str">
        <f>IFERROR(tblClean[[#This Row],[IncomeBracket]],"")</f>
        <v>Low</v>
      </c>
      <c r="R113" s="16" t="str">
        <f t="shared" si="28"/>
        <v>LOW</v>
      </c>
      <c r="S113" s="16" t="str">
        <f t="shared" si="29"/>
        <v>Premium</v>
      </c>
      <c r="T113" s="18" t="str">
        <f t="shared" ca="1" si="22"/>
        <v>High Value</v>
      </c>
      <c r="U113" s="18" t="str">
        <f>IFERROR(INDEX(tblTransactions[ProductCategory],MATCH(A113,tblTransactions[CustomerID],0)),"N/A")</f>
        <v>Electronics</v>
      </c>
    </row>
    <row r="114" spans="1:21" ht="15" customHeight="1" x14ac:dyDescent="0.3">
      <c r="A114" s="19" t="str">
        <f>IFERROR(tblClean[[#This Row],[CustomerID]],"")</f>
        <v>C0112</v>
      </c>
      <c r="B114" s="19" t="str">
        <f>IFERROR(tblClean[[#This Row],[Name (Cleaned)]],"")</f>
        <v>Suresh Kumar</v>
      </c>
      <c r="C114" s="19" t="str">
        <f>IFERROR(tblClean[[#This Row],[City/Region (Cleaned)]],"")</f>
        <v>Patna</v>
      </c>
      <c r="D114" s="19" t="str">
        <f>IFERROR(tblClean[[#This Row],[CustomerType]],"")</f>
        <v>New</v>
      </c>
      <c r="E114" s="19" t="str">
        <f>IFERROR(tblClean[[#This Row],[EngagementLevel]],"")</f>
        <v>High</v>
      </c>
      <c r="F114" s="23">
        <f ca="1">IFERROR(TODAY()-'Raw Data'!M114,999)</f>
        <v>96</v>
      </c>
      <c r="G114" s="23">
        <f>IFERROR(COUNTIFS(tblTransactions[CustomerID],A114),0)</f>
        <v>2</v>
      </c>
      <c r="H114" s="23">
        <f>IFERROR(SUMIFS(tblTransactions[Amount (INR)],tblTransactions[CustomerID],A114),0)</f>
        <v>34888</v>
      </c>
      <c r="I114" s="19">
        <f t="shared" ca="1" si="23"/>
        <v>2</v>
      </c>
      <c r="J114" s="19">
        <f t="shared" si="24"/>
        <v>2</v>
      </c>
      <c r="K114" s="19">
        <f t="shared" si="25"/>
        <v>4</v>
      </c>
      <c r="L114" s="19" t="str">
        <f t="shared" ca="1" si="26"/>
        <v>224</v>
      </c>
      <c r="M114" s="19">
        <f>IFERROR(INDEX('Raw Data'!$X$3:$X$202,MATCH(A114,'Raw Data'!$W$3:$W$202,0)),"")</f>
        <v>4</v>
      </c>
      <c r="N114" s="19">
        <f>IFERROR(INDEX('Raw Data'!$Z$3:$Z$202,MATCH(A114,'Raw Data'!$W$3:$W$202,0)),"")</f>
        <v>5</v>
      </c>
      <c r="O114" s="19">
        <f t="shared" si="27"/>
        <v>3.25</v>
      </c>
      <c r="P114" s="19" t="str">
        <f>IFERROR(tblClean[[#This Row],[AgeGroup]],"")</f>
        <v>25-39</v>
      </c>
      <c r="Q114" s="19" t="str">
        <f>IFERROR(tblClean[[#This Row],[IncomeBracket]],"")</f>
        <v>Mid</v>
      </c>
      <c r="R114" s="19" t="str">
        <f t="shared" si="28"/>
        <v>HIGH</v>
      </c>
      <c r="S114" s="19" t="str">
        <f t="shared" si="29"/>
        <v>Standard</v>
      </c>
      <c r="T114" s="18" t="str">
        <f t="shared" ca="1" si="22"/>
        <v>At Risk</v>
      </c>
      <c r="U114" s="18" t="str">
        <f>IFERROR(INDEX(tblTransactions[ProductCategory],MATCH(A114,tblTransactions[CustomerID],0)),"N/A")</f>
        <v>Electronics</v>
      </c>
    </row>
    <row r="115" spans="1:21" ht="15" customHeight="1" x14ac:dyDescent="0.3">
      <c r="A115" s="16" t="str">
        <f>IFERROR(tblClean[[#This Row],[CustomerID]],"")</f>
        <v>C0113</v>
      </c>
      <c r="B115" s="16" t="str">
        <f>IFERROR(tblClean[[#This Row],[Name (Cleaned)]],"")</f>
        <v>Deepak Patel</v>
      </c>
      <c r="C115" s="16" t="str">
        <f>IFERROR(tblClean[[#This Row],[City/Region (Cleaned)]],"")</f>
        <v>Pune</v>
      </c>
      <c r="D115" s="16" t="str">
        <f>IFERROR(tblClean[[#This Row],[CustomerType]],"")</f>
        <v>Returning</v>
      </c>
      <c r="E115" s="16" t="str">
        <f>IFERROR(tblClean[[#This Row],[EngagementLevel]],"")</f>
        <v>High</v>
      </c>
      <c r="F115" s="22">
        <f ca="1">IFERROR(TODAY()-'Raw Data'!M115,999)</f>
        <v>316</v>
      </c>
      <c r="G115" s="22">
        <f>IFERROR(COUNTIFS(tblTransactions[CustomerID],A115),0)</f>
        <v>1</v>
      </c>
      <c r="H115" s="22">
        <f>IFERROR(SUMIFS(tblTransactions[Amount (INR)],tblTransactions[CustomerID],A115),0)</f>
        <v>20751</v>
      </c>
      <c r="I115" s="16">
        <f t="shared" ca="1" si="23"/>
        <v>1</v>
      </c>
      <c r="J115" s="16">
        <f t="shared" si="24"/>
        <v>1</v>
      </c>
      <c r="K115" s="16">
        <f t="shared" si="25"/>
        <v>3</v>
      </c>
      <c r="L115" s="16" t="str">
        <f t="shared" ca="1" si="26"/>
        <v>113</v>
      </c>
      <c r="M115" s="16">
        <f>IFERROR(INDEX('Raw Data'!$X$3:$X$202,MATCH(A115,'Raw Data'!$W$3:$W$202,0)),"")</f>
        <v>5</v>
      </c>
      <c r="N115" s="16">
        <f>IFERROR(INDEX('Raw Data'!$Z$3:$Z$202,MATCH(A115,'Raw Data'!$W$3:$W$202,0)),"")</f>
        <v>3</v>
      </c>
      <c r="O115" s="16">
        <f t="shared" si="27"/>
        <v>3.25</v>
      </c>
      <c r="P115" s="16" t="str">
        <f>IFERROR(tblClean[[#This Row],[AgeGroup]],"")</f>
        <v>55+</v>
      </c>
      <c r="Q115" s="16" t="str">
        <f>IFERROR(tblClean[[#This Row],[IncomeBracket]],"")</f>
        <v>High</v>
      </c>
      <c r="R115" s="16" t="str">
        <f t="shared" si="28"/>
        <v>HIGH</v>
      </c>
      <c r="S115" s="16" t="str">
        <f t="shared" si="29"/>
        <v>Standard</v>
      </c>
      <c r="T115" s="18" t="str">
        <f t="shared" ca="1" si="22"/>
        <v>At Risk</v>
      </c>
      <c r="U115" s="18" t="str">
        <f>IFERROR(INDEX(tblTransactions[ProductCategory],MATCH(A115,tblTransactions[CustomerID],0)),"N/A")</f>
        <v>Fashion</v>
      </c>
    </row>
    <row r="116" spans="1:21" ht="15" customHeight="1" x14ac:dyDescent="0.3">
      <c r="A116" s="19" t="str">
        <f>IFERROR(tblClean[[#This Row],[CustomerID]],"")</f>
        <v>C0114</v>
      </c>
      <c r="B116" s="19" t="str">
        <f>IFERROR(tblClean[[#This Row],[Name (Cleaned)]],"")</f>
        <v>Amit Reddy</v>
      </c>
      <c r="C116" s="19" t="str">
        <f>IFERROR(tblClean[[#This Row],[City/Region (Cleaned)]],"")</f>
        <v>Ahmedabad</v>
      </c>
      <c r="D116" s="19" t="str">
        <f>IFERROR(tblClean[[#This Row],[CustomerType]],"")</f>
        <v>New</v>
      </c>
      <c r="E116" s="19" t="str">
        <f>IFERROR(tblClean[[#This Row],[EngagementLevel]],"")</f>
        <v>Low</v>
      </c>
      <c r="F116" s="23">
        <f ca="1">IFERROR(TODAY()-'Raw Data'!M116,999)</f>
        <v>208</v>
      </c>
      <c r="G116" s="23">
        <f>IFERROR(COUNTIFS(tblTransactions[CustomerID],A116),0)</f>
        <v>3</v>
      </c>
      <c r="H116" s="23">
        <f>IFERROR(SUMIFS(tblTransactions[Amount (INR)],tblTransactions[CustomerID],A116),0)</f>
        <v>52888</v>
      </c>
      <c r="I116" s="19">
        <f t="shared" ca="1" si="23"/>
        <v>1</v>
      </c>
      <c r="J116" s="19">
        <f t="shared" si="24"/>
        <v>2</v>
      </c>
      <c r="K116" s="19">
        <f t="shared" si="25"/>
        <v>5</v>
      </c>
      <c r="L116" s="19" t="str">
        <f t="shared" ca="1" si="26"/>
        <v>125</v>
      </c>
      <c r="M116" s="19">
        <f>IFERROR(INDEX('Raw Data'!$X$3:$X$202,MATCH(A116,'Raw Data'!$W$3:$W$202,0)),"")</f>
        <v>3</v>
      </c>
      <c r="N116" s="19">
        <f>IFERROR(INDEX('Raw Data'!$Z$3:$Z$202,MATCH(A116,'Raw Data'!$W$3:$W$202,0)),"")</f>
        <v>4</v>
      </c>
      <c r="O116" s="19">
        <f t="shared" si="27"/>
        <v>2.5</v>
      </c>
      <c r="P116" s="19" t="str">
        <f>IFERROR(tblClean[[#This Row],[AgeGroup]],"")</f>
        <v>55+</v>
      </c>
      <c r="Q116" s="19" t="str">
        <f>IFERROR(tblClean[[#This Row],[IncomeBracket]],"")</f>
        <v>Low</v>
      </c>
      <c r="R116" s="19" t="str">
        <f t="shared" si="28"/>
        <v>LOW</v>
      </c>
      <c r="S116" s="19" t="str">
        <f t="shared" si="29"/>
        <v>Premium</v>
      </c>
      <c r="T116" s="18" t="str">
        <f t="shared" ca="1" si="22"/>
        <v>High Value</v>
      </c>
      <c r="U116" s="18" t="str">
        <f>IFERROR(INDEX(tblTransactions[ProductCategory],MATCH(A116,tblTransactions[CustomerID],0)),"N/A")</f>
        <v>Beauty</v>
      </c>
    </row>
    <row r="117" spans="1:21" ht="15" customHeight="1" x14ac:dyDescent="0.3">
      <c r="A117" s="16" t="str">
        <f>IFERROR(tblClean[[#This Row],[CustomerID]],"")</f>
        <v>C0115</v>
      </c>
      <c r="B117" s="16" t="str">
        <f>IFERROR(tblClean[[#This Row],[Name (Cleaned)]],"")</f>
        <v>Vijay Joshi</v>
      </c>
      <c r="C117" s="16" t="str">
        <f>IFERROR(tblClean[[#This Row],[City/Region (Cleaned)]],"")</f>
        <v>Chennai</v>
      </c>
      <c r="D117" s="16" t="str">
        <f>IFERROR(tblClean[[#This Row],[CustomerType]],"")</f>
        <v>Returning</v>
      </c>
      <c r="E117" s="16" t="str">
        <f>IFERROR(tblClean[[#This Row],[EngagementLevel]],"")</f>
        <v>Low</v>
      </c>
      <c r="F117" s="22">
        <f ca="1">IFERROR(TODAY()-'Raw Data'!M117,999)</f>
        <v>328</v>
      </c>
      <c r="G117" s="22">
        <f>IFERROR(COUNTIFS(tblTransactions[CustomerID],A117),0)</f>
        <v>8</v>
      </c>
      <c r="H117" s="22">
        <f>IFERROR(SUMIFS(tblTransactions[Amount (INR)],tblTransactions[CustomerID],A117),0)</f>
        <v>119755</v>
      </c>
      <c r="I117" s="16">
        <f t="shared" ca="1" si="23"/>
        <v>1</v>
      </c>
      <c r="J117" s="16">
        <f t="shared" si="24"/>
        <v>5</v>
      </c>
      <c r="K117" s="16">
        <f t="shared" si="25"/>
        <v>5</v>
      </c>
      <c r="L117" s="16" t="str">
        <f t="shared" ca="1" si="26"/>
        <v>155</v>
      </c>
      <c r="M117" s="16">
        <f>IFERROR(INDEX('Raw Data'!$X$3:$X$202,MATCH(A117,'Raw Data'!$W$3:$W$202,0)),"")</f>
        <v>3</v>
      </c>
      <c r="N117" s="16">
        <f>IFERROR(INDEX('Raw Data'!$Z$3:$Z$202,MATCH(A117,'Raw Data'!$W$3:$W$202,0)),"")</f>
        <v>3</v>
      </c>
      <c r="O117" s="16">
        <f t="shared" si="27"/>
        <v>2.25</v>
      </c>
      <c r="P117" s="16" t="str">
        <f>IFERROR(tblClean[[#This Row],[AgeGroup]],"")</f>
        <v>55+</v>
      </c>
      <c r="Q117" s="16" t="str">
        <f>IFERROR(tblClean[[#This Row],[IncomeBracket]],"")</f>
        <v>High</v>
      </c>
      <c r="R117" s="16" t="str">
        <f t="shared" si="28"/>
        <v>LOW</v>
      </c>
      <c r="S117" s="16" t="str">
        <f t="shared" si="29"/>
        <v>Premium</v>
      </c>
      <c r="T117" s="18" t="str">
        <f t="shared" ca="1" si="22"/>
        <v>High Value</v>
      </c>
      <c r="U117" s="18" t="str">
        <f>IFERROR(INDEX(tblTransactions[ProductCategory],MATCH(A117,tblTransactions[CustomerID],0)),"N/A")</f>
        <v>Beauty</v>
      </c>
    </row>
    <row r="118" spans="1:21" ht="15" customHeight="1" x14ac:dyDescent="0.3">
      <c r="A118" s="19" t="str">
        <f>IFERROR(tblClean[[#This Row],[CustomerID]],"")</f>
        <v>C0116</v>
      </c>
      <c r="B118" s="19" t="str">
        <f>IFERROR(tblClean[[#This Row],[Name (Cleaned)]],"")</f>
        <v>Anil Mehta</v>
      </c>
      <c r="C118" s="19" t="str">
        <f>IFERROR(tblClean[[#This Row],[City/Region (Cleaned)]],"")</f>
        <v>Hyderabad</v>
      </c>
      <c r="D118" s="19" t="str">
        <f>IFERROR(tblClean[[#This Row],[CustomerType]],"")</f>
        <v>New</v>
      </c>
      <c r="E118" s="19" t="str">
        <f>IFERROR(tblClean[[#This Row],[EngagementLevel]],"")</f>
        <v>Low</v>
      </c>
      <c r="F118" s="23">
        <f ca="1">IFERROR(TODAY()-'Raw Data'!M118,999)</f>
        <v>280</v>
      </c>
      <c r="G118" s="23">
        <f>IFERROR(COUNTIFS(tblTransactions[CustomerID],A118),0)</f>
        <v>9</v>
      </c>
      <c r="H118" s="23">
        <f>IFERROR(SUMIFS(tblTransactions[Amount (INR)],tblTransactions[CustomerID],A118),0)</f>
        <v>78962</v>
      </c>
      <c r="I118" s="19">
        <f t="shared" ca="1" si="23"/>
        <v>1</v>
      </c>
      <c r="J118" s="19">
        <f t="shared" si="24"/>
        <v>5</v>
      </c>
      <c r="K118" s="19">
        <f t="shared" si="25"/>
        <v>5</v>
      </c>
      <c r="L118" s="19" t="str">
        <f t="shared" ca="1" si="26"/>
        <v>155</v>
      </c>
      <c r="M118" s="19">
        <f>IFERROR(INDEX('Raw Data'!$X$3:$X$202,MATCH(A118,'Raw Data'!$W$3:$W$202,0)),"")</f>
        <v>3</v>
      </c>
      <c r="N118" s="19">
        <f>IFERROR(INDEX('Raw Data'!$Z$3:$Z$202,MATCH(A118,'Raw Data'!$W$3:$W$202,0)),"")</f>
        <v>9</v>
      </c>
      <c r="O118" s="19">
        <f t="shared" si="27"/>
        <v>3.75</v>
      </c>
      <c r="P118" s="19" t="str">
        <f>IFERROR(tblClean[[#This Row],[AgeGroup]],"")</f>
        <v>55+</v>
      </c>
      <c r="Q118" s="19" t="str">
        <f>IFERROR(tblClean[[#This Row],[IncomeBracket]],"")</f>
        <v>Mid</v>
      </c>
      <c r="R118" s="19" t="str">
        <f t="shared" si="28"/>
        <v>LOW</v>
      </c>
      <c r="S118" s="19" t="str">
        <f t="shared" si="29"/>
        <v>Premium</v>
      </c>
      <c r="T118" s="18" t="str">
        <f t="shared" ca="1" si="22"/>
        <v>High Value</v>
      </c>
      <c r="U118" s="18" t="str">
        <f>IFERROR(INDEX(tblTransactions[ProductCategory],MATCH(A118,tblTransactions[CustomerID],0)),"N/A")</f>
        <v>Grocery</v>
      </c>
    </row>
    <row r="119" spans="1:21" ht="15" customHeight="1" x14ac:dyDescent="0.3">
      <c r="A119" s="16" t="str">
        <f>IFERROR(tblClean[[#This Row],[CustomerID]],"")</f>
        <v>C0117</v>
      </c>
      <c r="B119" s="16" t="str">
        <f>IFERROR(tblClean[[#This Row],[Name (Cleaned)]],"")</f>
        <v>Sneha Mishra</v>
      </c>
      <c r="C119" s="16" t="str">
        <f>IFERROR(tblClean[[#This Row],[City/Region (Cleaned)]],"")</f>
        <v>Bangalore</v>
      </c>
      <c r="D119" s="16" t="str">
        <f>IFERROR(tblClean[[#This Row],[CustomerType]],"")</f>
        <v>New</v>
      </c>
      <c r="E119" s="16" t="str">
        <f>IFERROR(tblClean[[#This Row],[EngagementLevel]],"")</f>
        <v>High</v>
      </c>
      <c r="F119" s="22">
        <f ca="1">IFERROR(TODAY()-'Raw Data'!M119,999)</f>
        <v>370</v>
      </c>
      <c r="G119" s="22">
        <f>IFERROR(COUNTIFS(tblTransactions[CustomerID],A119),0)</f>
        <v>1</v>
      </c>
      <c r="H119" s="22">
        <f>IFERROR(SUMIFS(tblTransactions[Amount (INR)],tblTransactions[CustomerID],A119),0)</f>
        <v>13491</v>
      </c>
      <c r="I119" s="16">
        <f t="shared" ca="1" si="23"/>
        <v>1</v>
      </c>
      <c r="J119" s="16">
        <f t="shared" si="24"/>
        <v>1</v>
      </c>
      <c r="K119" s="16">
        <f t="shared" si="25"/>
        <v>2</v>
      </c>
      <c r="L119" s="16" t="str">
        <f t="shared" ca="1" si="26"/>
        <v>112</v>
      </c>
      <c r="M119" s="16">
        <f>IFERROR(INDEX('Raw Data'!$X$3:$X$202,MATCH(A119,'Raw Data'!$W$3:$W$202,0)),"")</f>
        <v>4</v>
      </c>
      <c r="N119" s="16">
        <f>IFERROR(INDEX('Raw Data'!$Z$3:$Z$202,MATCH(A119,'Raw Data'!$W$3:$W$202,0)),"")</f>
        <v>10</v>
      </c>
      <c r="O119" s="16">
        <f t="shared" si="27"/>
        <v>4.5</v>
      </c>
      <c r="P119" s="16" t="str">
        <f>IFERROR(tblClean[[#This Row],[AgeGroup]],"")</f>
        <v>25-39</v>
      </c>
      <c r="Q119" s="16" t="str">
        <f>IFERROR(tblClean[[#This Row],[IncomeBracket]],"")</f>
        <v>High</v>
      </c>
      <c r="R119" s="16" t="str">
        <f t="shared" si="28"/>
        <v>HIGH</v>
      </c>
      <c r="S119" s="16" t="str">
        <f t="shared" si="29"/>
        <v>Budget</v>
      </c>
      <c r="T119" s="18" t="str">
        <f t="shared" ca="1" si="22"/>
        <v>At Risk</v>
      </c>
      <c r="U119" s="18" t="str">
        <f>IFERROR(INDEX(tblTransactions[ProductCategory],MATCH(A119,tblTransactions[CustomerID],0)),"N/A")</f>
        <v>Electronics</v>
      </c>
    </row>
    <row r="120" spans="1:21" ht="15" customHeight="1" x14ac:dyDescent="0.3">
      <c r="A120" s="19" t="str">
        <f>IFERROR(tblClean[[#This Row],[CustomerID]],"")</f>
        <v>C0118</v>
      </c>
      <c r="B120" s="19" t="str">
        <f>IFERROR(tblClean[[#This Row],[Name (Cleaned)]],"")</f>
        <v>Nisha Mishra</v>
      </c>
      <c r="C120" s="19" t="str">
        <f>IFERROR(tblClean[[#This Row],[City/Region (Cleaned)]],"")</f>
        <v>Patna</v>
      </c>
      <c r="D120" s="19" t="str">
        <f>IFERROR(tblClean[[#This Row],[CustomerType]],"")</f>
        <v>New</v>
      </c>
      <c r="E120" s="19" t="str">
        <f>IFERROR(tblClean[[#This Row],[EngagementLevel]],"")</f>
        <v>Medium</v>
      </c>
      <c r="F120" s="23">
        <f ca="1">IFERROR(TODAY()-'Raw Data'!M120,999)</f>
        <v>178</v>
      </c>
      <c r="G120" s="23">
        <f>IFERROR(COUNTIFS(tblTransactions[CustomerID],A120),0)</f>
        <v>9</v>
      </c>
      <c r="H120" s="23">
        <f>IFERROR(SUMIFS(tblTransactions[Amount (INR)],tblTransactions[CustomerID],A120),0)</f>
        <v>70849</v>
      </c>
      <c r="I120" s="19">
        <f t="shared" ca="1" si="23"/>
        <v>2</v>
      </c>
      <c r="J120" s="19">
        <f t="shared" si="24"/>
        <v>5</v>
      </c>
      <c r="K120" s="19">
        <f t="shared" si="25"/>
        <v>5</v>
      </c>
      <c r="L120" s="19" t="str">
        <f t="shared" ca="1" si="26"/>
        <v>255</v>
      </c>
      <c r="M120" s="19">
        <f>IFERROR(INDEX('Raw Data'!$X$3:$X$202,MATCH(A120,'Raw Data'!$W$3:$W$202,0)),"")</f>
        <v>2</v>
      </c>
      <c r="N120" s="19">
        <f>IFERROR(INDEX('Raw Data'!$Z$3:$Z$202,MATCH(A120,'Raw Data'!$W$3:$W$202,0)),"")</f>
        <v>7</v>
      </c>
      <c r="O120" s="19">
        <f t="shared" si="27"/>
        <v>2.75</v>
      </c>
      <c r="P120" s="19" t="str">
        <f>IFERROR(tblClean[[#This Row],[AgeGroup]],"")</f>
        <v>40-54</v>
      </c>
      <c r="Q120" s="19" t="str">
        <f>IFERROR(tblClean[[#This Row],[IncomeBracket]],"")</f>
        <v>Mid</v>
      </c>
      <c r="R120" s="19" t="str">
        <f t="shared" si="28"/>
        <v>MED</v>
      </c>
      <c r="S120" s="19" t="str">
        <f t="shared" si="29"/>
        <v>Premium</v>
      </c>
      <c r="T120" s="18" t="str">
        <f t="shared" ca="1" si="22"/>
        <v>High Value</v>
      </c>
      <c r="U120" s="18" t="str">
        <f>IFERROR(INDEX(tblTransactions[ProductCategory],MATCH(A120,tblTransactions[CustomerID],0)),"N/A")</f>
        <v>Grocery</v>
      </c>
    </row>
    <row r="121" spans="1:21" ht="15" customHeight="1" x14ac:dyDescent="0.3">
      <c r="A121" s="16" t="str">
        <f>IFERROR(tblClean[[#This Row],[CustomerID]],"")</f>
        <v>C0119</v>
      </c>
      <c r="B121" s="16" t="str">
        <f>IFERROR(tblClean[[#This Row],[Name (Cleaned)]],"")</f>
        <v>Priya Pillai</v>
      </c>
      <c r="C121" s="16" t="str">
        <f>IFERROR(tblClean[[#This Row],[City/Region (Cleaned)]],"")</f>
        <v>Patna</v>
      </c>
      <c r="D121" s="16" t="str">
        <f>IFERROR(tblClean[[#This Row],[CustomerType]],"")</f>
        <v>New</v>
      </c>
      <c r="E121" s="16" t="str">
        <f>IFERROR(tblClean[[#This Row],[EngagementLevel]],"")</f>
        <v>High</v>
      </c>
      <c r="F121" s="22">
        <f ca="1">IFERROR(TODAY()-'Raw Data'!M121,999)</f>
        <v>100</v>
      </c>
      <c r="G121" s="22">
        <f>IFERROR(COUNTIFS(tblTransactions[CustomerID],A121),0)</f>
        <v>3</v>
      </c>
      <c r="H121" s="22">
        <f>IFERROR(SUMIFS(tblTransactions[Amount (INR)],tblTransactions[CustomerID],A121),0)</f>
        <v>34962</v>
      </c>
      <c r="I121" s="16">
        <f t="shared" ca="1" si="23"/>
        <v>2</v>
      </c>
      <c r="J121" s="16">
        <f t="shared" si="24"/>
        <v>2</v>
      </c>
      <c r="K121" s="16">
        <f t="shared" si="25"/>
        <v>4</v>
      </c>
      <c r="L121" s="16" t="str">
        <f t="shared" ca="1" si="26"/>
        <v>224</v>
      </c>
      <c r="M121" s="16">
        <f>IFERROR(INDEX('Raw Data'!$X$3:$X$202,MATCH(A121,'Raw Data'!$W$3:$W$202,0)),"")</f>
        <v>2</v>
      </c>
      <c r="N121" s="16">
        <f>IFERROR(INDEX('Raw Data'!$Z$3:$Z$202,MATCH(A121,'Raw Data'!$W$3:$W$202,0)),"")</f>
        <v>9</v>
      </c>
      <c r="O121" s="16">
        <f t="shared" si="27"/>
        <v>3.25</v>
      </c>
      <c r="P121" s="16" t="str">
        <f>IFERROR(tblClean[[#This Row],[AgeGroup]],"")</f>
        <v>55+</v>
      </c>
      <c r="Q121" s="16" t="str">
        <f>IFERROR(tblClean[[#This Row],[IncomeBracket]],"")</f>
        <v>Mid</v>
      </c>
      <c r="R121" s="16" t="str">
        <f t="shared" si="28"/>
        <v>HIGH</v>
      </c>
      <c r="S121" s="16" t="str">
        <f t="shared" si="29"/>
        <v>Standard</v>
      </c>
      <c r="T121" s="18" t="str">
        <f t="shared" ca="1" si="22"/>
        <v>General</v>
      </c>
      <c r="U121" s="18" t="str">
        <f>IFERROR(INDEX(tblTransactions[ProductCategory],MATCH(A121,tblTransactions[CustomerID],0)),"N/A")</f>
        <v>Home Decor</v>
      </c>
    </row>
    <row r="122" spans="1:21" ht="15" customHeight="1" x14ac:dyDescent="0.3">
      <c r="A122" s="19" t="str">
        <f>IFERROR(tblClean[[#This Row],[CustomerID]],"")</f>
        <v>C0120</v>
      </c>
      <c r="B122" s="19" t="str">
        <f>IFERROR(tblClean[[#This Row],[Name (Cleaned)]],"")</f>
        <v>Divya Jain</v>
      </c>
      <c r="C122" s="19" t="str">
        <f>IFERROR(tblClean[[#This Row],[City/Region (Cleaned)]],"")</f>
        <v>Bhubaneswar</v>
      </c>
      <c r="D122" s="19" t="str">
        <f>IFERROR(tblClean[[#This Row],[CustomerType]],"")</f>
        <v>New</v>
      </c>
      <c r="E122" s="19" t="str">
        <f>IFERROR(tblClean[[#This Row],[EngagementLevel]],"")</f>
        <v>Low</v>
      </c>
      <c r="F122" s="23">
        <f ca="1">IFERROR(TODAY()-'Raw Data'!M122,999)</f>
        <v>343</v>
      </c>
      <c r="G122" s="23">
        <f>IFERROR(COUNTIFS(tblTransactions[CustomerID],A122),0)</f>
        <v>2</v>
      </c>
      <c r="H122" s="23">
        <f>IFERROR(SUMIFS(tblTransactions[Amount (INR)],tblTransactions[CustomerID],A122),0)</f>
        <v>29734</v>
      </c>
      <c r="I122" s="19">
        <f t="shared" ca="1" si="23"/>
        <v>1</v>
      </c>
      <c r="J122" s="19">
        <f t="shared" si="24"/>
        <v>2</v>
      </c>
      <c r="K122" s="19">
        <f t="shared" si="25"/>
        <v>3</v>
      </c>
      <c r="L122" s="19" t="str">
        <f t="shared" ca="1" si="26"/>
        <v>123</v>
      </c>
      <c r="M122" s="19">
        <f>IFERROR(INDEX('Raw Data'!$X$3:$X$202,MATCH(A122,'Raw Data'!$W$3:$W$202,0)),"")</f>
        <v>2</v>
      </c>
      <c r="N122" s="19">
        <f>IFERROR(INDEX('Raw Data'!$Z$3:$Z$202,MATCH(A122,'Raw Data'!$W$3:$W$202,0)),"")</f>
        <v>8</v>
      </c>
      <c r="O122" s="19">
        <f t="shared" si="27"/>
        <v>3</v>
      </c>
      <c r="P122" s="19" t="str">
        <f>IFERROR(tblClean[[#This Row],[AgeGroup]],"")</f>
        <v>40-54</v>
      </c>
      <c r="Q122" s="19" t="str">
        <f>IFERROR(tblClean[[#This Row],[IncomeBracket]],"")</f>
        <v>Mid</v>
      </c>
      <c r="R122" s="19" t="str">
        <f t="shared" si="28"/>
        <v>LOW</v>
      </c>
      <c r="S122" s="19" t="str">
        <f t="shared" si="29"/>
        <v>Standard</v>
      </c>
      <c r="T122" s="18" t="str">
        <f t="shared" ca="1" si="22"/>
        <v>At Risk</v>
      </c>
      <c r="U122" s="18" t="str">
        <f>IFERROR(INDEX(tblTransactions[ProductCategory],MATCH(A122,tblTransactions[CustomerID],0)),"N/A")</f>
        <v>Grocery</v>
      </c>
    </row>
    <row r="123" spans="1:21" ht="15" customHeight="1" x14ac:dyDescent="0.3">
      <c r="A123" s="16" t="str">
        <f>IFERROR(tblClean[[#This Row],[CustomerID]],"")</f>
        <v>C0121</v>
      </c>
      <c r="B123" s="16" t="str">
        <f>IFERROR(tblClean[[#This Row],[Name (Cleaned)]],"")</f>
        <v>Rohit Gupta</v>
      </c>
      <c r="C123" s="16" t="str">
        <f>IFERROR(tblClean[[#This Row],[City/Region (Cleaned)]],"")</f>
        <v>Coimbatore</v>
      </c>
      <c r="D123" s="16" t="str">
        <f>IFERROR(tblClean[[#This Row],[CustomerType]],"")</f>
        <v>Returning</v>
      </c>
      <c r="E123" s="16" t="str">
        <f>IFERROR(tblClean[[#This Row],[EngagementLevel]],"")</f>
        <v>Medium</v>
      </c>
      <c r="F123" s="22">
        <f ca="1">IFERROR(TODAY()-'Raw Data'!M123,999)</f>
        <v>35</v>
      </c>
      <c r="G123" s="22">
        <f>IFERROR(COUNTIFS(tblTransactions[CustomerID],A123),0)</f>
        <v>2</v>
      </c>
      <c r="H123" s="22">
        <f>IFERROR(SUMIFS(tblTransactions[Amount (INR)],tblTransactions[CustomerID],A123),0)</f>
        <v>41260</v>
      </c>
      <c r="I123" s="16">
        <f t="shared" ca="1" si="23"/>
        <v>4</v>
      </c>
      <c r="J123" s="16">
        <f t="shared" si="24"/>
        <v>2</v>
      </c>
      <c r="K123" s="16">
        <f t="shared" si="25"/>
        <v>4</v>
      </c>
      <c r="L123" s="16" t="str">
        <f t="shared" ca="1" si="26"/>
        <v>424</v>
      </c>
      <c r="M123" s="16">
        <f>IFERROR(INDEX('Raw Data'!$X$3:$X$202,MATCH(A123,'Raw Data'!$W$3:$W$202,0)),"")</f>
        <v>3</v>
      </c>
      <c r="N123" s="16">
        <f>IFERROR(INDEX('Raw Data'!$Z$3:$Z$202,MATCH(A123,'Raw Data'!$W$3:$W$202,0)),"")</f>
        <v>3</v>
      </c>
      <c r="O123" s="16">
        <f t="shared" si="27"/>
        <v>2.25</v>
      </c>
      <c r="P123" s="16" t="str">
        <f>IFERROR(tblClean[[#This Row],[AgeGroup]],"")</f>
        <v>55+</v>
      </c>
      <c r="Q123" s="16" t="str">
        <f>IFERROR(tblClean[[#This Row],[IncomeBracket]],"")</f>
        <v>Mid</v>
      </c>
      <c r="R123" s="16" t="str">
        <f t="shared" si="28"/>
        <v>MED</v>
      </c>
      <c r="S123" s="16" t="str">
        <f t="shared" si="29"/>
        <v>Standard</v>
      </c>
      <c r="T123" s="18" t="str">
        <f t="shared" ca="1" si="22"/>
        <v>General</v>
      </c>
      <c r="U123" s="18" t="str">
        <f>IFERROR(INDEX(tblTransactions[ProductCategory],MATCH(A123,tblTransactions[CustomerID],0)),"N/A")</f>
        <v>Beauty</v>
      </c>
    </row>
    <row r="124" spans="1:21" ht="15" customHeight="1" x14ac:dyDescent="0.3">
      <c r="A124" s="19" t="str">
        <f>IFERROR(tblClean[[#This Row],[CustomerID]],"")</f>
        <v>C0122</v>
      </c>
      <c r="B124" s="19" t="str">
        <f>IFERROR(tblClean[[#This Row],[Name (Cleaned)]],"")</f>
        <v>Nisha Singh</v>
      </c>
      <c r="C124" s="19" t="str">
        <f>IFERROR(tblClean[[#This Row],[City/Region (Cleaned)]],"")</f>
        <v>Noida</v>
      </c>
      <c r="D124" s="19" t="str">
        <f>IFERROR(tblClean[[#This Row],[CustomerType]],"")</f>
        <v>New</v>
      </c>
      <c r="E124" s="19" t="str">
        <f>IFERROR(tblClean[[#This Row],[EngagementLevel]],"")</f>
        <v>High</v>
      </c>
      <c r="F124" s="23">
        <f ca="1">IFERROR(TODAY()-'Raw Data'!M124,999)</f>
        <v>118</v>
      </c>
      <c r="G124" s="23">
        <f>IFERROR(COUNTIFS(tblTransactions[CustomerID],A124),0)</f>
        <v>9</v>
      </c>
      <c r="H124" s="23">
        <f>IFERROR(SUMIFS(tblTransactions[Amount (INR)],tblTransactions[CustomerID],A124),0)</f>
        <v>152424</v>
      </c>
      <c r="I124" s="19">
        <f t="shared" ca="1" si="23"/>
        <v>2</v>
      </c>
      <c r="J124" s="19">
        <f t="shared" si="24"/>
        <v>5</v>
      </c>
      <c r="K124" s="19">
        <f t="shared" si="25"/>
        <v>5</v>
      </c>
      <c r="L124" s="19" t="str">
        <f t="shared" ca="1" si="26"/>
        <v>255</v>
      </c>
      <c r="M124" s="19">
        <f>IFERROR(INDEX('Raw Data'!$X$3:$X$202,MATCH(A124,'Raw Data'!$W$3:$W$202,0)),"")</f>
        <v>3</v>
      </c>
      <c r="N124" s="19">
        <f>IFERROR(INDEX('Raw Data'!$Z$3:$Z$202,MATCH(A124,'Raw Data'!$W$3:$W$202,0)),"")</f>
        <v>10</v>
      </c>
      <c r="O124" s="19">
        <f t="shared" si="27"/>
        <v>4</v>
      </c>
      <c r="P124" s="19" t="str">
        <f>IFERROR(tblClean[[#This Row],[AgeGroup]],"")</f>
        <v>40-54</v>
      </c>
      <c r="Q124" s="19" t="str">
        <f>IFERROR(tblClean[[#This Row],[IncomeBracket]],"")</f>
        <v>Mid</v>
      </c>
      <c r="R124" s="19" t="str">
        <f t="shared" si="28"/>
        <v>HIGH</v>
      </c>
      <c r="S124" s="19" t="str">
        <f t="shared" si="29"/>
        <v>Premium</v>
      </c>
      <c r="T124" s="18" t="str">
        <f t="shared" ca="1" si="22"/>
        <v>High Value</v>
      </c>
      <c r="U124" s="18" t="str">
        <f>IFERROR(INDEX(tblTransactions[ProductCategory],MATCH(A124,tblTransactions[CustomerID],0)),"N/A")</f>
        <v>Grocery</v>
      </c>
    </row>
    <row r="125" spans="1:21" ht="15" customHeight="1" x14ac:dyDescent="0.3">
      <c r="A125" s="16" t="str">
        <f>IFERROR(tblClean[[#This Row],[CustomerID]],"")</f>
        <v>C0123</v>
      </c>
      <c r="B125" s="16" t="str">
        <f>IFERROR(tblClean[[#This Row],[Name (Cleaned)]],"")</f>
        <v>Tarun Iyer</v>
      </c>
      <c r="C125" s="16" t="str">
        <f>IFERROR(tblClean[[#This Row],[City/Region (Cleaned)]],"")</f>
        <v>Lucknow</v>
      </c>
      <c r="D125" s="16" t="str">
        <f>IFERROR(tblClean[[#This Row],[CustomerType]],"")</f>
        <v>New</v>
      </c>
      <c r="E125" s="16" t="str">
        <f>IFERROR(tblClean[[#This Row],[EngagementLevel]],"")</f>
        <v>High</v>
      </c>
      <c r="F125" s="22">
        <f ca="1">IFERROR(TODAY()-'Raw Data'!M125,999)</f>
        <v>224</v>
      </c>
      <c r="G125" s="22">
        <f>IFERROR(COUNTIFS(tblTransactions[CustomerID],A125),0)</f>
        <v>1</v>
      </c>
      <c r="H125" s="22">
        <f>IFERROR(SUMIFS(tblTransactions[Amount (INR)],tblTransactions[CustomerID],A125),0)</f>
        <v>12732</v>
      </c>
      <c r="I125" s="16">
        <f t="shared" ca="1" si="23"/>
        <v>1</v>
      </c>
      <c r="J125" s="16">
        <f t="shared" si="24"/>
        <v>1</v>
      </c>
      <c r="K125" s="16">
        <f t="shared" si="25"/>
        <v>2</v>
      </c>
      <c r="L125" s="16" t="str">
        <f t="shared" ca="1" si="26"/>
        <v>112</v>
      </c>
      <c r="M125" s="16">
        <f>IFERROR(INDEX('Raw Data'!$X$3:$X$202,MATCH(A125,'Raw Data'!$W$3:$W$202,0)),"")</f>
        <v>1</v>
      </c>
      <c r="N125" s="16">
        <f>IFERROR(INDEX('Raw Data'!$Z$3:$Z$202,MATCH(A125,'Raw Data'!$W$3:$W$202,0)),"")</f>
        <v>1</v>
      </c>
      <c r="O125" s="16">
        <f t="shared" si="27"/>
        <v>0.75</v>
      </c>
      <c r="P125" s="16" t="str">
        <f>IFERROR(tblClean[[#This Row],[AgeGroup]],"")</f>
        <v>40-54</v>
      </c>
      <c r="Q125" s="16" t="str">
        <f>IFERROR(tblClean[[#This Row],[IncomeBracket]],"")</f>
        <v>Mid</v>
      </c>
      <c r="R125" s="16" t="str">
        <f t="shared" si="28"/>
        <v>HIGH</v>
      </c>
      <c r="S125" s="16" t="str">
        <f t="shared" si="29"/>
        <v>Budget</v>
      </c>
      <c r="T125" s="18" t="str">
        <f t="shared" ca="1" si="22"/>
        <v>At Risk</v>
      </c>
      <c r="U125" s="18" t="str">
        <f>IFERROR(INDEX(tblTransactions[ProductCategory],MATCH(A125,tblTransactions[CustomerID],0)),"N/A")</f>
        <v>Beauty</v>
      </c>
    </row>
    <row r="126" spans="1:21" ht="15" customHeight="1" x14ac:dyDescent="0.3">
      <c r="A126" s="19" t="str">
        <f>IFERROR(tblClean[[#This Row],[CustomerID]],"")</f>
        <v>C0124</v>
      </c>
      <c r="B126" s="19" t="str">
        <f>IFERROR(tblClean[[#This Row],[Name (Cleaned)]],"")</f>
        <v>Sunita Kumar</v>
      </c>
      <c r="C126" s="19" t="str">
        <f>IFERROR(tblClean[[#This Row],[City/Region (Cleaned)]],"")</f>
        <v>Hyderabad</v>
      </c>
      <c r="D126" s="19" t="str">
        <f>IFERROR(tblClean[[#This Row],[CustomerType]],"")</f>
        <v>Returning</v>
      </c>
      <c r="E126" s="19" t="str">
        <f>IFERROR(tblClean[[#This Row],[EngagementLevel]],"")</f>
        <v>Low</v>
      </c>
      <c r="F126" s="23">
        <f ca="1">IFERROR(TODAY()-'Raw Data'!M126,999)</f>
        <v>53</v>
      </c>
      <c r="G126" s="23">
        <f>IFERROR(COUNTIFS(tblTransactions[CustomerID],A126),0)</f>
        <v>5</v>
      </c>
      <c r="H126" s="23">
        <f>IFERROR(SUMIFS(tblTransactions[Amount (INR)],tblTransactions[CustomerID],A126),0)</f>
        <v>54565</v>
      </c>
      <c r="I126" s="19">
        <f t="shared" ca="1" si="23"/>
        <v>4</v>
      </c>
      <c r="J126" s="19">
        <f t="shared" si="24"/>
        <v>3</v>
      </c>
      <c r="K126" s="19">
        <f t="shared" si="25"/>
        <v>5</v>
      </c>
      <c r="L126" s="19" t="str">
        <f t="shared" ca="1" si="26"/>
        <v>435</v>
      </c>
      <c r="M126" s="19">
        <f>IFERROR(INDEX('Raw Data'!$X$3:$X$202,MATCH(A126,'Raw Data'!$W$3:$W$202,0)),"")</f>
        <v>4</v>
      </c>
      <c r="N126" s="19">
        <f>IFERROR(INDEX('Raw Data'!$Z$3:$Z$202,MATCH(A126,'Raw Data'!$W$3:$W$202,0)),"")</f>
        <v>4</v>
      </c>
      <c r="O126" s="19">
        <f t="shared" si="27"/>
        <v>3</v>
      </c>
      <c r="P126" s="19" t="str">
        <f>IFERROR(tblClean[[#This Row],[AgeGroup]],"")</f>
        <v>25-39</v>
      </c>
      <c r="Q126" s="19" t="str">
        <f>IFERROR(tblClean[[#This Row],[IncomeBracket]],"")</f>
        <v>Mid</v>
      </c>
      <c r="R126" s="19" t="str">
        <f t="shared" si="28"/>
        <v>LOW</v>
      </c>
      <c r="S126" s="19" t="str">
        <f t="shared" si="29"/>
        <v>Premium</v>
      </c>
      <c r="T126" s="18" t="str">
        <f t="shared" ca="1" si="22"/>
        <v>High Value</v>
      </c>
      <c r="U126" s="18" t="str">
        <f>IFERROR(INDEX(tblTransactions[ProductCategory],MATCH(A126,tblTransactions[CustomerID],0)),"N/A")</f>
        <v>Fashion</v>
      </c>
    </row>
    <row r="127" spans="1:21" ht="15" customHeight="1" x14ac:dyDescent="0.3">
      <c r="A127" s="16" t="str">
        <f>IFERROR(tblClean[[#This Row],[CustomerID]],"")</f>
        <v>C0125</v>
      </c>
      <c r="B127" s="16" t="str">
        <f>IFERROR(tblClean[[#This Row],[Name (Cleaned)]],"")</f>
        <v>Rohit Mehta</v>
      </c>
      <c r="C127" s="16" t="str">
        <f>IFERROR(tblClean[[#This Row],[City/Region (Cleaned)]],"")</f>
        <v>Surat</v>
      </c>
      <c r="D127" s="16" t="str">
        <f>IFERROR(tblClean[[#This Row],[CustomerType]],"")</f>
        <v>New</v>
      </c>
      <c r="E127" s="16" t="str">
        <f>IFERROR(tblClean[[#This Row],[EngagementLevel]],"")</f>
        <v>High</v>
      </c>
      <c r="F127" s="22">
        <f ca="1">IFERROR(TODAY()-'Raw Data'!M127,999)</f>
        <v>295</v>
      </c>
      <c r="G127" s="22">
        <f>IFERROR(COUNTIFS(tblTransactions[CustomerID],A127),0)</f>
        <v>9</v>
      </c>
      <c r="H127" s="22">
        <f>IFERROR(SUMIFS(tblTransactions[Amount (INR)],tblTransactions[CustomerID],A127),0)</f>
        <v>107762</v>
      </c>
      <c r="I127" s="16">
        <f t="shared" ca="1" si="23"/>
        <v>1</v>
      </c>
      <c r="J127" s="16">
        <f t="shared" si="24"/>
        <v>5</v>
      </c>
      <c r="K127" s="16">
        <f t="shared" si="25"/>
        <v>5</v>
      </c>
      <c r="L127" s="16" t="str">
        <f t="shared" ca="1" si="26"/>
        <v>155</v>
      </c>
      <c r="M127" s="16">
        <f>IFERROR(INDEX('Raw Data'!$X$3:$X$202,MATCH(A127,'Raw Data'!$W$3:$W$202,0)),"")</f>
        <v>4</v>
      </c>
      <c r="N127" s="16">
        <f>IFERROR(INDEX('Raw Data'!$Z$3:$Z$202,MATCH(A127,'Raw Data'!$W$3:$W$202,0)),"")</f>
        <v>7</v>
      </c>
      <c r="O127" s="16">
        <f t="shared" si="27"/>
        <v>3.75</v>
      </c>
      <c r="P127" s="16" t="str">
        <f>IFERROR(tblClean[[#This Row],[AgeGroup]],"")</f>
        <v>25-39</v>
      </c>
      <c r="Q127" s="16" t="str">
        <f>IFERROR(tblClean[[#This Row],[IncomeBracket]],"")</f>
        <v>High</v>
      </c>
      <c r="R127" s="16" t="str">
        <f t="shared" si="28"/>
        <v>HIGH</v>
      </c>
      <c r="S127" s="16" t="str">
        <f t="shared" si="29"/>
        <v>Premium</v>
      </c>
      <c r="T127" s="18" t="str">
        <f t="shared" ca="1" si="22"/>
        <v>High Value</v>
      </c>
      <c r="U127" s="18" t="str">
        <f>IFERROR(INDEX(tblTransactions[ProductCategory],MATCH(A127,tblTransactions[CustomerID],0)),"N/A")</f>
        <v>Home Decor</v>
      </c>
    </row>
    <row r="128" spans="1:21" ht="15" customHeight="1" x14ac:dyDescent="0.3">
      <c r="A128" s="19" t="str">
        <f>IFERROR(tblClean[[#This Row],[CustomerID]],"")</f>
        <v>C0126</v>
      </c>
      <c r="B128" s="19" t="str">
        <f>IFERROR(tblClean[[#This Row],[Name (Cleaned)]],"")</f>
        <v>Naveen Gupta</v>
      </c>
      <c r="C128" s="19" t="str">
        <f>IFERROR(tblClean[[#This Row],[City/Region (Cleaned)]],"")</f>
        <v>Bangalore</v>
      </c>
      <c r="D128" s="19" t="str">
        <f>IFERROR(tblClean[[#This Row],[CustomerType]],"")</f>
        <v>New</v>
      </c>
      <c r="E128" s="19" t="str">
        <f>IFERROR(tblClean[[#This Row],[EngagementLevel]],"")</f>
        <v>Medium</v>
      </c>
      <c r="F128" s="23">
        <f ca="1">IFERROR(TODAY()-'Raw Data'!M128,999)</f>
        <v>356</v>
      </c>
      <c r="G128" s="23">
        <f>IFERROR(COUNTIFS(tblTransactions[CustomerID],A128),0)</f>
        <v>4</v>
      </c>
      <c r="H128" s="23">
        <f>IFERROR(SUMIFS(tblTransactions[Amount (INR)],tblTransactions[CustomerID],A128),0)</f>
        <v>41245</v>
      </c>
      <c r="I128" s="19">
        <f t="shared" ca="1" si="23"/>
        <v>1</v>
      </c>
      <c r="J128" s="19">
        <f t="shared" si="24"/>
        <v>3</v>
      </c>
      <c r="K128" s="19">
        <f t="shared" si="25"/>
        <v>4</v>
      </c>
      <c r="L128" s="19" t="str">
        <f t="shared" ca="1" si="26"/>
        <v>134</v>
      </c>
      <c r="M128" s="19">
        <f>IFERROR(INDEX('Raw Data'!$X$3:$X$202,MATCH(A128,'Raw Data'!$W$3:$W$202,0)),"")</f>
        <v>4</v>
      </c>
      <c r="N128" s="19">
        <f>IFERROR(INDEX('Raw Data'!$Z$3:$Z$202,MATCH(A128,'Raw Data'!$W$3:$W$202,0)),"")</f>
        <v>8</v>
      </c>
      <c r="O128" s="19">
        <f t="shared" si="27"/>
        <v>4</v>
      </c>
      <c r="P128" s="19" t="str">
        <f>IFERROR(tblClean[[#This Row],[AgeGroup]],"")</f>
        <v>25-39</v>
      </c>
      <c r="Q128" s="19" t="str">
        <f>IFERROR(tblClean[[#This Row],[IncomeBracket]],"")</f>
        <v>Mid</v>
      </c>
      <c r="R128" s="19" t="str">
        <f t="shared" si="28"/>
        <v>MED</v>
      </c>
      <c r="S128" s="19" t="str">
        <f t="shared" si="29"/>
        <v>Standard</v>
      </c>
      <c r="T128" s="18" t="str">
        <f t="shared" ca="1" si="22"/>
        <v>General</v>
      </c>
      <c r="U128" s="18" t="str">
        <f>IFERROR(INDEX(tblTransactions[ProductCategory],MATCH(A128,tblTransactions[CustomerID],0)),"N/A")</f>
        <v>Fashion</v>
      </c>
    </row>
    <row r="129" spans="1:21" ht="15" customHeight="1" x14ac:dyDescent="0.3">
      <c r="A129" s="16" t="str">
        <f>IFERROR(tblClean[[#This Row],[CustomerID]],"")</f>
        <v>C0127</v>
      </c>
      <c r="B129" s="16" t="str">
        <f>IFERROR(tblClean[[#This Row],[Name (Cleaned)]],"")</f>
        <v>Tarun Mishra</v>
      </c>
      <c r="C129" s="16" t="str">
        <f>IFERROR(tblClean[[#This Row],[City/Region (Cleaned)]],"")</f>
        <v>Pune</v>
      </c>
      <c r="D129" s="16" t="str">
        <f>IFERROR(tblClean[[#This Row],[CustomerType]],"")</f>
        <v>Returning</v>
      </c>
      <c r="E129" s="16" t="str">
        <f>IFERROR(tblClean[[#This Row],[EngagementLevel]],"")</f>
        <v>High</v>
      </c>
      <c r="F129" s="22">
        <f ca="1">IFERROR(TODAY()-'Raw Data'!M129,999)</f>
        <v>298</v>
      </c>
      <c r="G129" s="22">
        <f>IFERROR(COUNTIFS(tblTransactions[CustomerID],A129),0)</f>
        <v>7</v>
      </c>
      <c r="H129" s="22">
        <f>IFERROR(SUMIFS(tblTransactions[Amount (INR)],tblTransactions[CustomerID],A129),0)</f>
        <v>91505</v>
      </c>
      <c r="I129" s="16">
        <f t="shared" ca="1" si="23"/>
        <v>1</v>
      </c>
      <c r="J129" s="16">
        <f t="shared" si="24"/>
        <v>4</v>
      </c>
      <c r="K129" s="16">
        <f t="shared" si="25"/>
        <v>5</v>
      </c>
      <c r="L129" s="16" t="str">
        <f t="shared" ca="1" si="26"/>
        <v>145</v>
      </c>
      <c r="M129" s="16">
        <f>IFERROR(INDEX('Raw Data'!$X$3:$X$202,MATCH(A129,'Raw Data'!$W$3:$W$202,0)),"")</f>
        <v>4</v>
      </c>
      <c r="N129" s="16">
        <f>IFERROR(INDEX('Raw Data'!$Z$3:$Z$202,MATCH(A129,'Raw Data'!$W$3:$W$202,0)),"")</f>
        <v>2</v>
      </c>
      <c r="O129" s="16">
        <f t="shared" si="27"/>
        <v>2.5</v>
      </c>
      <c r="P129" s="16" t="str">
        <f>IFERROR(tblClean[[#This Row],[AgeGroup]],"")</f>
        <v>40-54</v>
      </c>
      <c r="Q129" s="16" t="str">
        <f>IFERROR(tblClean[[#This Row],[IncomeBracket]],"")</f>
        <v>High</v>
      </c>
      <c r="R129" s="16" t="str">
        <f t="shared" si="28"/>
        <v>HIGH</v>
      </c>
      <c r="S129" s="16" t="str">
        <f t="shared" si="29"/>
        <v>Premium</v>
      </c>
      <c r="T129" s="18" t="str">
        <f t="shared" ca="1" si="22"/>
        <v>High Value</v>
      </c>
      <c r="U129" s="18" t="str">
        <f>IFERROR(INDEX(tblTransactions[ProductCategory],MATCH(A129,tblTransactions[CustomerID],0)),"N/A")</f>
        <v>Grocery</v>
      </c>
    </row>
    <row r="130" spans="1:21" ht="15" customHeight="1" x14ac:dyDescent="0.3">
      <c r="A130" s="19" t="str">
        <f>IFERROR(tblClean[[#This Row],[CustomerID]],"")</f>
        <v>C0128</v>
      </c>
      <c r="B130" s="19" t="str">
        <f>IFERROR(tblClean[[#This Row],[Name (Cleaned)]],"")</f>
        <v>Amit Joshi</v>
      </c>
      <c r="C130" s="19" t="str">
        <f>IFERROR(tblClean[[#This Row],[City/Region (Cleaned)]],"")</f>
        <v>Mumbai</v>
      </c>
      <c r="D130" s="19" t="str">
        <f>IFERROR(tblClean[[#This Row],[CustomerType]],"")</f>
        <v>New</v>
      </c>
      <c r="E130" s="19" t="str">
        <f>IFERROR(tblClean[[#This Row],[EngagementLevel]],"")</f>
        <v>Medium</v>
      </c>
      <c r="F130" s="23">
        <f ca="1">IFERROR(TODAY()-'Raw Data'!M130,999)</f>
        <v>18</v>
      </c>
      <c r="G130" s="23">
        <f>IFERROR(COUNTIFS(tblTransactions[CustomerID],A130),0)</f>
        <v>5</v>
      </c>
      <c r="H130" s="23">
        <f>IFERROR(SUMIFS(tblTransactions[Amount (INR)],tblTransactions[CustomerID],A130),0)</f>
        <v>80047</v>
      </c>
      <c r="I130" s="19">
        <f t="shared" ca="1" si="23"/>
        <v>5</v>
      </c>
      <c r="J130" s="19">
        <f t="shared" si="24"/>
        <v>3</v>
      </c>
      <c r="K130" s="19">
        <f t="shared" si="25"/>
        <v>5</v>
      </c>
      <c r="L130" s="19" t="str">
        <f t="shared" ca="1" si="26"/>
        <v>535</v>
      </c>
      <c r="M130" s="19">
        <f>IFERROR(INDEX('Raw Data'!$X$3:$X$202,MATCH(A130,'Raw Data'!$W$3:$W$202,0)),"")</f>
        <v>5</v>
      </c>
      <c r="N130" s="19">
        <f>IFERROR(INDEX('Raw Data'!$Z$3:$Z$202,MATCH(A130,'Raw Data'!$W$3:$W$202,0)),"")</f>
        <v>4</v>
      </c>
      <c r="O130" s="19">
        <f t="shared" si="27"/>
        <v>3.5</v>
      </c>
      <c r="P130" s="19" t="str">
        <f>IFERROR(tblClean[[#This Row],[AgeGroup]],"")</f>
        <v>40-54</v>
      </c>
      <c r="Q130" s="19" t="str">
        <f>IFERROR(tblClean[[#This Row],[IncomeBracket]],"")</f>
        <v>Mid</v>
      </c>
      <c r="R130" s="19" t="str">
        <f t="shared" si="28"/>
        <v>MED</v>
      </c>
      <c r="S130" s="19" t="str">
        <f t="shared" si="29"/>
        <v>Premium</v>
      </c>
      <c r="T130" s="18" t="str">
        <f t="shared" ca="1" si="22"/>
        <v>High Value</v>
      </c>
      <c r="U130" s="18" t="str">
        <f>IFERROR(INDEX(tblTransactions[ProductCategory],MATCH(A130,tblTransactions[CustomerID],0)),"N/A")</f>
        <v>Beauty</v>
      </c>
    </row>
    <row r="131" spans="1:21" ht="15" customHeight="1" x14ac:dyDescent="0.3">
      <c r="A131" s="16" t="str">
        <f>IFERROR(tblClean[[#This Row],[CustomerID]],"")</f>
        <v>C0129</v>
      </c>
      <c r="B131" s="16" t="str">
        <f>IFERROR(tblClean[[#This Row],[Name (Cleaned)]],"")</f>
        <v>Ajay Gupta</v>
      </c>
      <c r="C131" s="16" t="str">
        <f>IFERROR(tblClean[[#This Row],[City/Region (Cleaned)]],"")</f>
        <v>Nagpur</v>
      </c>
      <c r="D131" s="16" t="str">
        <f>IFERROR(tblClean[[#This Row],[CustomerType]],"")</f>
        <v>New</v>
      </c>
      <c r="E131" s="16" t="str">
        <f>IFERROR(tblClean[[#This Row],[EngagementLevel]],"")</f>
        <v>Low</v>
      </c>
      <c r="F131" s="22">
        <f ca="1">IFERROR(TODAY()-'Raw Data'!M131,999)</f>
        <v>279</v>
      </c>
      <c r="G131" s="22">
        <f>IFERROR(COUNTIFS(tblTransactions[CustomerID],A131),0)</f>
        <v>1</v>
      </c>
      <c r="H131" s="22">
        <f>IFERROR(SUMIFS(tblTransactions[Amount (INR)],tblTransactions[CustomerID],A131),0)</f>
        <v>21390</v>
      </c>
      <c r="I131" s="16">
        <f t="shared" ref="I131:I162" ca="1" si="30">IFERROR(IF(F131&lt;=30,5,IF(F131&lt;=60,4,IF(F131&lt;=90,3,IF(F131&lt;=180,2,1)))),1)</f>
        <v>1</v>
      </c>
      <c r="J131" s="16">
        <f t="shared" ref="J131:J162" si="31">IFERROR(IF(G131&gt;=8,5,IF(G131&gt;=6,4,IF(G131&gt;=4,3,IF(G131&gt;=2,2,1)))),1)</f>
        <v>1</v>
      </c>
      <c r="K131" s="16">
        <f t="shared" ref="K131:K162" si="32">IFERROR(IF(H131&gt;=50000,5,IF(H131&gt;=30000,4,IF(H131&gt;=15000,3,IF(H131&gt;=5000,2,1)))),1)</f>
        <v>3</v>
      </c>
      <c r="L131" s="16" t="str">
        <f t="shared" ref="L131:L162" ca="1" si="33">IFERROR(TEXT(I131,"0")&amp;TEXT(J131,"0")&amp;TEXT(K131,"0"),"")</f>
        <v>113</v>
      </c>
      <c r="M131" s="16">
        <f>IFERROR(INDEX('Raw Data'!$X$3:$X$202,MATCH(A131,'Raw Data'!$W$3:$W$202,0)),"")</f>
        <v>3</v>
      </c>
      <c r="N131" s="16">
        <f>IFERROR(INDEX('Raw Data'!$Z$3:$Z$202,MATCH(A131,'Raw Data'!$W$3:$W$202,0)),"")</f>
        <v>5</v>
      </c>
      <c r="O131" s="16">
        <f t="shared" ref="O131:O162" si="34">IFERROR((IF(ISNUMBER(M131),M131,0)+IF(ISNUMBER(N131),N131/2,0))/MAX(1,(IF(ISNUMBER(M131),1,0)+IF(ISNUMBER(N131),1,0))),"")</f>
        <v>2.75</v>
      </c>
      <c r="P131" s="16" t="str">
        <f>IFERROR(tblClean[[#This Row],[AgeGroup]],"")</f>
        <v>25-39</v>
      </c>
      <c r="Q131" s="16" t="str">
        <f>IFERROR(tblClean[[#This Row],[IncomeBracket]],"")</f>
        <v>High</v>
      </c>
      <c r="R131" s="16" t="str">
        <f t="shared" ref="R131:R162" si="35">IFERROR(IF(E131="Low","LOW",IF(E131="Medium","MED","HIGH")),"N/A")</f>
        <v>LOW</v>
      </c>
      <c r="S131" s="16" t="str">
        <f t="shared" ref="S131:S162" si="36">IFERROR(IF(H131&gt;=50000,"Premium",IF(H131&gt;=15000,"Standard","Budget")),"N/A")</f>
        <v>Standard</v>
      </c>
      <c r="T131" s="18" t="str">
        <f t="shared" ca="1" si="22"/>
        <v>At Risk</v>
      </c>
      <c r="U131" s="18" t="str">
        <f>IFERROR(INDEX(tblTransactions[ProductCategory],MATCH(A131,tblTransactions[CustomerID],0)),"N/A")</f>
        <v>Home Decor</v>
      </c>
    </row>
    <row r="132" spans="1:21" ht="15" customHeight="1" x14ac:dyDescent="0.3">
      <c r="A132" s="19" t="str">
        <f>IFERROR(tblClean[[#This Row],[CustomerID]],"")</f>
        <v>C0130</v>
      </c>
      <c r="B132" s="19" t="str">
        <f>IFERROR(tblClean[[#This Row],[Name (Cleaned)]],"")</f>
        <v>Meena Kumar</v>
      </c>
      <c r="C132" s="19" t="str">
        <f>IFERROR(tblClean[[#This Row],[City/Region (Cleaned)]],"")</f>
        <v>Bhubaneswar</v>
      </c>
      <c r="D132" s="19" t="str">
        <f>IFERROR(tblClean[[#This Row],[CustomerType]],"")</f>
        <v>New</v>
      </c>
      <c r="E132" s="19" t="str">
        <f>IFERROR(tblClean[[#This Row],[EngagementLevel]],"")</f>
        <v>Low</v>
      </c>
      <c r="F132" s="23">
        <f ca="1">IFERROR(TODAY()-'Raw Data'!M132,999)</f>
        <v>286</v>
      </c>
      <c r="G132" s="23">
        <f>IFERROR(COUNTIFS(tblTransactions[CustomerID],A132),0)</f>
        <v>7</v>
      </c>
      <c r="H132" s="23">
        <f>IFERROR(SUMIFS(tblTransactions[Amount (INR)],tblTransactions[CustomerID],A132),0)</f>
        <v>82618</v>
      </c>
      <c r="I132" s="19">
        <f t="shared" ca="1" si="30"/>
        <v>1</v>
      </c>
      <c r="J132" s="19">
        <f t="shared" si="31"/>
        <v>4</v>
      </c>
      <c r="K132" s="19">
        <f t="shared" si="32"/>
        <v>5</v>
      </c>
      <c r="L132" s="19" t="str">
        <f t="shared" ca="1" si="33"/>
        <v>145</v>
      </c>
      <c r="M132" s="19">
        <f>IFERROR(INDEX('Raw Data'!$X$3:$X$202,MATCH(A132,'Raw Data'!$W$3:$W$202,0)),"")</f>
        <v>2</v>
      </c>
      <c r="N132" s="19">
        <f>IFERROR(INDEX('Raw Data'!$Z$3:$Z$202,MATCH(A132,'Raw Data'!$W$3:$W$202,0)),"")</f>
        <v>3</v>
      </c>
      <c r="O132" s="19">
        <f t="shared" si="34"/>
        <v>1.75</v>
      </c>
      <c r="P132" s="19" t="str">
        <f>IFERROR(tblClean[[#This Row],[AgeGroup]],"")</f>
        <v>40-54</v>
      </c>
      <c r="Q132" s="19" t="str">
        <f>IFERROR(tblClean[[#This Row],[IncomeBracket]],"")</f>
        <v>High</v>
      </c>
      <c r="R132" s="19" t="str">
        <f t="shared" si="35"/>
        <v>LOW</v>
      </c>
      <c r="S132" s="19" t="str">
        <f t="shared" si="36"/>
        <v>Premium</v>
      </c>
      <c r="T132" s="18" t="str">
        <f t="shared" ref="T132:T195" ca="1" si="37">IFERROR(IF(L132="555","Loyal",IF(AND(ISNUMBER(O132),O132&gt;=4.5,G132&gt;=3),"Loyal",IF(H132&gt;=50000,"High Value",IF(AND(F132&gt;90,G132&lt;3),"At Risk",IF(AND(H132&lt;30000,G132&gt;=5),"Bargain Seeker","General"))))),"General")</f>
        <v>High Value</v>
      </c>
      <c r="U132" s="18" t="str">
        <f>IFERROR(INDEX(tblTransactions[ProductCategory],MATCH(A132,tblTransactions[CustomerID],0)),"N/A")</f>
        <v>Sports</v>
      </c>
    </row>
    <row r="133" spans="1:21" ht="15" customHeight="1" x14ac:dyDescent="0.3">
      <c r="A133" s="16" t="str">
        <f>IFERROR(tblClean[[#This Row],[CustomerID]],"")</f>
        <v>C0131</v>
      </c>
      <c r="B133" s="16" t="str">
        <f>IFERROR(tblClean[[#This Row],[Name (Cleaned)]],"")</f>
        <v>Priya Reddy</v>
      </c>
      <c r="C133" s="16" t="str">
        <f>IFERROR(tblClean[[#This Row],[City/Region (Cleaned)]],"")</f>
        <v>Surat</v>
      </c>
      <c r="D133" s="16" t="str">
        <f>IFERROR(tblClean[[#This Row],[CustomerType]],"")</f>
        <v>Returning</v>
      </c>
      <c r="E133" s="16" t="str">
        <f>IFERROR(tblClean[[#This Row],[EngagementLevel]],"")</f>
        <v>Low</v>
      </c>
      <c r="F133" s="22">
        <f ca="1">IFERROR(TODAY()-'Raw Data'!M133,999)</f>
        <v>154</v>
      </c>
      <c r="G133" s="22">
        <f>IFERROR(COUNTIFS(tblTransactions[CustomerID],A133),0)</f>
        <v>8</v>
      </c>
      <c r="H133" s="22">
        <f>IFERROR(SUMIFS(tblTransactions[Amount (INR)],tblTransactions[CustomerID],A133),0)</f>
        <v>89973</v>
      </c>
      <c r="I133" s="16">
        <f t="shared" ca="1" si="30"/>
        <v>2</v>
      </c>
      <c r="J133" s="16">
        <f t="shared" si="31"/>
        <v>5</v>
      </c>
      <c r="K133" s="16">
        <f t="shared" si="32"/>
        <v>5</v>
      </c>
      <c r="L133" s="16" t="str">
        <f t="shared" ca="1" si="33"/>
        <v>255</v>
      </c>
      <c r="M133" s="16">
        <f>IFERROR(INDEX('Raw Data'!$X$3:$X$202,MATCH(A133,'Raw Data'!$W$3:$W$202,0)),"")</f>
        <v>4</v>
      </c>
      <c r="N133" s="16">
        <f>IFERROR(INDEX('Raw Data'!$Z$3:$Z$202,MATCH(A133,'Raw Data'!$W$3:$W$202,0)),"")</f>
        <v>9</v>
      </c>
      <c r="O133" s="16">
        <f t="shared" si="34"/>
        <v>4.25</v>
      </c>
      <c r="P133" s="16" t="str">
        <f>IFERROR(tblClean[[#This Row],[AgeGroup]],"")</f>
        <v>40-54</v>
      </c>
      <c r="Q133" s="16" t="str">
        <f>IFERROR(tblClean[[#This Row],[IncomeBracket]],"")</f>
        <v>Mid</v>
      </c>
      <c r="R133" s="16" t="str">
        <f t="shared" si="35"/>
        <v>LOW</v>
      </c>
      <c r="S133" s="16" t="str">
        <f t="shared" si="36"/>
        <v>Premium</v>
      </c>
      <c r="T133" s="18" t="str">
        <f t="shared" ca="1" si="37"/>
        <v>High Value</v>
      </c>
      <c r="U133" s="18" t="str">
        <f>IFERROR(INDEX(tblTransactions[ProductCategory],MATCH(A133,tblTransactions[CustomerID],0)),"N/A")</f>
        <v>Fashion</v>
      </c>
    </row>
    <row r="134" spans="1:21" ht="15" customHeight="1" x14ac:dyDescent="0.3">
      <c r="A134" s="19" t="str">
        <f>IFERROR(tblClean[[#This Row],[CustomerID]],"")</f>
        <v>C0132</v>
      </c>
      <c r="B134" s="19" t="str">
        <f>IFERROR(tblClean[[#This Row],[Name (Cleaned)]],"")</f>
        <v>Naveen Iyer</v>
      </c>
      <c r="C134" s="19" t="str">
        <f>IFERROR(tblClean[[#This Row],[City/Region (Cleaned)]],"")</f>
        <v>Surat</v>
      </c>
      <c r="D134" s="19" t="str">
        <f>IFERROR(tblClean[[#This Row],[CustomerType]],"")</f>
        <v>New</v>
      </c>
      <c r="E134" s="19" t="str">
        <f>IFERROR(tblClean[[#This Row],[EngagementLevel]],"")</f>
        <v>High</v>
      </c>
      <c r="F134" s="23">
        <f ca="1">IFERROR(TODAY()-'Raw Data'!M134,999)</f>
        <v>118</v>
      </c>
      <c r="G134" s="23">
        <f>IFERROR(COUNTIFS(tblTransactions[CustomerID],A134),0)</f>
        <v>8</v>
      </c>
      <c r="H134" s="23">
        <f>IFERROR(SUMIFS(tblTransactions[Amount (INR)],tblTransactions[CustomerID],A134),0)</f>
        <v>107296</v>
      </c>
      <c r="I134" s="19">
        <f t="shared" ca="1" si="30"/>
        <v>2</v>
      </c>
      <c r="J134" s="19">
        <f t="shared" si="31"/>
        <v>5</v>
      </c>
      <c r="K134" s="19">
        <f t="shared" si="32"/>
        <v>5</v>
      </c>
      <c r="L134" s="19" t="str">
        <f t="shared" ca="1" si="33"/>
        <v>255</v>
      </c>
      <c r="M134" s="19">
        <f>IFERROR(INDEX('Raw Data'!$X$3:$X$202,MATCH(A134,'Raw Data'!$W$3:$W$202,0)),"")</f>
        <v>5</v>
      </c>
      <c r="N134" s="19">
        <f>IFERROR(INDEX('Raw Data'!$Z$3:$Z$202,MATCH(A134,'Raw Data'!$W$3:$W$202,0)),"")</f>
        <v>10</v>
      </c>
      <c r="O134" s="19">
        <f t="shared" si="34"/>
        <v>5</v>
      </c>
      <c r="P134" s="19" t="str">
        <f>IFERROR(tblClean[[#This Row],[AgeGroup]],"")</f>
        <v>40-54</v>
      </c>
      <c r="Q134" s="19" t="str">
        <f>IFERROR(tblClean[[#This Row],[IncomeBracket]],"")</f>
        <v>Mid</v>
      </c>
      <c r="R134" s="19" t="str">
        <f t="shared" si="35"/>
        <v>HIGH</v>
      </c>
      <c r="S134" s="19" t="str">
        <f t="shared" si="36"/>
        <v>Premium</v>
      </c>
      <c r="T134" s="18" t="str">
        <f t="shared" ca="1" si="37"/>
        <v>Loyal</v>
      </c>
      <c r="U134" s="18" t="str">
        <f>IFERROR(INDEX(tblTransactions[ProductCategory],MATCH(A134,tblTransactions[CustomerID],0)),"N/A")</f>
        <v>Sports</v>
      </c>
    </row>
    <row r="135" spans="1:21" ht="15" customHeight="1" x14ac:dyDescent="0.3">
      <c r="A135" s="16" t="str">
        <f>IFERROR(tblClean[[#This Row],[CustomerID]],"")</f>
        <v>C0133</v>
      </c>
      <c r="B135" s="16" t="str">
        <f>IFERROR(tblClean[[#This Row],[Name (Cleaned)]],"")</f>
        <v>Ritu Reddy</v>
      </c>
      <c r="C135" s="16" t="str">
        <f>IFERROR(tblClean[[#This Row],[City/Region (Cleaned)]],"")</f>
        <v>Chennai</v>
      </c>
      <c r="D135" s="16" t="str">
        <f>IFERROR(tblClean[[#This Row],[CustomerType]],"")</f>
        <v>New</v>
      </c>
      <c r="E135" s="16" t="str">
        <f>IFERROR(tblClean[[#This Row],[EngagementLevel]],"")</f>
        <v>High</v>
      </c>
      <c r="F135" s="22">
        <f ca="1">IFERROR(TODAY()-'Raw Data'!M135,999)</f>
        <v>223</v>
      </c>
      <c r="G135" s="22">
        <f>IFERROR(COUNTIFS(tblTransactions[CustomerID],A135),0)</f>
        <v>3</v>
      </c>
      <c r="H135" s="22">
        <f>IFERROR(SUMIFS(tblTransactions[Amount (INR)],tblTransactions[CustomerID],A135),0)</f>
        <v>40265</v>
      </c>
      <c r="I135" s="16">
        <f t="shared" ca="1" si="30"/>
        <v>1</v>
      </c>
      <c r="J135" s="16">
        <f t="shared" si="31"/>
        <v>2</v>
      </c>
      <c r="K135" s="16">
        <f t="shared" si="32"/>
        <v>4</v>
      </c>
      <c r="L135" s="16" t="str">
        <f t="shared" ca="1" si="33"/>
        <v>124</v>
      </c>
      <c r="M135" s="16">
        <f>IFERROR(INDEX('Raw Data'!$X$3:$X$202,MATCH(A135,'Raw Data'!$W$3:$W$202,0)),"")</f>
        <v>1</v>
      </c>
      <c r="N135" s="16">
        <f>IFERROR(INDEX('Raw Data'!$Z$3:$Z$202,MATCH(A135,'Raw Data'!$W$3:$W$202,0)),"")</f>
        <v>9</v>
      </c>
      <c r="O135" s="16">
        <f t="shared" si="34"/>
        <v>2.75</v>
      </c>
      <c r="P135" s="16" t="str">
        <f>IFERROR(tblClean[[#This Row],[AgeGroup]],"")</f>
        <v>55+</v>
      </c>
      <c r="Q135" s="16" t="str">
        <f>IFERROR(tblClean[[#This Row],[IncomeBracket]],"")</f>
        <v>Mid</v>
      </c>
      <c r="R135" s="16" t="str">
        <f t="shared" si="35"/>
        <v>HIGH</v>
      </c>
      <c r="S135" s="16" t="str">
        <f t="shared" si="36"/>
        <v>Standard</v>
      </c>
      <c r="T135" s="18" t="str">
        <f t="shared" ca="1" si="37"/>
        <v>General</v>
      </c>
      <c r="U135" s="18" t="str">
        <f>IFERROR(INDEX(tblTransactions[ProductCategory],MATCH(A135,tblTransactions[CustomerID],0)),"N/A")</f>
        <v>Home Decor</v>
      </c>
    </row>
    <row r="136" spans="1:21" ht="15" customHeight="1" x14ac:dyDescent="0.3">
      <c r="A136" s="19" t="str">
        <f>IFERROR(tblClean[[#This Row],[CustomerID]],"")</f>
        <v>C0134</v>
      </c>
      <c r="B136" s="19" t="str">
        <f>IFERROR(tblClean[[#This Row],[Name (Cleaned)]],"")</f>
        <v>Vijay Verma</v>
      </c>
      <c r="C136" s="19" t="str">
        <f>IFERROR(tblClean[[#This Row],[City/Region (Cleaned)]],"")</f>
        <v>Vadodara</v>
      </c>
      <c r="D136" s="19" t="str">
        <f>IFERROR(tblClean[[#This Row],[CustomerType]],"")</f>
        <v>New</v>
      </c>
      <c r="E136" s="19" t="str">
        <f>IFERROR(tblClean[[#This Row],[EngagementLevel]],"")</f>
        <v>High</v>
      </c>
      <c r="F136" s="23">
        <f ca="1">IFERROR(TODAY()-'Raw Data'!M136,999)</f>
        <v>291</v>
      </c>
      <c r="G136" s="23">
        <f>IFERROR(COUNTIFS(tblTransactions[CustomerID],A136),0)</f>
        <v>4</v>
      </c>
      <c r="H136" s="23">
        <f>IFERROR(SUMIFS(tblTransactions[Amount (INR)],tblTransactions[CustomerID],A136),0)</f>
        <v>71709</v>
      </c>
      <c r="I136" s="19">
        <f t="shared" ca="1" si="30"/>
        <v>1</v>
      </c>
      <c r="J136" s="19">
        <f t="shared" si="31"/>
        <v>3</v>
      </c>
      <c r="K136" s="19">
        <f t="shared" si="32"/>
        <v>5</v>
      </c>
      <c r="L136" s="19" t="str">
        <f t="shared" ca="1" si="33"/>
        <v>135</v>
      </c>
      <c r="M136" s="19">
        <f>IFERROR(INDEX('Raw Data'!$X$3:$X$202,MATCH(A136,'Raw Data'!$W$3:$W$202,0)),"")</f>
        <v>3</v>
      </c>
      <c r="N136" s="19">
        <f>IFERROR(INDEX('Raw Data'!$Z$3:$Z$202,MATCH(A136,'Raw Data'!$W$3:$W$202,0)),"")</f>
        <v>8</v>
      </c>
      <c r="O136" s="19">
        <f t="shared" si="34"/>
        <v>3.5</v>
      </c>
      <c r="P136" s="19" t="str">
        <f>IFERROR(tblClean[[#This Row],[AgeGroup]],"")</f>
        <v>40-54</v>
      </c>
      <c r="Q136" s="19" t="str">
        <f>IFERROR(tblClean[[#This Row],[IncomeBracket]],"")</f>
        <v>High</v>
      </c>
      <c r="R136" s="19" t="str">
        <f t="shared" si="35"/>
        <v>HIGH</v>
      </c>
      <c r="S136" s="19" t="str">
        <f t="shared" si="36"/>
        <v>Premium</v>
      </c>
      <c r="T136" s="18" t="str">
        <f t="shared" ca="1" si="37"/>
        <v>High Value</v>
      </c>
      <c r="U136" s="18" t="str">
        <f>IFERROR(INDEX(tblTransactions[ProductCategory],MATCH(A136,tblTransactions[CustomerID],0)),"N/A")</f>
        <v>Grocery</v>
      </c>
    </row>
    <row r="137" spans="1:21" ht="15" customHeight="1" x14ac:dyDescent="0.3">
      <c r="A137" s="16" t="str">
        <f>IFERROR(tblClean[[#This Row],[CustomerID]],"")</f>
        <v>C0135</v>
      </c>
      <c r="B137" s="16" t="str">
        <f>IFERROR(tblClean[[#This Row],[Name (Cleaned)]],"")</f>
        <v>Swati Nair</v>
      </c>
      <c r="C137" s="16" t="str">
        <f>IFERROR(tblClean[[#This Row],[City/Region (Cleaned)]],"")</f>
        <v>Ahmedabad</v>
      </c>
      <c r="D137" s="16" t="str">
        <f>IFERROR(tblClean[[#This Row],[CustomerType]],"")</f>
        <v>New</v>
      </c>
      <c r="E137" s="16" t="str">
        <f>IFERROR(tblClean[[#This Row],[EngagementLevel]],"")</f>
        <v>Low</v>
      </c>
      <c r="F137" s="22">
        <f ca="1">IFERROR(TODAY()-'Raw Data'!M137,999)</f>
        <v>252</v>
      </c>
      <c r="G137" s="22">
        <f>IFERROR(COUNTIFS(tblTransactions[CustomerID],A137),0)</f>
        <v>2</v>
      </c>
      <c r="H137" s="22">
        <f>IFERROR(SUMIFS(tblTransactions[Amount (INR)],tblTransactions[CustomerID],A137),0)</f>
        <v>27506</v>
      </c>
      <c r="I137" s="16">
        <f t="shared" ca="1" si="30"/>
        <v>1</v>
      </c>
      <c r="J137" s="16">
        <f t="shared" si="31"/>
        <v>2</v>
      </c>
      <c r="K137" s="16">
        <f t="shared" si="32"/>
        <v>3</v>
      </c>
      <c r="L137" s="16" t="str">
        <f t="shared" ca="1" si="33"/>
        <v>123</v>
      </c>
      <c r="M137" s="16">
        <f>IFERROR(INDEX('Raw Data'!$X$3:$X$202,MATCH(A137,'Raw Data'!$W$3:$W$202,0)),"")</f>
        <v>5</v>
      </c>
      <c r="N137" s="16">
        <f>IFERROR(INDEX('Raw Data'!$Z$3:$Z$202,MATCH(A137,'Raw Data'!$W$3:$W$202,0)),"")</f>
        <v>7</v>
      </c>
      <c r="O137" s="16">
        <f t="shared" si="34"/>
        <v>4.25</v>
      </c>
      <c r="P137" s="16" t="str">
        <f>IFERROR(tblClean[[#This Row],[AgeGroup]],"")</f>
        <v>25-39</v>
      </c>
      <c r="Q137" s="16" t="str">
        <f>IFERROR(tblClean[[#This Row],[IncomeBracket]],"")</f>
        <v>High</v>
      </c>
      <c r="R137" s="16" t="str">
        <f t="shared" si="35"/>
        <v>LOW</v>
      </c>
      <c r="S137" s="16" t="str">
        <f t="shared" si="36"/>
        <v>Standard</v>
      </c>
      <c r="T137" s="18" t="str">
        <f t="shared" ca="1" si="37"/>
        <v>At Risk</v>
      </c>
      <c r="U137" s="18" t="str">
        <f>IFERROR(INDEX(tblTransactions[ProductCategory],MATCH(A137,tblTransactions[CustomerID],0)),"N/A")</f>
        <v>Fashion</v>
      </c>
    </row>
    <row r="138" spans="1:21" ht="15" customHeight="1" x14ac:dyDescent="0.3">
      <c r="A138" s="19" t="str">
        <f>IFERROR(tblClean[[#This Row],[CustomerID]],"")</f>
        <v>C0136</v>
      </c>
      <c r="B138" s="19" t="str">
        <f>IFERROR(tblClean[[#This Row],[Name (Cleaned)]],"")</f>
        <v>Divya Pillai</v>
      </c>
      <c r="C138" s="19" t="str">
        <f>IFERROR(tblClean[[#This Row],[City/Region (Cleaned)]],"")</f>
        <v>Vadodara</v>
      </c>
      <c r="D138" s="19" t="str">
        <f>IFERROR(tblClean[[#This Row],[CustomerType]],"")</f>
        <v>Returning</v>
      </c>
      <c r="E138" s="19" t="str">
        <f>IFERROR(tblClean[[#This Row],[EngagementLevel]],"")</f>
        <v>Medium</v>
      </c>
      <c r="F138" s="23">
        <f ca="1">IFERROR(TODAY()-'Raw Data'!M138,999)</f>
        <v>302</v>
      </c>
      <c r="G138" s="23">
        <f>IFERROR(COUNTIFS(tblTransactions[CustomerID],A138),0)</f>
        <v>7</v>
      </c>
      <c r="H138" s="23">
        <f>IFERROR(SUMIFS(tblTransactions[Amount (INR)],tblTransactions[CustomerID],A138),0)</f>
        <v>74030</v>
      </c>
      <c r="I138" s="19">
        <f t="shared" ca="1" si="30"/>
        <v>1</v>
      </c>
      <c r="J138" s="19">
        <f t="shared" si="31"/>
        <v>4</v>
      </c>
      <c r="K138" s="19">
        <f t="shared" si="32"/>
        <v>5</v>
      </c>
      <c r="L138" s="19" t="str">
        <f t="shared" ca="1" si="33"/>
        <v>145</v>
      </c>
      <c r="M138" s="19">
        <f>IFERROR(INDEX('Raw Data'!$X$3:$X$202,MATCH(A138,'Raw Data'!$W$3:$W$202,0)),"")</f>
        <v>1</v>
      </c>
      <c r="N138" s="19">
        <f>IFERROR(INDEX('Raw Data'!$Z$3:$Z$202,MATCH(A138,'Raw Data'!$W$3:$W$202,0)),"")</f>
        <v>5</v>
      </c>
      <c r="O138" s="19">
        <f t="shared" si="34"/>
        <v>1.75</v>
      </c>
      <c r="P138" s="19" t="str">
        <f>IFERROR(tblClean[[#This Row],[AgeGroup]],"")</f>
        <v>55+</v>
      </c>
      <c r="Q138" s="19" t="str">
        <f>IFERROR(tblClean[[#This Row],[IncomeBracket]],"")</f>
        <v>Mid</v>
      </c>
      <c r="R138" s="19" t="str">
        <f t="shared" si="35"/>
        <v>MED</v>
      </c>
      <c r="S138" s="19" t="str">
        <f t="shared" si="36"/>
        <v>Premium</v>
      </c>
      <c r="T138" s="18" t="str">
        <f t="shared" ca="1" si="37"/>
        <v>High Value</v>
      </c>
      <c r="U138" s="18" t="str">
        <f>IFERROR(INDEX(tblTransactions[ProductCategory],MATCH(A138,tblTransactions[CustomerID],0)),"N/A")</f>
        <v>Electronics</v>
      </c>
    </row>
    <row r="139" spans="1:21" ht="15" customHeight="1" x14ac:dyDescent="0.3">
      <c r="A139" s="16" t="str">
        <f>IFERROR(tblClean[[#This Row],[CustomerID]],"")</f>
        <v>C0137</v>
      </c>
      <c r="B139" s="16" t="str">
        <f>IFERROR(tblClean[[#This Row],[Name (Cleaned)]],"")</f>
        <v>Manoj Singh</v>
      </c>
      <c r="C139" s="16" t="str">
        <f>IFERROR(tblClean[[#This Row],[City/Region (Cleaned)]],"")</f>
        <v>Ahmedabad</v>
      </c>
      <c r="D139" s="16" t="str">
        <f>IFERROR(tblClean[[#This Row],[CustomerType]],"")</f>
        <v>New</v>
      </c>
      <c r="E139" s="16" t="str">
        <f>IFERROR(tblClean[[#This Row],[EngagementLevel]],"")</f>
        <v>High</v>
      </c>
      <c r="F139" s="22">
        <f ca="1">IFERROR(TODAY()-'Raw Data'!M139,999)</f>
        <v>315</v>
      </c>
      <c r="G139" s="22">
        <f>IFERROR(COUNTIFS(tblTransactions[CustomerID],A139),0)</f>
        <v>9</v>
      </c>
      <c r="H139" s="22">
        <f>IFERROR(SUMIFS(tblTransactions[Amount (INR)],tblTransactions[CustomerID],A139),0)</f>
        <v>154391</v>
      </c>
      <c r="I139" s="16">
        <f t="shared" ca="1" si="30"/>
        <v>1</v>
      </c>
      <c r="J139" s="16">
        <f t="shared" si="31"/>
        <v>5</v>
      </c>
      <c r="K139" s="16">
        <f t="shared" si="32"/>
        <v>5</v>
      </c>
      <c r="L139" s="16" t="str">
        <f t="shared" ca="1" si="33"/>
        <v>155</v>
      </c>
      <c r="M139" s="16">
        <f>IFERROR(INDEX('Raw Data'!$X$3:$X$202,MATCH(A139,'Raw Data'!$W$3:$W$202,0)),"")</f>
        <v>1</v>
      </c>
      <c r="N139" s="16">
        <f>IFERROR(INDEX('Raw Data'!$Z$3:$Z$202,MATCH(A139,'Raw Data'!$W$3:$W$202,0)),"")</f>
        <v>5</v>
      </c>
      <c r="O139" s="16">
        <f t="shared" si="34"/>
        <v>1.75</v>
      </c>
      <c r="P139" s="16" t="str">
        <f>IFERROR(tblClean[[#This Row],[AgeGroup]],"")</f>
        <v>40-54</v>
      </c>
      <c r="Q139" s="16" t="str">
        <f>IFERROR(tblClean[[#This Row],[IncomeBracket]],"")</f>
        <v>Mid</v>
      </c>
      <c r="R139" s="16" t="str">
        <f t="shared" si="35"/>
        <v>HIGH</v>
      </c>
      <c r="S139" s="16" t="str">
        <f t="shared" si="36"/>
        <v>Premium</v>
      </c>
      <c r="T139" s="18" t="str">
        <f t="shared" ca="1" si="37"/>
        <v>High Value</v>
      </c>
      <c r="U139" s="18" t="str">
        <f>IFERROR(INDEX(tblTransactions[ProductCategory],MATCH(A139,tblTransactions[CustomerID],0)),"N/A")</f>
        <v>Fashion</v>
      </c>
    </row>
    <row r="140" spans="1:21" ht="15" customHeight="1" x14ac:dyDescent="0.3">
      <c r="A140" s="19" t="str">
        <f>IFERROR(tblClean[[#This Row],[CustomerID]],"")</f>
        <v>C0138</v>
      </c>
      <c r="B140" s="19" t="str">
        <f>IFERROR(tblClean[[#This Row],[Name (Cleaned)]],"")</f>
        <v>Nisha Rao</v>
      </c>
      <c r="C140" s="19" t="str">
        <f>IFERROR(tblClean[[#This Row],[City/Region (Cleaned)]],"")</f>
        <v>Coimbatore</v>
      </c>
      <c r="D140" s="19" t="str">
        <f>IFERROR(tblClean[[#This Row],[CustomerType]],"")</f>
        <v>New</v>
      </c>
      <c r="E140" s="19" t="str">
        <f>IFERROR(tblClean[[#This Row],[EngagementLevel]],"")</f>
        <v>High</v>
      </c>
      <c r="F140" s="23">
        <f ca="1">IFERROR(TODAY()-'Raw Data'!M140,999)</f>
        <v>147</v>
      </c>
      <c r="G140" s="23">
        <f>IFERROR(COUNTIFS(tblTransactions[CustomerID],A140),0)</f>
        <v>3</v>
      </c>
      <c r="H140" s="23">
        <f>IFERROR(SUMIFS(tblTransactions[Amount (INR)],tblTransactions[CustomerID],A140),0)</f>
        <v>43091</v>
      </c>
      <c r="I140" s="19">
        <f t="shared" ca="1" si="30"/>
        <v>2</v>
      </c>
      <c r="J140" s="19">
        <f t="shared" si="31"/>
        <v>2</v>
      </c>
      <c r="K140" s="19">
        <f t="shared" si="32"/>
        <v>4</v>
      </c>
      <c r="L140" s="19" t="str">
        <f t="shared" ca="1" si="33"/>
        <v>224</v>
      </c>
      <c r="M140" s="19">
        <f>IFERROR(INDEX('Raw Data'!$X$3:$X$202,MATCH(A140,'Raw Data'!$W$3:$W$202,0)),"")</f>
        <v>3</v>
      </c>
      <c r="N140" s="19">
        <f>IFERROR(INDEX('Raw Data'!$Z$3:$Z$202,MATCH(A140,'Raw Data'!$W$3:$W$202,0)),"")</f>
        <v>8</v>
      </c>
      <c r="O140" s="19">
        <f t="shared" si="34"/>
        <v>3.5</v>
      </c>
      <c r="P140" s="19" t="str">
        <f>IFERROR(tblClean[[#This Row],[AgeGroup]],"")</f>
        <v>40-54</v>
      </c>
      <c r="Q140" s="19" t="str">
        <f>IFERROR(tblClean[[#This Row],[IncomeBracket]],"")</f>
        <v>High</v>
      </c>
      <c r="R140" s="19" t="str">
        <f t="shared" si="35"/>
        <v>HIGH</v>
      </c>
      <c r="S140" s="19" t="str">
        <f t="shared" si="36"/>
        <v>Standard</v>
      </c>
      <c r="T140" s="18" t="str">
        <f t="shared" ca="1" si="37"/>
        <v>General</v>
      </c>
      <c r="U140" s="18" t="str">
        <f>IFERROR(INDEX(tblTransactions[ProductCategory],MATCH(A140,tblTransactions[CustomerID],0)),"N/A")</f>
        <v>Home Decor</v>
      </c>
    </row>
    <row r="141" spans="1:21" ht="15" customHeight="1" x14ac:dyDescent="0.3">
      <c r="A141" s="16" t="str">
        <f>IFERROR(tblClean[[#This Row],[CustomerID]],"")</f>
        <v>C0139</v>
      </c>
      <c r="B141" s="16" t="str">
        <f>IFERROR(tblClean[[#This Row],[Name (Cleaned)]],"")</f>
        <v>Rekha Reddy</v>
      </c>
      <c r="C141" s="16" t="str">
        <f>IFERROR(tblClean[[#This Row],[City/Region (Cleaned)]],"")</f>
        <v>Ahmedabad</v>
      </c>
      <c r="D141" s="16" t="str">
        <f>IFERROR(tblClean[[#This Row],[CustomerType]],"")</f>
        <v>New</v>
      </c>
      <c r="E141" s="16" t="str">
        <f>IFERROR(tblClean[[#This Row],[EngagementLevel]],"")</f>
        <v>Medium</v>
      </c>
      <c r="F141" s="22">
        <f ca="1">IFERROR(TODAY()-'Raw Data'!M141,999)</f>
        <v>214</v>
      </c>
      <c r="G141" s="22">
        <f>IFERROR(COUNTIFS(tblTransactions[CustomerID],A141),0)</f>
        <v>1</v>
      </c>
      <c r="H141" s="22">
        <f>IFERROR(SUMIFS(tblTransactions[Amount (INR)],tblTransactions[CustomerID],A141),0)</f>
        <v>9172</v>
      </c>
      <c r="I141" s="16">
        <f t="shared" ca="1" si="30"/>
        <v>1</v>
      </c>
      <c r="J141" s="16">
        <f t="shared" si="31"/>
        <v>1</v>
      </c>
      <c r="K141" s="16">
        <f t="shared" si="32"/>
        <v>2</v>
      </c>
      <c r="L141" s="16" t="str">
        <f t="shared" ca="1" si="33"/>
        <v>112</v>
      </c>
      <c r="M141" s="16">
        <f>IFERROR(INDEX('Raw Data'!$X$3:$X$202,MATCH(A141,'Raw Data'!$W$3:$W$202,0)),"")</f>
        <v>1</v>
      </c>
      <c r="N141" s="16">
        <f>IFERROR(INDEX('Raw Data'!$Z$3:$Z$202,MATCH(A141,'Raw Data'!$W$3:$W$202,0)),"")</f>
        <v>4</v>
      </c>
      <c r="O141" s="16">
        <f t="shared" si="34"/>
        <v>1.5</v>
      </c>
      <c r="P141" s="16" t="str">
        <f>IFERROR(tblClean[[#This Row],[AgeGroup]],"")</f>
        <v>55+</v>
      </c>
      <c r="Q141" s="16" t="str">
        <f>IFERROR(tblClean[[#This Row],[IncomeBracket]],"")</f>
        <v>High</v>
      </c>
      <c r="R141" s="16" t="str">
        <f t="shared" si="35"/>
        <v>MED</v>
      </c>
      <c r="S141" s="16" t="str">
        <f t="shared" si="36"/>
        <v>Budget</v>
      </c>
      <c r="T141" s="18" t="str">
        <f t="shared" ca="1" si="37"/>
        <v>At Risk</v>
      </c>
      <c r="U141" s="18" t="str">
        <f>IFERROR(INDEX(tblTransactions[ProductCategory],MATCH(A141,tblTransactions[CustomerID],0)),"N/A")</f>
        <v>Sports</v>
      </c>
    </row>
    <row r="142" spans="1:21" ht="15" customHeight="1" x14ac:dyDescent="0.3">
      <c r="A142" s="19" t="str">
        <f>IFERROR(tblClean[[#This Row],[CustomerID]],"")</f>
        <v>C0140</v>
      </c>
      <c r="B142" s="19" t="str">
        <f>IFERROR(tblClean[[#This Row],[Name (Cleaned)]],"")</f>
        <v>Sunita Joshi</v>
      </c>
      <c r="C142" s="19" t="str">
        <f>IFERROR(tblClean[[#This Row],[City/Region (Cleaned)]],"")</f>
        <v>Pune</v>
      </c>
      <c r="D142" s="19" t="str">
        <f>IFERROR(tblClean[[#This Row],[CustomerType]],"")</f>
        <v>Returning</v>
      </c>
      <c r="E142" s="19" t="str">
        <f>IFERROR(tblClean[[#This Row],[EngagementLevel]],"")</f>
        <v>Medium</v>
      </c>
      <c r="F142" s="23">
        <f ca="1">IFERROR(TODAY()-'Raw Data'!M142,999)</f>
        <v>272</v>
      </c>
      <c r="G142" s="23">
        <f>IFERROR(COUNTIFS(tblTransactions[CustomerID],A142),0)</f>
        <v>4</v>
      </c>
      <c r="H142" s="23">
        <f>IFERROR(SUMIFS(tblTransactions[Amount (INR)],tblTransactions[CustomerID],A142),0)</f>
        <v>63889</v>
      </c>
      <c r="I142" s="19">
        <f t="shared" ca="1" si="30"/>
        <v>1</v>
      </c>
      <c r="J142" s="19">
        <f t="shared" si="31"/>
        <v>3</v>
      </c>
      <c r="K142" s="19">
        <f t="shared" si="32"/>
        <v>5</v>
      </c>
      <c r="L142" s="19" t="str">
        <f t="shared" ca="1" si="33"/>
        <v>135</v>
      </c>
      <c r="M142" s="19">
        <f>IFERROR(INDEX('Raw Data'!$X$3:$X$202,MATCH(A142,'Raw Data'!$W$3:$W$202,0)),"")</f>
        <v>5</v>
      </c>
      <c r="N142" s="19">
        <f>IFERROR(INDEX('Raw Data'!$Z$3:$Z$202,MATCH(A142,'Raw Data'!$W$3:$W$202,0)),"")</f>
        <v>10</v>
      </c>
      <c r="O142" s="19">
        <f t="shared" si="34"/>
        <v>5</v>
      </c>
      <c r="P142" s="19" t="str">
        <f>IFERROR(tblClean[[#This Row],[AgeGroup]],"")</f>
        <v>25-39</v>
      </c>
      <c r="Q142" s="19" t="str">
        <f>IFERROR(tblClean[[#This Row],[IncomeBracket]],"")</f>
        <v>Mid</v>
      </c>
      <c r="R142" s="19" t="str">
        <f t="shared" si="35"/>
        <v>MED</v>
      </c>
      <c r="S142" s="19" t="str">
        <f t="shared" si="36"/>
        <v>Premium</v>
      </c>
      <c r="T142" s="18" t="str">
        <f t="shared" ca="1" si="37"/>
        <v>Loyal</v>
      </c>
      <c r="U142" s="18" t="str">
        <f>IFERROR(INDEX(tblTransactions[ProductCategory],MATCH(A142,tblTransactions[CustomerID],0)),"N/A")</f>
        <v>Beauty</v>
      </c>
    </row>
    <row r="143" spans="1:21" ht="15" customHeight="1" x14ac:dyDescent="0.3">
      <c r="A143" s="16" t="str">
        <f>IFERROR(tblClean[[#This Row],[CustomerID]],"")</f>
        <v>C0141</v>
      </c>
      <c r="B143" s="16" t="str">
        <f>IFERROR(tblClean[[#This Row],[Name (Cleaned)]],"")</f>
        <v>Kunal Nair</v>
      </c>
      <c r="C143" s="16" t="str">
        <f>IFERROR(tblClean[[#This Row],[City/Region (Cleaned)]],"")</f>
        <v>Bhopal</v>
      </c>
      <c r="D143" s="16" t="str">
        <f>IFERROR(tblClean[[#This Row],[CustomerType]],"")</f>
        <v>Returning</v>
      </c>
      <c r="E143" s="16" t="str">
        <f>IFERROR(tblClean[[#This Row],[EngagementLevel]],"")</f>
        <v>Medium</v>
      </c>
      <c r="F143" s="22">
        <f ca="1">IFERROR(TODAY()-'Raw Data'!M143,999)</f>
        <v>98</v>
      </c>
      <c r="G143" s="22">
        <f>IFERROR(COUNTIFS(tblTransactions[CustomerID],A143),0)</f>
        <v>4</v>
      </c>
      <c r="H143" s="22">
        <f>IFERROR(SUMIFS(tblTransactions[Amount (INR)],tblTransactions[CustomerID],A143),0)</f>
        <v>63932</v>
      </c>
      <c r="I143" s="16">
        <f t="shared" ca="1" si="30"/>
        <v>2</v>
      </c>
      <c r="J143" s="16">
        <f t="shared" si="31"/>
        <v>3</v>
      </c>
      <c r="K143" s="16">
        <f t="shared" si="32"/>
        <v>5</v>
      </c>
      <c r="L143" s="16" t="str">
        <f t="shared" ca="1" si="33"/>
        <v>235</v>
      </c>
      <c r="M143" s="16">
        <f>IFERROR(INDEX('Raw Data'!$X$3:$X$202,MATCH(A143,'Raw Data'!$W$3:$W$202,0)),"")</f>
        <v>4</v>
      </c>
      <c r="N143" s="16">
        <f>IFERROR(INDEX('Raw Data'!$Z$3:$Z$202,MATCH(A143,'Raw Data'!$W$3:$W$202,0)),"")</f>
        <v>10</v>
      </c>
      <c r="O143" s="16">
        <f t="shared" si="34"/>
        <v>4.5</v>
      </c>
      <c r="P143" s="16" t="str">
        <f>IFERROR(tblClean[[#This Row],[AgeGroup]],"")</f>
        <v>55+</v>
      </c>
      <c r="Q143" s="16" t="str">
        <f>IFERROR(tblClean[[#This Row],[IncomeBracket]],"")</f>
        <v>High</v>
      </c>
      <c r="R143" s="16" t="str">
        <f t="shared" si="35"/>
        <v>MED</v>
      </c>
      <c r="S143" s="16" t="str">
        <f t="shared" si="36"/>
        <v>Premium</v>
      </c>
      <c r="T143" s="18" t="str">
        <f t="shared" ca="1" si="37"/>
        <v>Loyal</v>
      </c>
      <c r="U143" s="18" t="str">
        <f>IFERROR(INDEX(tblTransactions[ProductCategory],MATCH(A143,tblTransactions[CustomerID],0)),"N/A")</f>
        <v>Beauty</v>
      </c>
    </row>
    <row r="144" spans="1:21" ht="15" customHeight="1" x14ac:dyDescent="0.3">
      <c r="A144" s="19" t="str">
        <f>IFERROR(tblClean[[#This Row],[CustomerID]],"")</f>
        <v>C0142</v>
      </c>
      <c r="B144" s="19" t="str">
        <f>IFERROR(tblClean[[#This Row],[Name (Cleaned)]],"")</f>
        <v>Geeta Sharma</v>
      </c>
      <c r="C144" s="19" t="str">
        <f>IFERROR(tblClean[[#This Row],[City/Region (Cleaned)]],"")</f>
        <v>Patna</v>
      </c>
      <c r="D144" s="19" t="str">
        <f>IFERROR(tblClean[[#This Row],[CustomerType]],"")</f>
        <v>New</v>
      </c>
      <c r="E144" s="19" t="str">
        <f>IFERROR(tblClean[[#This Row],[EngagementLevel]],"")</f>
        <v>Medium</v>
      </c>
      <c r="F144" s="23">
        <f ca="1">IFERROR(TODAY()-'Raw Data'!M144,999)</f>
        <v>59</v>
      </c>
      <c r="G144" s="23">
        <f>IFERROR(COUNTIFS(tblTransactions[CustomerID],A144),0)</f>
        <v>4</v>
      </c>
      <c r="H144" s="23">
        <f>IFERROR(SUMIFS(tblTransactions[Amount (INR)],tblTransactions[CustomerID],A144),0)</f>
        <v>39858</v>
      </c>
      <c r="I144" s="19">
        <f t="shared" ca="1" si="30"/>
        <v>4</v>
      </c>
      <c r="J144" s="19">
        <f t="shared" si="31"/>
        <v>3</v>
      </c>
      <c r="K144" s="19">
        <f t="shared" si="32"/>
        <v>4</v>
      </c>
      <c r="L144" s="19" t="str">
        <f t="shared" ca="1" si="33"/>
        <v>434</v>
      </c>
      <c r="M144" s="19">
        <f>IFERROR(INDEX('Raw Data'!$X$3:$X$202,MATCH(A144,'Raw Data'!$W$3:$W$202,0)),"")</f>
        <v>2</v>
      </c>
      <c r="N144" s="19">
        <f>IFERROR(INDEX('Raw Data'!$Z$3:$Z$202,MATCH(A144,'Raw Data'!$W$3:$W$202,0)),"")</f>
        <v>4</v>
      </c>
      <c r="O144" s="19">
        <f t="shared" si="34"/>
        <v>2</v>
      </c>
      <c r="P144" s="19" t="str">
        <f>IFERROR(tblClean[[#This Row],[AgeGroup]],"")</f>
        <v>40-54</v>
      </c>
      <c r="Q144" s="19" t="str">
        <f>IFERROR(tblClean[[#This Row],[IncomeBracket]],"")</f>
        <v>Mid</v>
      </c>
      <c r="R144" s="19" t="str">
        <f t="shared" si="35"/>
        <v>MED</v>
      </c>
      <c r="S144" s="19" t="str">
        <f t="shared" si="36"/>
        <v>Standard</v>
      </c>
      <c r="T144" s="18" t="str">
        <f t="shared" ca="1" si="37"/>
        <v>General</v>
      </c>
      <c r="U144" s="18" t="str">
        <f>IFERROR(INDEX(tblTransactions[ProductCategory],MATCH(A144,tblTransactions[CustomerID],0)),"N/A")</f>
        <v>Sports</v>
      </c>
    </row>
    <row r="145" spans="1:21" ht="15" customHeight="1" x14ac:dyDescent="0.3">
      <c r="A145" s="16" t="str">
        <f>IFERROR(tblClean[[#This Row],[CustomerID]],"")</f>
        <v>C0143</v>
      </c>
      <c r="B145" s="16" t="str">
        <f>IFERROR(tblClean[[#This Row],[Name (Cleaned)]],"")</f>
        <v>Deepak Mehta</v>
      </c>
      <c r="C145" s="16" t="str">
        <f>IFERROR(tblClean[[#This Row],[City/Region (Cleaned)]],"")</f>
        <v>Surat</v>
      </c>
      <c r="D145" s="16" t="str">
        <f>IFERROR(tblClean[[#This Row],[CustomerType]],"")</f>
        <v>New</v>
      </c>
      <c r="E145" s="16" t="str">
        <f>IFERROR(tblClean[[#This Row],[EngagementLevel]],"")</f>
        <v>Medium</v>
      </c>
      <c r="F145" s="22">
        <f ca="1">IFERROR(TODAY()-'Raw Data'!M145,999)</f>
        <v>210</v>
      </c>
      <c r="G145" s="22">
        <f>IFERROR(COUNTIFS(tblTransactions[CustomerID],A145),0)</f>
        <v>2</v>
      </c>
      <c r="H145" s="22">
        <f>IFERROR(SUMIFS(tblTransactions[Amount (INR)],tblTransactions[CustomerID],A145),0)</f>
        <v>31017</v>
      </c>
      <c r="I145" s="16">
        <f t="shared" ca="1" si="30"/>
        <v>1</v>
      </c>
      <c r="J145" s="16">
        <f t="shared" si="31"/>
        <v>2</v>
      </c>
      <c r="K145" s="16">
        <f t="shared" si="32"/>
        <v>4</v>
      </c>
      <c r="L145" s="16" t="str">
        <f t="shared" ca="1" si="33"/>
        <v>124</v>
      </c>
      <c r="M145" s="16">
        <f>IFERROR(INDEX('Raw Data'!$X$3:$X$202,MATCH(A145,'Raw Data'!$W$3:$W$202,0)),"")</f>
        <v>1</v>
      </c>
      <c r="N145" s="16">
        <f>IFERROR(INDEX('Raw Data'!$Z$3:$Z$202,MATCH(A145,'Raw Data'!$W$3:$W$202,0)),"")</f>
        <v>9</v>
      </c>
      <c r="O145" s="16">
        <f t="shared" si="34"/>
        <v>2.75</v>
      </c>
      <c r="P145" s="16" t="str">
        <f>IFERROR(tblClean[[#This Row],[AgeGroup]],"")</f>
        <v>25-39</v>
      </c>
      <c r="Q145" s="16" t="str">
        <f>IFERROR(tblClean[[#This Row],[IncomeBracket]],"")</f>
        <v>Mid</v>
      </c>
      <c r="R145" s="16" t="str">
        <f t="shared" si="35"/>
        <v>MED</v>
      </c>
      <c r="S145" s="16" t="str">
        <f t="shared" si="36"/>
        <v>Standard</v>
      </c>
      <c r="T145" s="18" t="str">
        <f t="shared" ca="1" si="37"/>
        <v>At Risk</v>
      </c>
      <c r="U145" s="18" t="str">
        <f>IFERROR(INDEX(tblTransactions[ProductCategory],MATCH(A145,tblTransactions[CustomerID],0)),"N/A")</f>
        <v>Grocery</v>
      </c>
    </row>
    <row r="146" spans="1:21" ht="15" customHeight="1" x14ac:dyDescent="0.3">
      <c r="A146" s="19" t="str">
        <f>IFERROR(tblClean[[#This Row],[CustomerID]],"")</f>
        <v>C0144</v>
      </c>
      <c r="B146" s="19" t="str">
        <f>IFERROR(tblClean[[#This Row],[Name (Cleaned)]],"")</f>
        <v>Pooja Patel</v>
      </c>
      <c r="C146" s="19" t="str">
        <f>IFERROR(tblClean[[#This Row],[City/Region (Cleaned)]],"")</f>
        <v>Surat</v>
      </c>
      <c r="D146" s="19" t="str">
        <f>IFERROR(tblClean[[#This Row],[CustomerType]],"")</f>
        <v>New</v>
      </c>
      <c r="E146" s="19" t="str">
        <f>IFERROR(tblClean[[#This Row],[EngagementLevel]],"")</f>
        <v>High</v>
      </c>
      <c r="F146" s="23">
        <f ca="1">IFERROR(TODAY()-'Raw Data'!M146,999)</f>
        <v>351</v>
      </c>
      <c r="G146" s="23">
        <f>IFERROR(COUNTIFS(tblTransactions[CustomerID],A146),0)</f>
        <v>4</v>
      </c>
      <c r="H146" s="23">
        <f>IFERROR(SUMIFS(tblTransactions[Amount (INR)],tblTransactions[CustomerID],A146),0)</f>
        <v>52684</v>
      </c>
      <c r="I146" s="19">
        <f t="shared" ca="1" si="30"/>
        <v>1</v>
      </c>
      <c r="J146" s="19">
        <f t="shared" si="31"/>
        <v>3</v>
      </c>
      <c r="K146" s="19">
        <f t="shared" si="32"/>
        <v>5</v>
      </c>
      <c r="L146" s="19" t="str">
        <f t="shared" ca="1" si="33"/>
        <v>135</v>
      </c>
      <c r="M146" s="19">
        <f>IFERROR(INDEX('Raw Data'!$X$3:$X$202,MATCH(A146,'Raw Data'!$W$3:$W$202,0)),"")</f>
        <v>3</v>
      </c>
      <c r="N146" s="19">
        <f>IFERROR(INDEX('Raw Data'!$Z$3:$Z$202,MATCH(A146,'Raw Data'!$W$3:$W$202,0)),"")</f>
        <v>6</v>
      </c>
      <c r="O146" s="19">
        <f t="shared" si="34"/>
        <v>3</v>
      </c>
      <c r="P146" s="19" t="str">
        <f>IFERROR(tblClean[[#This Row],[AgeGroup]],"")</f>
        <v>25-39</v>
      </c>
      <c r="Q146" s="19" t="str">
        <f>IFERROR(tblClean[[#This Row],[IncomeBracket]],"")</f>
        <v>High</v>
      </c>
      <c r="R146" s="19" t="str">
        <f t="shared" si="35"/>
        <v>HIGH</v>
      </c>
      <c r="S146" s="19" t="str">
        <f t="shared" si="36"/>
        <v>Premium</v>
      </c>
      <c r="T146" s="18" t="str">
        <f t="shared" ca="1" si="37"/>
        <v>High Value</v>
      </c>
      <c r="U146" s="18" t="str">
        <f>IFERROR(INDEX(tblTransactions[ProductCategory],MATCH(A146,tblTransactions[CustomerID],0)),"N/A")</f>
        <v>Electronics</v>
      </c>
    </row>
    <row r="147" spans="1:21" ht="15" customHeight="1" x14ac:dyDescent="0.3">
      <c r="A147" s="16" t="str">
        <f>IFERROR(tblClean[[#This Row],[CustomerID]],"")</f>
        <v>C0145</v>
      </c>
      <c r="B147" s="16" t="str">
        <f>IFERROR(tblClean[[#This Row],[Name (Cleaned)]],"")</f>
        <v>Amit Nair</v>
      </c>
      <c r="C147" s="16" t="str">
        <f>IFERROR(tblClean[[#This Row],[City/Region (Cleaned)]],"")</f>
        <v>Ahmedabad</v>
      </c>
      <c r="D147" s="16" t="str">
        <f>IFERROR(tblClean[[#This Row],[CustomerType]],"")</f>
        <v>New</v>
      </c>
      <c r="E147" s="16" t="str">
        <f>IFERROR(tblClean[[#This Row],[EngagementLevel]],"")</f>
        <v>Low</v>
      </c>
      <c r="F147" s="22">
        <f ca="1">IFERROR(TODAY()-'Raw Data'!M147,999)</f>
        <v>35</v>
      </c>
      <c r="G147" s="22">
        <f>IFERROR(COUNTIFS(tblTransactions[CustomerID],A147),0)</f>
        <v>6</v>
      </c>
      <c r="H147" s="22">
        <f>IFERROR(SUMIFS(tblTransactions[Amount (INR)],tblTransactions[CustomerID],A147),0)</f>
        <v>61634</v>
      </c>
      <c r="I147" s="16">
        <f t="shared" ca="1" si="30"/>
        <v>4</v>
      </c>
      <c r="J147" s="16">
        <f t="shared" si="31"/>
        <v>4</v>
      </c>
      <c r="K147" s="16">
        <f t="shared" si="32"/>
        <v>5</v>
      </c>
      <c r="L147" s="16" t="str">
        <f t="shared" ca="1" si="33"/>
        <v>445</v>
      </c>
      <c r="M147" s="16">
        <f>IFERROR(INDEX('Raw Data'!$X$3:$X$202,MATCH(A147,'Raw Data'!$W$3:$W$202,0)),"")</f>
        <v>3</v>
      </c>
      <c r="N147" s="16">
        <f>IFERROR(INDEX('Raw Data'!$Z$3:$Z$202,MATCH(A147,'Raw Data'!$W$3:$W$202,0)),"")</f>
        <v>10</v>
      </c>
      <c r="O147" s="16">
        <f t="shared" si="34"/>
        <v>4</v>
      </c>
      <c r="P147" s="16" t="str">
        <f>IFERROR(tblClean[[#This Row],[AgeGroup]],"")</f>
        <v>&lt;25</v>
      </c>
      <c r="Q147" s="16" t="str">
        <f>IFERROR(tblClean[[#This Row],[IncomeBracket]],"")</f>
        <v>Mid</v>
      </c>
      <c r="R147" s="16" t="str">
        <f t="shared" si="35"/>
        <v>LOW</v>
      </c>
      <c r="S147" s="16" t="str">
        <f t="shared" si="36"/>
        <v>Premium</v>
      </c>
      <c r="T147" s="18" t="str">
        <f t="shared" ca="1" si="37"/>
        <v>High Value</v>
      </c>
      <c r="U147" s="18" t="str">
        <f>IFERROR(INDEX(tblTransactions[ProductCategory],MATCH(A147,tblTransactions[CustomerID],0)),"N/A")</f>
        <v>Grocery</v>
      </c>
    </row>
    <row r="148" spans="1:21" ht="15" customHeight="1" x14ac:dyDescent="0.3">
      <c r="A148" s="19" t="str">
        <f>IFERROR(tblClean[[#This Row],[CustomerID]],"")</f>
        <v>C0146</v>
      </c>
      <c r="B148" s="19" t="str">
        <f>IFERROR(tblClean[[#This Row],[Name (Cleaned)]],"")</f>
        <v>Rekha Kumar</v>
      </c>
      <c r="C148" s="19" t="str">
        <f>IFERROR(tblClean[[#This Row],[City/Region (Cleaned)]],"")</f>
        <v>Kolkata</v>
      </c>
      <c r="D148" s="19" t="str">
        <f>IFERROR(tblClean[[#This Row],[CustomerType]],"")</f>
        <v>Returning</v>
      </c>
      <c r="E148" s="19" t="str">
        <f>IFERROR(tblClean[[#This Row],[EngagementLevel]],"")</f>
        <v>Low</v>
      </c>
      <c r="F148" s="23">
        <f ca="1">IFERROR(TODAY()-'Raw Data'!M148,999)</f>
        <v>364</v>
      </c>
      <c r="G148" s="23">
        <f>IFERROR(COUNTIFS(tblTransactions[CustomerID],A148),0)</f>
        <v>1</v>
      </c>
      <c r="H148" s="23">
        <f>IFERROR(SUMIFS(tblTransactions[Amount (INR)],tblTransactions[CustomerID],A148),0)</f>
        <v>20079</v>
      </c>
      <c r="I148" s="19">
        <f t="shared" ca="1" si="30"/>
        <v>1</v>
      </c>
      <c r="J148" s="19">
        <f t="shared" si="31"/>
        <v>1</v>
      </c>
      <c r="K148" s="19">
        <f t="shared" si="32"/>
        <v>3</v>
      </c>
      <c r="L148" s="19" t="str">
        <f t="shared" ca="1" si="33"/>
        <v>113</v>
      </c>
      <c r="M148" s="19">
        <f>IFERROR(INDEX('Raw Data'!$X$3:$X$202,MATCH(A148,'Raw Data'!$W$3:$W$202,0)),"")</f>
        <v>3</v>
      </c>
      <c r="N148" s="19">
        <f>IFERROR(INDEX('Raw Data'!$Z$3:$Z$202,MATCH(A148,'Raw Data'!$W$3:$W$202,0)),"")</f>
        <v>3</v>
      </c>
      <c r="O148" s="19">
        <f t="shared" si="34"/>
        <v>2.25</v>
      </c>
      <c r="P148" s="19" t="str">
        <f>IFERROR(tblClean[[#This Row],[AgeGroup]],"")</f>
        <v>40-54</v>
      </c>
      <c r="Q148" s="19" t="str">
        <f>IFERROR(tblClean[[#This Row],[IncomeBracket]],"")</f>
        <v>Mid</v>
      </c>
      <c r="R148" s="19" t="str">
        <f t="shared" si="35"/>
        <v>LOW</v>
      </c>
      <c r="S148" s="19" t="str">
        <f t="shared" si="36"/>
        <v>Standard</v>
      </c>
      <c r="T148" s="18" t="str">
        <f t="shared" ca="1" si="37"/>
        <v>At Risk</v>
      </c>
      <c r="U148" s="18" t="str">
        <f>IFERROR(INDEX(tblTransactions[ProductCategory],MATCH(A148,tblTransactions[CustomerID],0)),"N/A")</f>
        <v>Beauty</v>
      </c>
    </row>
    <row r="149" spans="1:21" ht="15" customHeight="1" x14ac:dyDescent="0.3">
      <c r="A149" s="16" t="str">
        <f>IFERROR(tblClean[[#This Row],[CustomerID]],"")</f>
        <v>C0147</v>
      </c>
      <c r="B149" s="16" t="str">
        <f>IFERROR(tblClean[[#This Row],[Name (Cleaned)]],"")</f>
        <v>Meena Rao</v>
      </c>
      <c r="C149" s="16" t="str">
        <f>IFERROR(tblClean[[#This Row],[City/Region (Cleaned)]],"")</f>
        <v>Pune</v>
      </c>
      <c r="D149" s="16" t="str">
        <f>IFERROR(tblClean[[#This Row],[CustomerType]],"")</f>
        <v>New</v>
      </c>
      <c r="E149" s="16" t="str">
        <f>IFERROR(tblClean[[#This Row],[EngagementLevel]],"")</f>
        <v>High</v>
      </c>
      <c r="F149" s="22">
        <f ca="1">IFERROR(TODAY()-'Raw Data'!M149,999)</f>
        <v>27</v>
      </c>
      <c r="G149" s="22">
        <f>IFERROR(COUNTIFS(tblTransactions[CustomerID],A149),0)</f>
        <v>8</v>
      </c>
      <c r="H149" s="22">
        <f>IFERROR(SUMIFS(tblTransactions[Amount (INR)],tblTransactions[CustomerID],A149),0)</f>
        <v>69853</v>
      </c>
      <c r="I149" s="16">
        <f t="shared" ca="1" si="30"/>
        <v>5</v>
      </c>
      <c r="J149" s="16">
        <f t="shared" si="31"/>
        <v>5</v>
      </c>
      <c r="K149" s="16">
        <f t="shared" si="32"/>
        <v>5</v>
      </c>
      <c r="L149" s="16" t="str">
        <f t="shared" ca="1" si="33"/>
        <v>555</v>
      </c>
      <c r="M149" s="16">
        <f>IFERROR(INDEX('Raw Data'!$X$3:$X$202,MATCH(A149,'Raw Data'!$W$3:$W$202,0)),"")</f>
        <v>4</v>
      </c>
      <c r="N149" s="16">
        <f>IFERROR(INDEX('Raw Data'!$Z$3:$Z$202,MATCH(A149,'Raw Data'!$W$3:$W$202,0)),"")</f>
        <v>5</v>
      </c>
      <c r="O149" s="16">
        <f t="shared" si="34"/>
        <v>3.25</v>
      </c>
      <c r="P149" s="16" t="str">
        <f>IFERROR(tblClean[[#This Row],[AgeGroup]],"")</f>
        <v>40-54</v>
      </c>
      <c r="Q149" s="16" t="str">
        <f>IFERROR(tblClean[[#This Row],[IncomeBracket]],"")</f>
        <v>Mid</v>
      </c>
      <c r="R149" s="16" t="str">
        <f t="shared" si="35"/>
        <v>HIGH</v>
      </c>
      <c r="S149" s="16" t="str">
        <f t="shared" si="36"/>
        <v>Premium</v>
      </c>
      <c r="T149" s="18" t="str">
        <f t="shared" ca="1" si="37"/>
        <v>Loyal</v>
      </c>
      <c r="U149" s="18" t="str">
        <f>IFERROR(INDEX(tblTransactions[ProductCategory],MATCH(A149,tblTransactions[CustomerID],0)),"N/A")</f>
        <v>Sports</v>
      </c>
    </row>
    <row r="150" spans="1:21" ht="15" customHeight="1" x14ac:dyDescent="0.3">
      <c r="A150" s="19" t="str">
        <f>IFERROR(tblClean[[#This Row],[CustomerID]],"")</f>
        <v>C0148</v>
      </c>
      <c r="B150" s="19" t="str">
        <f>IFERROR(tblClean[[#This Row],[Name (Cleaned)]],"")</f>
        <v>Amit Joshi</v>
      </c>
      <c r="C150" s="19" t="str">
        <f>IFERROR(tblClean[[#This Row],[City/Region (Cleaned)]],"")</f>
        <v>Chandigarh</v>
      </c>
      <c r="D150" s="19" t="str">
        <f>IFERROR(tblClean[[#This Row],[CustomerType]],"")</f>
        <v>Returning</v>
      </c>
      <c r="E150" s="19" t="str">
        <f>IFERROR(tblClean[[#This Row],[EngagementLevel]],"")</f>
        <v>Low</v>
      </c>
      <c r="F150" s="23">
        <f ca="1">IFERROR(TODAY()-'Raw Data'!M150,999)</f>
        <v>127</v>
      </c>
      <c r="G150" s="23">
        <f>IFERROR(COUNTIFS(tblTransactions[CustomerID],A150),0)</f>
        <v>9</v>
      </c>
      <c r="H150" s="23">
        <f>IFERROR(SUMIFS(tblTransactions[Amount (INR)],tblTransactions[CustomerID],A150),0)</f>
        <v>118508</v>
      </c>
      <c r="I150" s="19">
        <f t="shared" ca="1" si="30"/>
        <v>2</v>
      </c>
      <c r="J150" s="19">
        <f t="shared" si="31"/>
        <v>5</v>
      </c>
      <c r="K150" s="19">
        <f t="shared" si="32"/>
        <v>5</v>
      </c>
      <c r="L150" s="19" t="str">
        <f t="shared" ca="1" si="33"/>
        <v>255</v>
      </c>
      <c r="M150" s="19">
        <f>IFERROR(INDEX('Raw Data'!$X$3:$X$202,MATCH(A150,'Raw Data'!$W$3:$W$202,0)),"")</f>
        <v>2</v>
      </c>
      <c r="N150" s="19">
        <f>IFERROR(INDEX('Raw Data'!$Z$3:$Z$202,MATCH(A150,'Raw Data'!$W$3:$W$202,0)),"")</f>
        <v>4</v>
      </c>
      <c r="O150" s="19">
        <f t="shared" si="34"/>
        <v>2</v>
      </c>
      <c r="P150" s="19" t="str">
        <f>IFERROR(tblClean[[#This Row],[AgeGroup]],"")</f>
        <v>40-54</v>
      </c>
      <c r="Q150" s="19" t="str">
        <f>IFERROR(tblClean[[#This Row],[IncomeBracket]],"")</f>
        <v>High</v>
      </c>
      <c r="R150" s="19" t="str">
        <f t="shared" si="35"/>
        <v>LOW</v>
      </c>
      <c r="S150" s="19" t="str">
        <f t="shared" si="36"/>
        <v>Premium</v>
      </c>
      <c r="T150" s="18" t="str">
        <f t="shared" ca="1" si="37"/>
        <v>High Value</v>
      </c>
      <c r="U150" s="18" t="str">
        <f>IFERROR(INDEX(tblTransactions[ProductCategory],MATCH(A150,tblTransactions[CustomerID],0)),"N/A")</f>
        <v>Sports</v>
      </c>
    </row>
    <row r="151" spans="1:21" ht="15" customHeight="1" x14ac:dyDescent="0.3">
      <c r="A151" s="16" t="str">
        <f>IFERROR(tblClean[[#This Row],[CustomerID]],"")</f>
        <v>C0149</v>
      </c>
      <c r="B151" s="16" t="str">
        <f>IFERROR(tblClean[[#This Row],[Name (Cleaned)]],"")</f>
        <v>Nisha Gupta</v>
      </c>
      <c r="C151" s="16" t="str">
        <f>IFERROR(tblClean[[#This Row],[City/Region (Cleaned)]],"")</f>
        <v>Surat</v>
      </c>
      <c r="D151" s="16" t="str">
        <f>IFERROR(tblClean[[#This Row],[CustomerType]],"")</f>
        <v>Returning</v>
      </c>
      <c r="E151" s="16" t="str">
        <f>IFERROR(tblClean[[#This Row],[EngagementLevel]],"")</f>
        <v>Medium</v>
      </c>
      <c r="F151" s="22">
        <f ca="1">IFERROR(TODAY()-'Raw Data'!M151,999)</f>
        <v>74</v>
      </c>
      <c r="G151" s="22">
        <f>IFERROR(COUNTIFS(tblTransactions[CustomerID],A151),0)</f>
        <v>3</v>
      </c>
      <c r="H151" s="22">
        <f>IFERROR(SUMIFS(tblTransactions[Amount (INR)],tblTransactions[CustomerID],A151),0)</f>
        <v>36718</v>
      </c>
      <c r="I151" s="16">
        <f t="shared" ca="1" si="30"/>
        <v>3</v>
      </c>
      <c r="J151" s="16">
        <f t="shared" si="31"/>
        <v>2</v>
      </c>
      <c r="K151" s="16">
        <f t="shared" si="32"/>
        <v>4</v>
      </c>
      <c r="L151" s="16" t="str">
        <f t="shared" ca="1" si="33"/>
        <v>324</v>
      </c>
      <c r="M151" s="16">
        <f>IFERROR(INDEX('Raw Data'!$X$3:$X$202,MATCH(A151,'Raw Data'!$W$3:$W$202,0)),"")</f>
        <v>2</v>
      </c>
      <c r="N151" s="16">
        <f>IFERROR(INDEX('Raw Data'!$Z$3:$Z$202,MATCH(A151,'Raw Data'!$W$3:$W$202,0)),"")</f>
        <v>4</v>
      </c>
      <c r="O151" s="16">
        <f t="shared" si="34"/>
        <v>2</v>
      </c>
      <c r="P151" s="16" t="str">
        <f>IFERROR(tblClean[[#This Row],[AgeGroup]],"")</f>
        <v>25-39</v>
      </c>
      <c r="Q151" s="16" t="str">
        <f>IFERROR(tblClean[[#This Row],[IncomeBracket]],"")</f>
        <v>Mid</v>
      </c>
      <c r="R151" s="16" t="str">
        <f t="shared" si="35"/>
        <v>MED</v>
      </c>
      <c r="S151" s="16" t="str">
        <f t="shared" si="36"/>
        <v>Standard</v>
      </c>
      <c r="T151" s="18" t="str">
        <f t="shared" ca="1" si="37"/>
        <v>General</v>
      </c>
      <c r="U151" s="18" t="str">
        <f>IFERROR(INDEX(tblTransactions[ProductCategory],MATCH(A151,tblTransactions[CustomerID],0)),"N/A")</f>
        <v>Sports</v>
      </c>
    </row>
    <row r="152" spans="1:21" ht="15" customHeight="1" x14ac:dyDescent="0.3">
      <c r="A152" s="19" t="str">
        <f>IFERROR(tblClean[[#This Row],[CustomerID]],"")</f>
        <v>C0150</v>
      </c>
      <c r="B152" s="19" t="str">
        <f>IFERROR(tblClean[[#This Row],[Name (Cleaned)]],"")</f>
        <v>Suresh Mehta</v>
      </c>
      <c r="C152" s="19" t="str">
        <f>IFERROR(tblClean[[#This Row],[City/Region (Cleaned)]],"")</f>
        <v>Nagpur</v>
      </c>
      <c r="D152" s="19" t="str">
        <f>IFERROR(tblClean[[#This Row],[CustomerType]],"")</f>
        <v>Returning</v>
      </c>
      <c r="E152" s="19" t="str">
        <f>IFERROR(tblClean[[#This Row],[EngagementLevel]],"")</f>
        <v>Low</v>
      </c>
      <c r="F152" s="23">
        <f ca="1">IFERROR(TODAY()-'Raw Data'!M152,999)</f>
        <v>211</v>
      </c>
      <c r="G152" s="23">
        <f>IFERROR(COUNTIFS(tblTransactions[CustomerID],A152),0)</f>
        <v>5</v>
      </c>
      <c r="H152" s="23">
        <f>IFERROR(SUMIFS(tblTransactions[Amount (INR)],tblTransactions[CustomerID],A152),0)</f>
        <v>60658</v>
      </c>
      <c r="I152" s="19">
        <f t="shared" ca="1" si="30"/>
        <v>1</v>
      </c>
      <c r="J152" s="19">
        <f t="shared" si="31"/>
        <v>3</v>
      </c>
      <c r="K152" s="19">
        <f t="shared" si="32"/>
        <v>5</v>
      </c>
      <c r="L152" s="19" t="str">
        <f t="shared" ca="1" si="33"/>
        <v>135</v>
      </c>
      <c r="M152" s="19">
        <f>IFERROR(INDEX('Raw Data'!$X$3:$X$202,MATCH(A152,'Raw Data'!$W$3:$W$202,0)),"")</f>
        <v>4</v>
      </c>
      <c r="N152" s="19">
        <f>IFERROR(INDEX('Raw Data'!$Z$3:$Z$202,MATCH(A152,'Raw Data'!$W$3:$W$202,0)),"")</f>
        <v>3</v>
      </c>
      <c r="O152" s="19">
        <f t="shared" si="34"/>
        <v>2.75</v>
      </c>
      <c r="P152" s="19" t="str">
        <f>IFERROR(tblClean[[#This Row],[AgeGroup]],"")</f>
        <v>25-39</v>
      </c>
      <c r="Q152" s="19" t="str">
        <f>IFERROR(tblClean[[#This Row],[IncomeBracket]],"")</f>
        <v>High</v>
      </c>
      <c r="R152" s="19" t="str">
        <f t="shared" si="35"/>
        <v>LOW</v>
      </c>
      <c r="S152" s="19" t="str">
        <f t="shared" si="36"/>
        <v>Premium</v>
      </c>
      <c r="T152" s="18" t="str">
        <f t="shared" ca="1" si="37"/>
        <v>High Value</v>
      </c>
      <c r="U152" s="18" t="str">
        <f>IFERROR(INDEX(tblTransactions[ProductCategory],MATCH(A152,tblTransactions[CustomerID],0)),"N/A")</f>
        <v>Fashion</v>
      </c>
    </row>
    <row r="153" spans="1:21" ht="15" customHeight="1" x14ac:dyDescent="0.3">
      <c r="A153" s="16" t="str">
        <f>IFERROR(tblClean[[#This Row],[CustomerID]],"")</f>
        <v>C0151</v>
      </c>
      <c r="B153" s="16" t="str">
        <f>IFERROR(tblClean[[#This Row],[Name (Cleaned)]],"")</f>
        <v>Swati Reddy</v>
      </c>
      <c r="C153" s="16" t="str">
        <f>IFERROR(tblClean[[#This Row],[City/Region (Cleaned)]],"")</f>
        <v>Coimbatore</v>
      </c>
      <c r="D153" s="16" t="str">
        <f>IFERROR(tblClean[[#This Row],[CustomerType]],"")</f>
        <v>New</v>
      </c>
      <c r="E153" s="16" t="str">
        <f>IFERROR(tblClean[[#This Row],[EngagementLevel]],"")</f>
        <v>Low</v>
      </c>
      <c r="F153" s="22">
        <f ca="1">IFERROR(TODAY()-'Raw Data'!M153,999)</f>
        <v>169</v>
      </c>
      <c r="G153" s="22">
        <f>IFERROR(COUNTIFS(tblTransactions[CustomerID],A153),0)</f>
        <v>7</v>
      </c>
      <c r="H153" s="22">
        <f>IFERROR(SUMIFS(tblTransactions[Amount (INR)],tblTransactions[CustomerID],A153),0)</f>
        <v>86667</v>
      </c>
      <c r="I153" s="16">
        <f t="shared" ca="1" si="30"/>
        <v>2</v>
      </c>
      <c r="J153" s="16">
        <f t="shared" si="31"/>
        <v>4</v>
      </c>
      <c r="K153" s="16">
        <f t="shared" si="32"/>
        <v>5</v>
      </c>
      <c r="L153" s="16" t="str">
        <f t="shared" ca="1" si="33"/>
        <v>245</v>
      </c>
      <c r="M153" s="16">
        <f>IFERROR(INDEX('Raw Data'!$X$3:$X$202,MATCH(A153,'Raw Data'!$W$3:$W$202,0)),"")</f>
        <v>5</v>
      </c>
      <c r="N153" s="16">
        <f>IFERROR(INDEX('Raw Data'!$Z$3:$Z$202,MATCH(A153,'Raw Data'!$W$3:$W$202,0)),"")</f>
        <v>7</v>
      </c>
      <c r="O153" s="16">
        <f t="shared" si="34"/>
        <v>4.25</v>
      </c>
      <c r="P153" s="16" t="str">
        <f>IFERROR(tblClean[[#This Row],[AgeGroup]],"")</f>
        <v>25-39</v>
      </c>
      <c r="Q153" s="16" t="str">
        <f>IFERROR(tblClean[[#This Row],[IncomeBracket]],"")</f>
        <v>High</v>
      </c>
      <c r="R153" s="16" t="str">
        <f t="shared" si="35"/>
        <v>LOW</v>
      </c>
      <c r="S153" s="16" t="str">
        <f t="shared" si="36"/>
        <v>Premium</v>
      </c>
      <c r="T153" s="18" t="str">
        <f t="shared" ca="1" si="37"/>
        <v>High Value</v>
      </c>
      <c r="U153" s="18" t="str">
        <f>IFERROR(INDEX(tblTransactions[ProductCategory],MATCH(A153,tblTransactions[CustomerID],0)),"N/A")</f>
        <v>Fashion</v>
      </c>
    </row>
    <row r="154" spans="1:21" ht="15" customHeight="1" x14ac:dyDescent="0.3">
      <c r="A154" s="19" t="str">
        <f>IFERROR(tblClean[[#This Row],[CustomerID]],"")</f>
        <v>C0152</v>
      </c>
      <c r="B154" s="19" t="str">
        <f>IFERROR(tblClean[[#This Row],[Name (Cleaned)]],"")</f>
        <v>Pooja Mehta</v>
      </c>
      <c r="C154" s="19" t="str">
        <f>IFERROR(tblClean[[#This Row],[City/Region (Cleaned)]],"")</f>
        <v>Mumbai</v>
      </c>
      <c r="D154" s="19" t="str">
        <f>IFERROR(tblClean[[#This Row],[CustomerType]],"")</f>
        <v>New</v>
      </c>
      <c r="E154" s="19" t="str">
        <f>IFERROR(tblClean[[#This Row],[EngagementLevel]],"")</f>
        <v>Medium</v>
      </c>
      <c r="F154" s="23">
        <f ca="1">IFERROR(TODAY()-'Raw Data'!M154,999)</f>
        <v>80</v>
      </c>
      <c r="G154" s="23">
        <f>IFERROR(COUNTIFS(tblTransactions[CustomerID],A154),0)</f>
        <v>10</v>
      </c>
      <c r="H154" s="23">
        <f>IFERROR(SUMIFS(tblTransactions[Amount (INR)],tblTransactions[CustomerID],A154),0)</f>
        <v>143606</v>
      </c>
      <c r="I154" s="19">
        <f t="shared" ca="1" si="30"/>
        <v>3</v>
      </c>
      <c r="J154" s="19">
        <f t="shared" si="31"/>
        <v>5</v>
      </c>
      <c r="K154" s="19">
        <f t="shared" si="32"/>
        <v>5</v>
      </c>
      <c r="L154" s="19" t="str">
        <f t="shared" ca="1" si="33"/>
        <v>355</v>
      </c>
      <c r="M154" s="19">
        <f>IFERROR(INDEX('Raw Data'!$X$3:$X$202,MATCH(A154,'Raw Data'!$W$3:$W$202,0)),"")</f>
        <v>4</v>
      </c>
      <c r="N154" s="19">
        <f>IFERROR(INDEX('Raw Data'!$Z$3:$Z$202,MATCH(A154,'Raw Data'!$W$3:$W$202,0)),"")</f>
        <v>2</v>
      </c>
      <c r="O154" s="19">
        <f t="shared" si="34"/>
        <v>2.5</v>
      </c>
      <c r="P154" s="19" t="str">
        <f>IFERROR(tblClean[[#This Row],[AgeGroup]],"")</f>
        <v>40-54</v>
      </c>
      <c r="Q154" s="19" t="str">
        <f>IFERROR(tblClean[[#This Row],[IncomeBracket]],"")</f>
        <v>Mid</v>
      </c>
      <c r="R154" s="19" t="str">
        <f t="shared" si="35"/>
        <v>MED</v>
      </c>
      <c r="S154" s="19" t="str">
        <f t="shared" si="36"/>
        <v>Premium</v>
      </c>
      <c r="T154" s="18" t="str">
        <f t="shared" ca="1" si="37"/>
        <v>High Value</v>
      </c>
      <c r="U154" s="18" t="str">
        <f>IFERROR(INDEX(tblTransactions[ProductCategory],MATCH(A154,tblTransactions[CustomerID],0)),"N/A")</f>
        <v>Grocery</v>
      </c>
    </row>
    <row r="155" spans="1:21" ht="15" customHeight="1" x14ac:dyDescent="0.3">
      <c r="A155" s="16" t="str">
        <f>IFERROR(tblClean[[#This Row],[CustomerID]],"")</f>
        <v>C0153</v>
      </c>
      <c r="B155" s="16" t="str">
        <f>IFERROR(tblClean[[#This Row],[Name (Cleaned)]],"")</f>
        <v>Sneha Pillai</v>
      </c>
      <c r="C155" s="16" t="str">
        <f>IFERROR(tblClean[[#This Row],[City/Region (Cleaned)]],"")</f>
        <v>Nagpur</v>
      </c>
      <c r="D155" s="16" t="str">
        <f>IFERROR(tblClean[[#This Row],[CustomerType]],"")</f>
        <v>New</v>
      </c>
      <c r="E155" s="16" t="str">
        <f>IFERROR(tblClean[[#This Row],[EngagementLevel]],"")</f>
        <v>High</v>
      </c>
      <c r="F155" s="22">
        <f ca="1">IFERROR(TODAY()-'Raw Data'!M155,999)</f>
        <v>216</v>
      </c>
      <c r="G155" s="22">
        <f>IFERROR(COUNTIFS(tblTransactions[CustomerID],A155),0)</f>
        <v>9</v>
      </c>
      <c r="H155" s="22">
        <f>IFERROR(SUMIFS(tblTransactions[Amount (INR)],tblTransactions[CustomerID],A155),0)</f>
        <v>144829</v>
      </c>
      <c r="I155" s="16">
        <f t="shared" ca="1" si="30"/>
        <v>1</v>
      </c>
      <c r="J155" s="16">
        <f t="shared" si="31"/>
        <v>5</v>
      </c>
      <c r="K155" s="16">
        <f t="shared" si="32"/>
        <v>5</v>
      </c>
      <c r="L155" s="16" t="str">
        <f t="shared" ca="1" si="33"/>
        <v>155</v>
      </c>
      <c r="M155" s="16">
        <f>IFERROR(INDEX('Raw Data'!$X$3:$X$202,MATCH(A155,'Raw Data'!$W$3:$W$202,0)),"")</f>
        <v>1</v>
      </c>
      <c r="N155" s="16">
        <f>IFERROR(INDEX('Raw Data'!$Z$3:$Z$202,MATCH(A155,'Raw Data'!$W$3:$W$202,0)),"")</f>
        <v>9</v>
      </c>
      <c r="O155" s="16">
        <f t="shared" si="34"/>
        <v>2.75</v>
      </c>
      <c r="P155" s="16" t="str">
        <f>IFERROR(tblClean[[#This Row],[AgeGroup]],"")</f>
        <v>40-54</v>
      </c>
      <c r="Q155" s="16" t="str">
        <f>IFERROR(tblClean[[#This Row],[IncomeBracket]],"")</f>
        <v>High</v>
      </c>
      <c r="R155" s="16" t="str">
        <f t="shared" si="35"/>
        <v>HIGH</v>
      </c>
      <c r="S155" s="16" t="str">
        <f t="shared" si="36"/>
        <v>Premium</v>
      </c>
      <c r="T155" s="18" t="str">
        <f t="shared" ca="1" si="37"/>
        <v>High Value</v>
      </c>
      <c r="U155" s="18" t="str">
        <f>IFERROR(INDEX(tblTransactions[ProductCategory],MATCH(A155,tblTransactions[CustomerID],0)),"N/A")</f>
        <v>Fashion</v>
      </c>
    </row>
    <row r="156" spans="1:21" ht="15" customHeight="1" x14ac:dyDescent="0.3">
      <c r="A156" s="19" t="str">
        <f>IFERROR(tblClean[[#This Row],[CustomerID]],"")</f>
        <v>C0154</v>
      </c>
      <c r="B156" s="19" t="str">
        <f>IFERROR(tblClean[[#This Row],[Name (Cleaned)]],"")</f>
        <v>Ravi Singh</v>
      </c>
      <c r="C156" s="19" t="str">
        <f>IFERROR(tblClean[[#This Row],[City/Region (Cleaned)]],"")</f>
        <v>Pune</v>
      </c>
      <c r="D156" s="19" t="str">
        <f>IFERROR(tblClean[[#This Row],[CustomerType]],"")</f>
        <v>New</v>
      </c>
      <c r="E156" s="19" t="str">
        <f>IFERROR(tblClean[[#This Row],[EngagementLevel]],"")</f>
        <v>Low</v>
      </c>
      <c r="F156" s="23">
        <f ca="1">IFERROR(TODAY()-'Raw Data'!M156,999)</f>
        <v>261</v>
      </c>
      <c r="G156" s="23">
        <f>IFERROR(COUNTIFS(tblTransactions[CustomerID],A156),0)</f>
        <v>8</v>
      </c>
      <c r="H156" s="23">
        <f>IFERROR(SUMIFS(tblTransactions[Amount (INR)],tblTransactions[CustomerID],A156),0)</f>
        <v>108828</v>
      </c>
      <c r="I156" s="19">
        <f t="shared" ca="1" si="30"/>
        <v>1</v>
      </c>
      <c r="J156" s="19">
        <f t="shared" si="31"/>
        <v>5</v>
      </c>
      <c r="K156" s="19">
        <f t="shared" si="32"/>
        <v>5</v>
      </c>
      <c r="L156" s="19" t="str">
        <f t="shared" ca="1" si="33"/>
        <v>155</v>
      </c>
      <c r="M156" s="19">
        <f>IFERROR(INDEX('Raw Data'!$X$3:$X$202,MATCH(A156,'Raw Data'!$W$3:$W$202,0)),"")</f>
        <v>3</v>
      </c>
      <c r="N156" s="19">
        <f>IFERROR(INDEX('Raw Data'!$Z$3:$Z$202,MATCH(A156,'Raw Data'!$W$3:$W$202,0)),"")</f>
        <v>8</v>
      </c>
      <c r="O156" s="19">
        <f t="shared" si="34"/>
        <v>3.5</v>
      </c>
      <c r="P156" s="19" t="str">
        <f>IFERROR(tblClean[[#This Row],[AgeGroup]],"")</f>
        <v>25-39</v>
      </c>
      <c r="Q156" s="19" t="str">
        <f>IFERROR(tblClean[[#This Row],[IncomeBracket]],"")</f>
        <v>High</v>
      </c>
      <c r="R156" s="19" t="str">
        <f t="shared" si="35"/>
        <v>LOW</v>
      </c>
      <c r="S156" s="19" t="str">
        <f t="shared" si="36"/>
        <v>Premium</v>
      </c>
      <c r="T156" s="18" t="str">
        <f t="shared" ca="1" si="37"/>
        <v>High Value</v>
      </c>
      <c r="U156" s="18" t="str">
        <f>IFERROR(INDEX(tblTransactions[ProductCategory],MATCH(A156,tblTransactions[CustomerID],0)),"N/A")</f>
        <v>Beauty</v>
      </c>
    </row>
    <row r="157" spans="1:21" ht="15" customHeight="1" x14ac:dyDescent="0.3">
      <c r="A157" s="16" t="str">
        <f>IFERROR(tblClean[[#This Row],[CustomerID]],"")</f>
        <v>C0155</v>
      </c>
      <c r="B157" s="16" t="str">
        <f>IFERROR(tblClean[[#This Row],[Name (Cleaned)]],"")</f>
        <v>Naveen Mehta</v>
      </c>
      <c r="C157" s="16" t="str">
        <f>IFERROR(tblClean[[#This Row],[City/Region (Cleaned)]],"")</f>
        <v>Delhi</v>
      </c>
      <c r="D157" s="16" t="str">
        <f>IFERROR(tblClean[[#This Row],[CustomerType]],"")</f>
        <v>Returning</v>
      </c>
      <c r="E157" s="16" t="str">
        <f>IFERROR(tblClean[[#This Row],[EngagementLevel]],"")</f>
        <v>Low</v>
      </c>
      <c r="F157" s="22">
        <f ca="1">IFERROR(TODAY()-'Raw Data'!M157,999)</f>
        <v>84</v>
      </c>
      <c r="G157" s="22">
        <f>IFERROR(COUNTIFS(tblTransactions[CustomerID],A157),0)</f>
        <v>8</v>
      </c>
      <c r="H157" s="22">
        <f>IFERROR(SUMIFS(tblTransactions[Amount (INR)],tblTransactions[CustomerID],A157),0)</f>
        <v>88868</v>
      </c>
      <c r="I157" s="16">
        <f t="shared" ca="1" si="30"/>
        <v>3</v>
      </c>
      <c r="J157" s="16">
        <f t="shared" si="31"/>
        <v>5</v>
      </c>
      <c r="K157" s="16">
        <f t="shared" si="32"/>
        <v>5</v>
      </c>
      <c r="L157" s="16" t="str">
        <f t="shared" ca="1" si="33"/>
        <v>355</v>
      </c>
      <c r="M157" s="16">
        <f>IFERROR(INDEX('Raw Data'!$X$3:$X$202,MATCH(A157,'Raw Data'!$W$3:$W$202,0)),"")</f>
        <v>4</v>
      </c>
      <c r="N157" s="16">
        <f>IFERROR(INDEX('Raw Data'!$Z$3:$Z$202,MATCH(A157,'Raw Data'!$W$3:$W$202,0)),"")</f>
        <v>10</v>
      </c>
      <c r="O157" s="16">
        <f t="shared" si="34"/>
        <v>4.5</v>
      </c>
      <c r="P157" s="16" t="str">
        <f>IFERROR(tblClean[[#This Row],[AgeGroup]],"")</f>
        <v>25-39</v>
      </c>
      <c r="Q157" s="16" t="str">
        <f>IFERROR(tblClean[[#This Row],[IncomeBracket]],"")</f>
        <v>Mid</v>
      </c>
      <c r="R157" s="16" t="str">
        <f t="shared" si="35"/>
        <v>LOW</v>
      </c>
      <c r="S157" s="16" t="str">
        <f t="shared" si="36"/>
        <v>Premium</v>
      </c>
      <c r="T157" s="18" t="str">
        <f t="shared" ca="1" si="37"/>
        <v>Loyal</v>
      </c>
      <c r="U157" s="18" t="str">
        <f>IFERROR(INDEX(tblTransactions[ProductCategory],MATCH(A157,tblTransactions[CustomerID],0)),"N/A")</f>
        <v>Grocery</v>
      </c>
    </row>
    <row r="158" spans="1:21" ht="15" customHeight="1" x14ac:dyDescent="0.3">
      <c r="A158" s="19" t="str">
        <f>IFERROR(tblClean[[#This Row],[CustomerID]],"")</f>
        <v>C0156</v>
      </c>
      <c r="B158" s="19" t="str">
        <f>IFERROR(tblClean[[#This Row],[Name (Cleaned)]],"")</f>
        <v>Vijay Sharma</v>
      </c>
      <c r="C158" s="19" t="str">
        <f>IFERROR(tblClean[[#This Row],[City/Region (Cleaned)]],"")</f>
        <v>Patna</v>
      </c>
      <c r="D158" s="19" t="str">
        <f>IFERROR(tblClean[[#This Row],[CustomerType]],"")</f>
        <v>Returning</v>
      </c>
      <c r="E158" s="19" t="str">
        <f>IFERROR(tblClean[[#This Row],[EngagementLevel]],"")</f>
        <v>Low</v>
      </c>
      <c r="F158" s="23">
        <f ca="1">IFERROR(TODAY()-'Raw Data'!M158,999)</f>
        <v>55</v>
      </c>
      <c r="G158" s="23">
        <f>IFERROR(COUNTIFS(tblTransactions[CustomerID],A158),0)</f>
        <v>8</v>
      </c>
      <c r="H158" s="23">
        <f>IFERROR(SUMIFS(tblTransactions[Amount (INR)],tblTransactions[CustomerID],A158),0)</f>
        <v>79388</v>
      </c>
      <c r="I158" s="19">
        <f t="shared" ca="1" si="30"/>
        <v>4</v>
      </c>
      <c r="J158" s="19">
        <f t="shared" si="31"/>
        <v>5</v>
      </c>
      <c r="K158" s="19">
        <f t="shared" si="32"/>
        <v>5</v>
      </c>
      <c r="L158" s="19" t="str">
        <f t="shared" ca="1" si="33"/>
        <v>455</v>
      </c>
      <c r="M158" s="19">
        <f>IFERROR(INDEX('Raw Data'!$X$3:$X$202,MATCH(A158,'Raw Data'!$W$3:$W$202,0)),"")</f>
        <v>1</v>
      </c>
      <c r="N158" s="19">
        <f>IFERROR(INDEX('Raw Data'!$Z$3:$Z$202,MATCH(A158,'Raw Data'!$W$3:$W$202,0)),"")</f>
        <v>8</v>
      </c>
      <c r="O158" s="19">
        <f t="shared" si="34"/>
        <v>2.5</v>
      </c>
      <c r="P158" s="19" t="str">
        <f>IFERROR(tblClean[[#This Row],[AgeGroup]],"")</f>
        <v>25-39</v>
      </c>
      <c r="Q158" s="19" t="str">
        <f>IFERROR(tblClean[[#This Row],[IncomeBracket]],"")</f>
        <v>Mid</v>
      </c>
      <c r="R158" s="19" t="str">
        <f t="shared" si="35"/>
        <v>LOW</v>
      </c>
      <c r="S158" s="19" t="str">
        <f t="shared" si="36"/>
        <v>Premium</v>
      </c>
      <c r="T158" s="18" t="str">
        <f t="shared" ca="1" si="37"/>
        <v>High Value</v>
      </c>
      <c r="U158" s="18" t="str">
        <f>IFERROR(INDEX(tblTransactions[ProductCategory],MATCH(A158,tblTransactions[CustomerID],0)),"N/A")</f>
        <v>Home Decor</v>
      </c>
    </row>
    <row r="159" spans="1:21" ht="15" customHeight="1" x14ac:dyDescent="0.3">
      <c r="A159" s="16" t="str">
        <f>IFERROR(tblClean[[#This Row],[CustomerID]],"")</f>
        <v>C0157</v>
      </c>
      <c r="B159" s="16" t="str">
        <f>IFERROR(tblClean[[#This Row],[Name (Cleaned)]],"")</f>
        <v>Rekha Mehta</v>
      </c>
      <c r="C159" s="16" t="str">
        <f>IFERROR(tblClean[[#This Row],[City/Region (Cleaned)]],"")</f>
        <v>Ahmedabad</v>
      </c>
      <c r="D159" s="16" t="str">
        <f>IFERROR(tblClean[[#This Row],[CustomerType]],"")</f>
        <v>New</v>
      </c>
      <c r="E159" s="16" t="str">
        <f>IFERROR(tblClean[[#This Row],[EngagementLevel]],"")</f>
        <v>High</v>
      </c>
      <c r="F159" s="22">
        <f ca="1">IFERROR(TODAY()-'Raw Data'!M159,999)</f>
        <v>147</v>
      </c>
      <c r="G159" s="22">
        <f>IFERROR(COUNTIFS(tblTransactions[CustomerID],A159),0)</f>
        <v>1</v>
      </c>
      <c r="H159" s="22">
        <f>IFERROR(SUMIFS(tblTransactions[Amount (INR)],tblTransactions[CustomerID],A159),0)</f>
        <v>6260</v>
      </c>
      <c r="I159" s="16">
        <f t="shared" ca="1" si="30"/>
        <v>2</v>
      </c>
      <c r="J159" s="16">
        <f t="shared" si="31"/>
        <v>1</v>
      </c>
      <c r="K159" s="16">
        <f t="shared" si="32"/>
        <v>2</v>
      </c>
      <c r="L159" s="16" t="str">
        <f t="shared" ca="1" si="33"/>
        <v>212</v>
      </c>
      <c r="M159" s="16">
        <f>IFERROR(INDEX('Raw Data'!$X$3:$X$202,MATCH(A159,'Raw Data'!$W$3:$W$202,0)),"")</f>
        <v>3</v>
      </c>
      <c r="N159" s="16">
        <f>IFERROR(INDEX('Raw Data'!$Z$3:$Z$202,MATCH(A159,'Raw Data'!$W$3:$W$202,0)),"")</f>
        <v>9</v>
      </c>
      <c r="O159" s="16">
        <f t="shared" si="34"/>
        <v>3.75</v>
      </c>
      <c r="P159" s="16" t="str">
        <f>IFERROR(tblClean[[#This Row],[AgeGroup]],"")</f>
        <v>25-39</v>
      </c>
      <c r="Q159" s="16" t="str">
        <f>IFERROR(tblClean[[#This Row],[IncomeBracket]],"")</f>
        <v>Mid</v>
      </c>
      <c r="R159" s="16" t="str">
        <f t="shared" si="35"/>
        <v>HIGH</v>
      </c>
      <c r="S159" s="16" t="str">
        <f t="shared" si="36"/>
        <v>Budget</v>
      </c>
      <c r="T159" s="18" t="str">
        <f t="shared" ca="1" si="37"/>
        <v>At Risk</v>
      </c>
      <c r="U159" s="18" t="str">
        <f>IFERROR(INDEX(tblTransactions[ProductCategory],MATCH(A159,tblTransactions[CustomerID],0)),"N/A")</f>
        <v>Beauty</v>
      </c>
    </row>
    <row r="160" spans="1:21" ht="15" customHeight="1" x14ac:dyDescent="0.3">
      <c r="A160" s="19" t="str">
        <f>IFERROR(tblClean[[#This Row],[CustomerID]],"")</f>
        <v>C0158</v>
      </c>
      <c r="B160" s="19" t="str">
        <f>IFERROR(tblClean[[#This Row],[Name (Cleaned)]],"")</f>
        <v>Divya Verma</v>
      </c>
      <c r="C160" s="19" t="str">
        <f>IFERROR(tblClean[[#This Row],[City/Region (Cleaned)]],"")</f>
        <v>Vadodara</v>
      </c>
      <c r="D160" s="19" t="str">
        <f>IFERROR(tblClean[[#This Row],[CustomerType]],"")</f>
        <v>New</v>
      </c>
      <c r="E160" s="19" t="str">
        <f>IFERROR(tblClean[[#This Row],[EngagementLevel]],"")</f>
        <v>High</v>
      </c>
      <c r="F160" s="23">
        <f ca="1">IFERROR(TODAY()-'Raw Data'!M160,999)</f>
        <v>242</v>
      </c>
      <c r="G160" s="23">
        <f>IFERROR(COUNTIFS(tblTransactions[CustomerID],A160),0)</f>
        <v>1</v>
      </c>
      <c r="H160" s="23">
        <f>IFERROR(SUMIFS(tblTransactions[Amount (INR)],tblTransactions[CustomerID],A160),0)</f>
        <v>6605</v>
      </c>
      <c r="I160" s="19">
        <f t="shared" ca="1" si="30"/>
        <v>1</v>
      </c>
      <c r="J160" s="19">
        <f t="shared" si="31"/>
        <v>1</v>
      </c>
      <c r="K160" s="19">
        <f t="shared" si="32"/>
        <v>2</v>
      </c>
      <c r="L160" s="19" t="str">
        <f t="shared" ca="1" si="33"/>
        <v>112</v>
      </c>
      <c r="M160" s="19">
        <f>IFERROR(INDEX('Raw Data'!$X$3:$X$202,MATCH(A160,'Raw Data'!$W$3:$W$202,0)),"")</f>
        <v>4</v>
      </c>
      <c r="N160" s="19">
        <f>IFERROR(INDEX('Raw Data'!$Z$3:$Z$202,MATCH(A160,'Raw Data'!$W$3:$W$202,0)),"")</f>
        <v>7</v>
      </c>
      <c r="O160" s="19">
        <f t="shared" si="34"/>
        <v>3.75</v>
      </c>
      <c r="P160" s="19" t="str">
        <f>IFERROR(tblClean[[#This Row],[AgeGroup]],"")</f>
        <v>40-54</v>
      </c>
      <c r="Q160" s="19" t="str">
        <f>IFERROR(tblClean[[#This Row],[IncomeBracket]],"")</f>
        <v>Mid</v>
      </c>
      <c r="R160" s="19" t="str">
        <f t="shared" si="35"/>
        <v>HIGH</v>
      </c>
      <c r="S160" s="19" t="str">
        <f t="shared" si="36"/>
        <v>Budget</v>
      </c>
      <c r="T160" s="18" t="str">
        <f t="shared" ca="1" si="37"/>
        <v>At Risk</v>
      </c>
      <c r="U160" s="18" t="str">
        <f>IFERROR(INDEX(tblTransactions[ProductCategory],MATCH(A160,tblTransactions[CustomerID],0)),"N/A")</f>
        <v>Beauty</v>
      </c>
    </row>
    <row r="161" spans="1:21" ht="15" customHeight="1" x14ac:dyDescent="0.3">
      <c r="A161" s="16" t="str">
        <f>IFERROR(tblClean[[#This Row],[CustomerID]],"")</f>
        <v>C0159</v>
      </c>
      <c r="B161" s="16" t="str">
        <f>IFERROR(tblClean[[#This Row],[Name (Cleaned)]],"")</f>
        <v>Rohit Kumar</v>
      </c>
      <c r="C161" s="16" t="str">
        <f>IFERROR(tblClean[[#This Row],[City/Region (Cleaned)]],"")</f>
        <v>Mumbai</v>
      </c>
      <c r="D161" s="16" t="str">
        <f>IFERROR(tblClean[[#This Row],[CustomerType]],"")</f>
        <v>Returning</v>
      </c>
      <c r="E161" s="16" t="str">
        <f>IFERROR(tblClean[[#This Row],[EngagementLevel]],"")</f>
        <v>Low</v>
      </c>
      <c r="F161" s="22">
        <f ca="1">IFERROR(TODAY()-'Raw Data'!M161,999)</f>
        <v>230</v>
      </c>
      <c r="G161" s="22">
        <f>IFERROR(COUNTIFS(tblTransactions[CustomerID],A161),0)</f>
        <v>5</v>
      </c>
      <c r="H161" s="22">
        <f>IFERROR(SUMIFS(tblTransactions[Amount (INR)],tblTransactions[CustomerID],A161),0)</f>
        <v>64383</v>
      </c>
      <c r="I161" s="16">
        <f t="shared" ca="1" si="30"/>
        <v>1</v>
      </c>
      <c r="J161" s="16">
        <f t="shared" si="31"/>
        <v>3</v>
      </c>
      <c r="K161" s="16">
        <f t="shared" si="32"/>
        <v>5</v>
      </c>
      <c r="L161" s="16" t="str">
        <f t="shared" ca="1" si="33"/>
        <v>135</v>
      </c>
      <c r="M161" s="16">
        <f>IFERROR(INDEX('Raw Data'!$X$3:$X$202,MATCH(A161,'Raw Data'!$W$3:$W$202,0)),"")</f>
        <v>2</v>
      </c>
      <c r="N161" s="16">
        <f>IFERROR(INDEX('Raw Data'!$Z$3:$Z$202,MATCH(A161,'Raw Data'!$W$3:$W$202,0)),"")</f>
        <v>5</v>
      </c>
      <c r="O161" s="16">
        <f t="shared" si="34"/>
        <v>2.25</v>
      </c>
      <c r="P161" s="16" t="str">
        <f>IFERROR(tblClean[[#This Row],[AgeGroup]],"")</f>
        <v>25-39</v>
      </c>
      <c r="Q161" s="16" t="str">
        <f>IFERROR(tblClean[[#This Row],[IncomeBracket]],"")</f>
        <v>High</v>
      </c>
      <c r="R161" s="16" t="str">
        <f t="shared" si="35"/>
        <v>LOW</v>
      </c>
      <c r="S161" s="16" t="str">
        <f t="shared" si="36"/>
        <v>Premium</v>
      </c>
      <c r="T161" s="18" t="str">
        <f t="shared" ca="1" si="37"/>
        <v>High Value</v>
      </c>
      <c r="U161" s="18" t="str">
        <f>IFERROR(INDEX(tblTransactions[ProductCategory],MATCH(A161,tblTransactions[CustomerID],0)),"N/A")</f>
        <v>Electronics</v>
      </c>
    </row>
    <row r="162" spans="1:21" ht="15" customHeight="1" x14ac:dyDescent="0.3">
      <c r="A162" s="19" t="str">
        <f>IFERROR(tblClean[[#This Row],[CustomerID]],"")</f>
        <v>C0160</v>
      </c>
      <c r="B162" s="19" t="str">
        <f>IFERROR(tblClean[[#This Row],[Name (Cleaned)]],"")</f>
        <v>Rahul Singh</v>
      </c>
      <c r="C162" s="19" t="str">
        <f>IFERROR(tblClean[[#This Row],[City/Region (Cleaned)]],"")</f>
        <v>Vadodara</v>
      </c>
      <c r="D162" s="19" t="str">
        <f>IFERROR(tblClean[[#This Row],[CustomerType]],"")</f>
        <v>New</v>
      </c>
      <c r="E162" s="19" t="str">
        <f>IFERROR(tblClean[[#This Row],[EngagementLevel]],"")</f>
        <v>Medium</v>
      </c>
      <c r="F162" s="23">
        <f ca="1">IFERROR(TODAY()-'Raw Data'!M162,999)</f>
        <v>341</v>
      </c>
      <c r="G162" s="23">
        <f>IFERROR(COUNTIFS(tblTransactions[CustomerID],A162),0)</f>
        <v>8</v>
      </c>
      <c r="H162" s="23">
        <f>IFERROR(SUMIFS(tblTransactions[Amount (INR)],tblTransactions[CustomerID],A162),0)</f>
        <v>112602</v>
      </c>
      <c r="I162" s="19">
        <f t="shared" ca="1" si="30"/>
        <v>1</v>
      </c>
      <c r="J162" s="19">
        <f t="shared" si="31"/>
        <v>5</v>
      </c>
      <c r="K162" s="19">
        <f t="shared" si="32"/>
        <v>5</v>
      </c>
      <c r="L162" s="19" t="str">
        <f t="shared" ca="1" si="33"/>
        <v>155</v>
      </c>
      <c r="M162" s="19">
        <f>IFERROR(INDEX('Raw Data'!$X$3:$X$202,MATCH(A162,'Raw Data'!$W$3:$W$202,0)),"")</f>
        <v>3</v>
      </c>
      <c r="N162" s="19">
        <f>IFERROR(INDEX('Raw Data'!$Z$3:$Z$202,MATCH(A162,'Raw Data'!$W$3:$W$202,0)),"")</f>
        <v>6</v>
      </c>
      <c r="O162" s="19">
        <f t="shared" si="34"/>
        <v>3</v>
      </c>
      <c r="P162" s="19" t="str">
        <f>IFERROR(tblClean[[#This Row],[AgeGroup]],"")</f>
        <v>25-39</v>
      </c>
      <c r="Q162" s="19" t="str">
        <f>IFERROR(tblClean[[#This Row],[IncomeBracket]],"")</f>
        <v>Mid</v>
      </c>
      <c r="R162" s="19" t="str">
        <f t="shared" si="35"/>
        <v>MED</v>
      </c>
      <c r="S162" s="19" t="str">
        <f t="shared" si="36"/>
        <v>Premium</v>
      </c>
      <c r="T162" s="18" t="str">
        <f t="shared" ca="1" si="37"/>
        <v>High Value</v>
      </c>
      <c r="U162" s="18" t="str">
        <f>IFERROR(INDEX(tblTransactions[ProductCategory],MATCH(A162,tblTransactions[CustomerID],0)),"N/A")</f>
        <v>Grocery</v>
      </c>
    </row>
    <row r="163" spans="1:21" ht="15" customHeight="1" x14ac:dyDescent="0.3">
      <c r="A163" s="16" t="str">
        <f>IFERROR(tblClean[[#This Row],[CustomerID]],"")</f>
        <v>C0161</v>
      </c>
      <c r="B163" s="16" t="str">
        <f>IFERROR(tblClean[[#This Row],[Name (Cleaned)]],"")</f>
        <v>Swati Verma</v>
      </c>
      <c r="C163" s="16" t="str">
        <f>IFERROR(tblClean[[#This Row],[City/Region (Cleaned)]],"")</f>
        <v>Hyderabad</v>
      </c>
      <c r="D163" s="16" t="str">
        <f>IFERROR(tblClean[[#This Row],[CustomerType]],"")</f>
        <v>Returning</v>
      </c>
      <c r="E163" s="16" t="str">
        <f>IFERROR(tblClean[[#This Row],[EngagementLevel]],"")</f>
        <v>High</v>
      </c>
      <c r="F163" s="22">
        <f ca="1">IFERROR(TODAY()-'Raw Data'!M163,999)</f>
        <v>125</v>
      </c>
      <c r="G163" s="22">
        <f>IFERROR(COUNTIFS(tblTransactions[CustomerID],A163),0)</f>
        <v>2</v>
      </c>
      <c r="H163" s="22">
        <f>IFERROR(SUMIFS(tblTransactions[Amount (INR)],tblTransactions[CustomerID],A163),0)</f>
        <v>19770</v>
      </c>
      <c r="I163" s="16">
        <f t="shared" ref="I163:I194" ca="1" si="38">IFERROR(IF(F163&lt;=30,5,IF(F163&lt;=60,4,IF(F163&lt;=90,3,IF(F163&lt;=180,2,1)))),1)</f>
        <v>2</v>
      </c>
      <c r="J163" s="16">
        <f t="shared" ref="J163:J194" si="39">IFERROR(IF(G163&gt;=8,5,IF(G163&gt;=6,4,IF(G163&gt;=4,3,IF(G163&gt;=2,2,1)))),1)</f>
        <v>2</v>
      </c>
      <c r="K163" s="16">
        <f t="shared" ref="K163:K194" si="40">IFERROR(IF(H163&gt;=50000,5,IF(H163&gt;=30000,4,IF(H163&gt;=15000,3,IF(H163&gt;=5000,2,1)))),1)</f>
        <v>3</v>
      </c>
      <c r="L163" s="16" t="str">
        <f t="shared" ref="L163:L194" ca="1" si="41">IFERROR(TEXT(I163,"0")&amp;TEXT(J163,"0")&amp;TEXT(K163,"0"),"")</f>
        <v>223</v>
      </c>
      <c r="M163" s="16">
        <f>IFERROR(INDEX('Raw Data'!$X$3:$X$202,MATCH(A163,'Raw Data'!$W$3:$W$202,0)),"")</f>
        <v>5</v>
      </c>
      <c r="N163" s="16">
        <f>IFERROR(INDEX('Raw Data'!$Z$3:$Z$202,MATCH(A163,'Raw Data'!$W$3:$W$202,0)),"")</f>
        <v>10</v>
      </c>
      <c r="O163" s="16">
        <f t="shared" ref="O163:O194" si="42">IFERROR((IF(ISNUMBER(M163),M163,0)+IF(ISNUMBER(N163),N163/2,0))/MAX(1,(IF(ISNUMBER(M163),1,0)+IF(ISNUMBER(N163),1,0))),"")</f>
        <v>5</v>
      </c>
      <c r="P163" s="16" t="str">
        <f>IFERROR(tblClean[[#This Row],[AgeGroup]],"")</f>
        <v>40-54</v>
      </c>
      <c r="Q163" s="16" t="str">
        <f>IFERROR(tblClean[[#This Row],[IncomeBracket]],"")</f>
        <v>High</v>
      </c>
      <c r="R163" s="16" t="str">
        <f t="shared" ref="R163:R194" si="43">IFERROR(IF(E163="Low","LOW",IF(E163="Medium","MED","HIGH")),"N/A")</f>
        <v>HIGH</v>
      </c>
      <c r="S163" s="16" t="str">
        <f t="shared" ref="S163:S194" si="44">IFERROR(IF(H163&gt;=50000,"Premium",IF(H163&gt;=15000,"Standard","Budget")),"N/A")</f>
        <v>Standard</v>
      </c>
      <c r="T163" s="18" t="str">
        <f t="shared" ca="1" si="37"/>
        <v>At Risk</v>
      </c>
      <c r="U163" s="18" t="str">
        <f>IFERROR(INDEX(tblTransactions[ProductCategory],MATCH(A163,tblTransactions[CustomerID],0)),"N/A")</f>
        <v>Home Decor</v>
      </c>
    </row>
    <row r="164" spans="1:21" ht="15" customHeight="1" x14ac:dyDescent="0.3">
      <c r="A164" s="19" t="str">
        <f>IFERROR(tblClean[[#This Row],[CustomerID]],"")</f>
        <v>C0162</v>
      </c>
      <c r="B164" s="19" t="str">
        <f>IFERROR(tblClean[[#This Row],[Name (Cleaned)]],"")</f>
        <v>Swati Reddy</v>
      </c>
      <c r="C164" s="19" t="str">
        <f>IFERROR(tblClean[[#This Row],[City/Region (Cleaned)]],"")</f>
        <v>Jaipur</v>
      </c>
      <c r="D164" s="19" t="str">
        <f>IFERROR(tblClean[[#This Row],[CustomerType]],"")</f>
        <v>Returning</v>
      </c>
      <c r="E164" s="19" t="str">
        <f>IFERROR(tblClean[[#This Row],[EngagementLevel]],"")</f>
        <v>High</v>
      </c>
      <c r="F164" s="23">
        <f ca="1">IFERROR(TODAY()-'Raw Data'!M164,999)</f>
        <v>288</v>
      </c>
      <c r="G164" s="23">
        <f>IFERROR(COUNTIFS(tblTransactions[CustomerID],A164),0)</f>
        <v>6</v>
      </c>
      <c r="H164" s="23">
        <f>IFERROR(SUMIFS(tblTransactions[Amount (INR)],tblTransactions[CustomerID],A164),0)</f>
        <v>84011</v>
      </c>
      <c r="I164" s="19">
        <f t="shared" ca="1" si="38"/>
        <v>1</v>
      </c>
      <c r="J164" s="19">
        <f t="shared" si="39"/>
        <v>4</v>
      </c>
      <c r="K164" s="19">
        <f t="shared" si="40"/>
        <v>5</v>
      </c>
      <c r="L164" s="19" t="str">
        <f t="shared" ca="1" si="41"/>
        <v>145</v>
      </c>
      <c r="M164" s="19">
        <f>IFERROR(INDEX('Raw Data'!$X$3:$X$202,MATCH(A164,'Raw Data'!$W$3:$W$202,0)),"")</f>
        <v>4</v>
      </c>
      <c r="N164" s="19">
        <f>IFERROR(INDEX('Raw Data'!$Z$3:$Z$202,MATCH(A164,'Raw Data'!$W$3:$W$202,0)),"")</f>
        <v>1</v>
      </c>
      <c r="O164" s="19">
        <f t="shared" si="42"/>
        <v>2.25</v>
      </c>
      <c r="P164" s="19" t="str">
        <f>IFERROR(tblClean[[#This Row],[AgeGroup]],"")</f>
        <v>55+</v>
      </c>
      <c r="Q164" s="19" t="str">
        <f>IFERROR(tblClean[[#This Row],[IncomeBracket]],"")</f>
        <v>Low</v>
      </c>
      <c r="R164" s="19" t="str">
        <f t="shared" si="43"/>
        <v>HIGH</v>
      </c>
      <c r="S164" s="19" t="str">
        <f t="shared" si="44"/>
        <v>Premium</v>
      </c>
      <c r="T164" s="18" t="str">
        <f t="shared" ca="1" si="37"/>
        <v>High Value</v>
      </c>
      <c r="U164" s="18" t="str">
        <f>IFERROR(INDEX(tblTransactions[ProductCategory],MATCH(A164,tblTransactions[CustomerID],0)),"N/A")</f>
        <v>Electronics</v>
      </c>
    </row>
    <row r="165" spans="1:21" ht="15" customHeight="1" x14ac:dyDescent="0.3">
      <c r="A165" s="16" t="str">
        <f>IFERROR(tblClean[[#This Row],[CustomerID]],"")</f>
        <v>C0163</v>
      </c>
      <c r="B165" s="16" t="str">
        <f>IFERROR(tblClean[[#This Row],[Name (Cleaned)]],"")</f>
        <v>Amit Jain</v>
      </c>
      <c r="C165" s="16" t="str">
        <f>IFERROR(tblClean[[#This Row],[City/Region (Cleaned)]],"")</f>
        <v>Surat</v>
      </c>
      <c r="D165" s="16" t="str">
        <f>IFERROR(tblClean[[#This Row],[CustomerType]],"")</f>
        <v>Returning</v>
      </c>
      <c r="E165" s="16" t="str">
        <f>IFERROR(tblClean[[#This Row],[EngagementLevel]],"")</f>
        <v>Medium</v>
      </c>
      <c r="F165" s="22">
        <f ca="1">IFERROR(TODAY()-'Raw Data'!M165,999)</f>
        <v>34</v>
      </c>
      <c r="G165" s="22">
        <f>IFERROR(COUNTIFS(tblTransactions[CustomerID],A165),0)</f>
        <v>1</v>
      </c>
      <c r="H165" s="22">
        <f>IFERROR(SUMIFS(tblTransactions[Amount (INR)],tblTransactions[CustomerID],A165),0)</f>
        <v>15750</v>
      </c>
      <c r="I165" s="16">
        <f t="shared" ca="1" si="38"/>
        <v>4</v>
      </c>
      <c r="J165" s="16">
        <f t="shared" si="39"/>
        <v>1</v>
      </c>
      <c r="K165" s="16">
        <f t="shared" si="40"/>
        <v>3</v>
      </c>
      <c r="L165" s="16" t="str">
        <f t="shared" ca="1" si="41"/>
        <v>413</v>
      </c>
      <c r="M165" s="16">
        <f>IFERROR(INDEX('Raw Data'!$X$3:$X$202,MATCH(A165,'Raw Data'!$W$3:$W$202,0)),"")</f>
        <v>1</v>
      </c>
      <c r="N165" s="16">
        <f>IFERROR(INDEX('Raw Data'!$Z$3:$Z$202,MATCH(A165,'Raw Data'!$W$3:$W$202,0)),"")</f>
        <v>8</v>
      </c>
      <c r="O165" s="16">
        <f t="shared" si="42"/>
        <v>2.5</v>
      </c>
      <c r="P165" s="16" t="str">
        <f>IFERROR(tblClean[[#This Row],[AgeGroup]],"")</f>
        <v>55+</v>
      </c>
      <c r="Q165" s="16" t="str">
        <f>IFERROR(tblClean[[#This Row],[IncomeBracket]],"")</f>
        <v>High</v>
      </c>
      <c r="R165" s="16" t="str">
        <f t="shared" si="43"/>
        <v>MED</v>
      </c>
      <c r="S165" s="16" t="str">
        <f t="shared" si="44"/>
        <v>Standard</v>
      </c>
      <c r="T165" s="18" t="str">
        <f t="shared" ca="1" si="37"/>
        <v>General</v>
      </c>
      <c r="U165" s="18" t="str">
        <f>IFERROR(INDEX(tblTransactions[ProductCategory],MATCH(A165,tblTransactions[CustomerID],0)),"N/A")</f>
        <v>Electronics</v>
      </c>
    </row>
    <row r="166" spans="1:21" ht="15" customHeight="1" x14ac:dyDescent="0.3">
      <c r="A166" s="19" t="str">
        <f>IFERROR(tblClean[[#This Row],[CustomerID]],"")</f>
        <v>C0164</v>
      </c>
      <c r="B166" s="19" t="str">
        <f>IFERROR(tblClean[[#This Row],[Name (Cleaned)]],"")</f>
        <v>Sunita Reddy</v>
      </c>
      <c r="C166" s="19" t="str">
        <f>IFERROR(tblClean[[#This Row],[City/Region (Cleaned)]],"")</f>
        <v>Bhopal</v>
      </c>
      <c r="D166" s="19" t="str">
        <f>IFERROR(tblClean[[#This Row],[CustomerType]],"")</f>
        <v>Returning</v>
      </c>
      <c r="E166" s="19" t="str">
        <f>IFERROR(tblClean[[#This Row],[EngagementLevel]],"")</f>
        <v>Medium</v>
      </c>
      <c r="F166" s="23">
        <f ca="1">IFERROR(TODAY()-'Raw Data'!M166,999)</f>
        <v>171</v>
      </c>
      <c r="G166" s="23">
        <f>IFERROR(COUNTIFS(tblTransactions[CustomerID],A166),0)</f>
        <v>5</v>
      </c>
      <c r="H166" s="23">
        <f>IFERROR(SUMIFS(tblTransactions[Amount (INR)],tblTransactions[CustomerID],A166),0)</f>
        <v>80616</v>
      </c>
      <c r="I166" s="19">
        <f t="shared" ca="1" si="38"/>
        <v>2</v>
      </c>
      <c r="J166" s="19">
        <f t="shared" si="39"/>
        <v>3</v>
      </c>
      <c r="K166" s="19">
        <f t="shared" si="40"/>
        <v>5</v>
      </c>
      <c r="L166" s="19" t="str">
        <f t="shared" ca="1" si="41"/>
        <v>235</v>
      </c>
      <c r="M166" s="19">
        <f>IFERROR(INDEX('Raw Data'!$X$3:$X$202,MATCH(A166,'Raw Data'!$W$3:$W$202,0)),"")</f>
        <v>1</v>
      </c>
      <c r="N166" s="19">
        <f>IFERROR(INDEX('Raw Data'!$Z$3:$Z$202,MATCH(A166,'Raw Data'!$W$3:$W$202,0)),"")</f>
        <v>3</v>
      </c>
      <c r="O166" s="19">
        <f t="shared" si="42"/>
        <v>1.25</v>
      </c>
      <c r="P166" s="19" t="str">
        <f>IFERROR(tblClean[[#This Row],[AgeGroup]],"")</f>
        <v>40-54</v>
      </c>
      <c r="Q166" s="19" t="str">
        <f>IFERROR(tblClean[[#This Row],[IncomeBracket]],"")</f>
        <v>Mid</v>
      </c>
      <c r="R166" s="19" t="str">
        <f t="shared" si="43"/>
        <v>MED</v>
      </c>
      <c r="S166" s="19" t="str">
        <f t="shared" si="44"/>
        <v>Premium</v>
      </c>
      <c r="T166" s="18" t="str">
        <f t="shared" ca="1" si="37"/>
        <v>High Value</v>
      </c>
      <c r="U166" s="18" t="str">
        <f>IFERROR(INDEX(tblTransactions[ProductCategory],MATCH(A166,tblTransactions[CustomerID],0)),"N/A")</f>
        <v>Beauty</v>
      </c>
    </row>
    <row r="167" spans="1:21" ht="15" customHeight="1" x14ac:dyDescent="0.3">
      <c r="A167" s="16" t="str">
        <f>IFERROR(tblClean[[#This Row],[CustomerID]],"")</f>
        <v>C0165</v>
      </c>
      <c r="B167" s="16" t="str">
        <f>IFERROR(tblClean[[#This Row],[Name (Cleaned)]],"")</f>
        <v>Geeta Singh</v>
      </c>
      <c r="C167" s="16" t="str">
        <f>IFERROR(tblClean[[#This Row],[City/Region (Cleaned)]],"")</f>
        <v>Delhi</v>
      </c>
      <c r="D167" s="16" t="str">
        <f>IFERROR(tblClean[[#This Row],[CustomerType]],"")</f>
        <v>Returning</v>
      </c>
      <c r="E167" s="16" t="str">
        <f>IFERROR(tblClean[[#This Row],[EngagementLevel]],"")</f>
        <v>Low</v>
      </c>
      <c r="F167" s="22">
        <f ca="1">IFERROR(TODAY()-'Raw Data'!M167,999)</f>
        <v>241</v>
      </c>
      <c r="G167" s="22">
        <f>IFERROR(COUNTIFS(tblTransactions[CustomerID],A167),0)</f>
        <v>8</v>
      </c>
      <c r="H167" s="22">
        <f>IFERROR(SUMIFS(tblTransactions[Amount (INR)],tblTransactions[CustomerID],A167),0)</f>
        <v>97141</v>
      </c>
      <c r="I167" s="16">
        <f t="shared" ca="1" si="38"/>
        <v>1</v>
      </c>
      <c r="J167" s="16">
        <f t="shared" si="39"/>
        <v>5</v>
      </c>
      <c r="K167" s="16">
        <f t="shared" si="40"/>
        <v>5</v>
      </c>
      <c r="L167" s="16" t="str">
        <f t="shared" ca="1" si="41"/>
        <v>155</v>
      </c>
      <c r="M167" s="16">
        <f>IFERROR(INDEX('Raw Data'!$X$3:$X$202,MATCH(A167,'Raw Data'!$W$3:$W$202,0)),"")</f>
        <v>4</v>
      </c>
      <c r="N167" s="16">
        <f>IFERROR(INDEX('Raw Data'!$Z$3:$Z$202,MATCH(A167,'Raw Data'!$W$3:$W$202,0)),"")</f>
        <v>1</v>
      </c>
      <c r="O167" s="16">
        <f t="shared" si="42"/>
        <v>2.25</v>
      </c>
      <c r="P167" s="16" t="str">
        <f>IFERROR(tblClean[[#This Row],[AgeGroup]],"")</f>
        <v>40-54</v>
      </c>
      <c r="Q167" s="16" t="str">
        <f>IFERROR(tblClean[[#This Row],[IncomeBracket]],"")</f>
        <v>Mid</v>
      </c>
      <c r="R167" s="16" t="str">
        <f t="shared" si="43"/>
        <v>LOW</v>
      </c>
      <c r="S167" s="16" t="str">
        <f t="shared" si="44"/>
        <v>Premium</v>
      </c>
      <c r="T167" s="18" t="str">
        <f t="shared" ca="1" si="37"/>
        <v>High Value</v>
      </c>
      <c r="U167" s="18" t="str">
        <f>IFERROR(INDEX(tblTransactions[ProductCategory],MATCH(A167,tblTransactions[CustomerID],0)),"N/A")</f>
        <v>Beauty</v>
      </c>
    </row>
    <row r="168" spans="1:21" ht="15" customHeight="1" x14ac:dyDescent="0.3">
      <c r="A168" s="19" t="str">
        <f>IFERROR(tblClean[[#This Row],[CustomerID]],"")</f>
        <v>C0166</v>
      </c>
      <c r="B168" s="19" t="str">
        <f>IFERROR(tblClean[[#This Row],[Name (Cleaned)]],"")</f>
        <v>Kavya Jain</v>
      </c>
      <c r="C168" s="19" t="str">
        <f>IFERROR(tblClean[[#This Row],[City/Region (Cleaned)]],"")</f>
        <v>Mumbai</v>
      </c>
      <c r="D168" s="19" t="str">
        <f>IFERROR(tblClean[[#This Row],[CustomerType]],"")</f>
        <v>New</v>
      </c>
      <c r="E168" s="19" t="str">
        <f>IFERROR(tblClean[[#This Row],[EngagementLevel]],"")</f>
        <v>High</v>
      </c>
      <c r="F168" s="23">
        <f ca="1">IFERROR(TODAY()-'Raw Data'!M168,999)</f>
        <v>330</v>
      </c>
      <c r="G168" s="23">
        <f>IFERROR(COUNTIFS(tblTransactions[CustomerID],A168),0)</f>
        <v>9</v>
      </c>
      <c r="H168" s="23">
        <f>IFERROR(SUMIFS(tblTransactions[Amount (INR)],tblTransactions[CustomerID],A168),0)</f>
        <v>105114</v>
      </c>
      <c r="I168" s="19">
        <f t="shared" ca="1" si="38"/>
        <v>1</v>
      </c>
      <c r="J168" s="19">
        <f t="shared" si="39"/>
        <v>5</v>
      </c>
      <c r="K168" s="19">
        <f t="shared" si="40"/>
        <v>5</v>
      </c>
      <c r="L168" s="19" t="str">
        <f t="shared" ca="1" si="41"/>
        <v>155</v>
      </c>
      <c r="M168" s="19">
        <f>IFERROR(INDEX('Raw Data'!$X$3:$X$202,MATCH(A168,'Raw Data'!$W$3:$W$202,0)),"")</f>
        <v>4</v>
      </c>
      <c r="N168" s="19">
        <f>IFERROR(INDEX('Raw Data'!$Z$3:$Z$202,MATCH(A168,'Raw Data'!$W$3:$W$202,0)),"")</f>
        <v>3</v>
      </c>
      <c r="O168" s="19">
        <f t="shared" si="42"/>
        <v>2.75</v>
      </c>
      <c r="P168" s="19" t="str">
        <f>IFERROR(tblClean[[#This Row],[AgeGroup]],"")</f>
        <v>25-39</v>
      </c>
      <c r="Q168" s="19" t="str">
        <f>IFERROR(tblClean[[#This Row],[IncomeBracket]],"")</f>
        <v>High</v>
      </c>
      <c r="R168" s="19" t="str">
        <f t="shared" si="43"/>
        <v>HIGH</v>
      </c>
      <c r="S168" s="19" t="str">
        <f t="shared" si="44"/>
        <v>Premium</v>
      </c>
      <c r="T168" s="18" t="str">
        <f t="shared" ca="1" si="37"/>
        <v>High Value</v>
      </c>
      <c r="U168" s="18" t="str">
        <f>IFERROR(INDEX(tblTransactions[ProductCategory],MATCH(A168,tblTransactions[CustomerID],0)),"N/A")</f>
        <v>Grocery</v>
      </c>
    </row>
    <row r="169" spans="1:21" ht="15" customHeight="1" x14ac:dyDescent="0.3">
      <c r="A169" s="16" t="str">
        <f>IFERROR(tblClean[[#This Row],[CustomerID]],"")</f>
        <v>C0167</v>
      </c>
      <c r="B169" s="16" t="str">
        <f>IFERROR(tblClean[[#This Row],[Name (Cleaned)]],"")</f>
        <v>Deepak Mehta</v>
      </c>
      <c r="C169" s="16" t="str">
        <f>IFERROR(tblClean[[#This Row],[City/Region (Cleaned)]],"")</f>
        <v>Chennai</v>
      </c>
      <c r="D169" s="16" t="str">
        <f>IFERROR(tblClean[[#This Row],[CustomerType]],"")</f>
        <v>Returning</v>
      </c>
      <c r="E169" s="16" t="str">
        <f>IFERROR(tblClean[[#This Row],[EngagementLevel]],"")</f>
        <v>Medium</v>
      </c>
      <c r="F169" s="22">
        <f ca="1">IFERROR(TODAY()-'Raw Data'!M169,999)</f>
        <v>136</v>
      </c>
      <c r="G169" s="22">
        <f>IFERROR(COUNTIFS(tblTransactions[CustomerID],A169),0)</f>
        <v>5</v>
      </c>
      <c r="H169" s="22">
        <f>IFERROR(SUMIFS(tblTransactions[Amount (INR)],tblTransactions[CustomerID],A169),0)</f>
        <v>44386</v>
      </c>
      <c r="I169" s="16">
        <f t="shared" ca="1" si="38"/>
        <v>2</v>
      </c>
      <c r="J169" s="16">
        <f t="shared" si="39"/>
        <v>3</v>
      </c>
      <c r="K169" s="16">
        <f t="shared" si="40"/>
        <v>4</v>
      </c>
      <c r="L169" s="16" t="str">
        <f t="shared" ca="1" si="41"/>
        <v>234</v>
      </c>
      <c r="M169" s="16">
        <f>IFERROR(INDEX('Raw Data'!$X$3:$X$202,MATCH(A169,'Raw Data'!$W$3:$W$202,0)),"")</f>
        <v>3</v>
      </c>
      <c r="N169" s="16">
        <f>IFERROR(INDEX('Raw Data'!$Z$3:$Z$202,MATCH(A169,'Raw Data'!$W$3:$W$202,0)),"")</f>
        <v>5</v>
      </c>
      <c r="O169" s="16">
        <f t="shared" si="42"/>
        <v>2.75</v>
      </c>
      <c r="P169" s="16" t="str">
        <f>IFERROR(tblClean[[#This Row],[AgeGroup]],"")</f>
        <v>55+</v>
      </c>
      <c r="Q169" s="16" t="str">
        <f>IFERROR(tblClean[[#This Row],[IncomeBracket]],"")</f>
        <v>High</v>
      </c>
      <c r="R169" s="16" t="str">
        <f t="shared" si="43"/>
        <v>MED</v>
      </c>
      <c r="S169" s="16" t="str">
        <f t="shared" si="44"/>
        <v>Standard</v>
      </c>
      <c r="T169" s="18" t="str">
        <f t="shared" ca="1" si="37"/>
        <v>General</v>
      </c>
      <c r="U169" s="18" t="str">
        <f>IFERROR(INDEX(tblTransactions[ProductCategory],MATCH(A169,tblTransactions[CustomerID],0)),"N/A")</f>
        <v>Beauty</v>
      </c>
    </row>
    <row r="170" spans="1:21" ht="15" customHeight="1" x14ac:dyDescent="0.3">
      <c r="A170" s="19" t="str">
        <f>IFERROR(tblClean[[#This Row],[CustomerID]],"")</f>
        <v>C0168</v>
      </c>
      <c r="B170" s="19" t="str">
        <f>IFERROR(tblClean[[#This Row],[Name (Cleaned)]],"")</f>
        <v>Pranav Nair</v>
      </c>
      <c r="C170" s="19" t="str">
        <f>IFERROR(tblClean[[#This Row],[City/Region (Cleaned)]],"")</f>
        <v>Jaipur</v>
      </c>
      <c r="D170" s="19" t="str">
        <f>IFERROR(tblClean[[#This Row],[CustomerType]],"")</f>
        <v>New</v>
      </c>
      <c r="E170" s="19" t="str">
        <f>IFERROR(tblClean[[#This Row],[EngagementLevel]],"")</f>
        <v>Medium</v>
      </c>
      <c r="F170" s="23">
        <f ca="1">IFERROR(TODAY()-'Raw Data'!M170,999)</f>
        <v>225</v>
      </c>
      <c r="G170" s="23">
        <f>IFERROR(COUNTIFS(tblTransactions[CustomerID],A170),0)</f>
        <v>2</v>
      </c>
      <c r="H170" s="23">
        <f>IFERROR(SUMIFS(tblTransactions[Amount (INR)],tblTransactions[CustomerID],A170),0)</f>
        <v>14844</v>
      </c>
      <c r="I170" s="19">
        <f t="shared" ca="1" si="38"/>
        <v>1</v>
      </c>
      <c r="J170" s="19">
        <f t="shared" si="39"/>
        <v>2</v>
      </c>
      <c r="K170" s="19">
        <f t="shared" si="40"/>
        <v>2</v>
      </c>
      <c r="L170" s="19" t="str">
        <f t="shared" ca="1" si="41"/>
        <v>122</v>
      </c>
      <c r="M170" s="19">
        <f>IFERROR(INDEX('Raw Data'!$X$3:$X$202,MATCH(A170,'Raw Data'!$W$3:$W$202,0)),"")</f>
        <v>1</v>
      </c>
      <c r="N170" s="19">
        <f>IFERROR(INDEX('Raw Data'!$Z$3:$Z$202,MATCH(A170,'Raw Data'!$W$3:$W$202,0)),"")</f>
        <v>5</v>
      </c>
      <c r="O170" s="19">
        <f t="shared" si="42"/>
        <v>1.75</v>
      </c>
      <c r="P170" s="19" t="str">
        <f>IFERROR(tblClean[[#This Row],[AgeGroup]],"")</f>
        <v>25-39</v>
      </c>
      <c r="Q170" s="19" t="str">
        <f>IFERROR(tblClean[[#This Row],[IncomeBracket]],"")</f>
        <v>High</v>
      </c>
      <c r="R170" s="19" t="str">
        <f t="shared" si="43"/>
        <v>MED</v>
      </c>
      <c r="S170" s="19" t="str">
        <f t="shared" si="44"/>
        <v>Budget</v>
      </c>
      <c r="T170" s="18" t="str">
        <f t="shared" ca="1" si="37"/>
        <v>At Risk</v>
      </c>
      <c r="U170" s="18" t="str">
        <f>IFERROR(INDEX(tblTransactions[ProductCategory],MATCH(A170,tblTransactions[CustomerID],0)),"N/A")</f>
        <v>Electronics</v>
      </c>
    </row>
    <row r="171" spans="1:21" ht="15" customHeight="1" x14ac:dyDescent="0.3">
      <c r="A171" s="16" t="str">
        <f>IFERROR(tblClean[[#This Row],[CustomerID]],"")</f>
        <v>C0169</v>
      </c>
      <c r="B171" s="16" t="str">
        <f>IFERROR(tblClean[[#This Row],[Name (Cleaned)]],"")</f>
        <v>Deepak Nair</v>
      </c>
      <c r="C171" s="16" t="str">
        <f>IFERROR(tblClean[[#This Row],[City/Region (Cleaned)]],"")</f>
        <v>Chandigarh</v>
      </c>
      <c r="D171" s="16" t="str">
        <f>IFERROR(tblClean[[#This Row],[CustomerType]],"")</f>
        <v>Returning</v>
      </c>
      <c r="E171" s="16" t="str">
        <f>IFERROR(tblClean[[#This Row],[EngagementLevel]],"")</f>
        <v>Medium</v>
      </c>
      <c r="F171" s="22">
        <f ca="1">IFERROR(TODAY()-'Raw Data'!M171,999)</f>
        <v>20</v>
      </c>
      <c r="G171" s="22">
        <f>IFERROR(COUNTIFS(tblTransactions[CustomerID],A171),0)</f>
        <v>7</v>
      </c>
      <c r="H171" s="22">
        <f>IFERROR(SUMIFS(tblTransactions[Amount (INR)],tblTransactions[CustomerID],A171),0)</f>
        <v>72412</v>
      </c>
      <c r="I171" s="16">
        <f t="shared" ca="1" si="38"/>
        <v>5</v>
      </c>
      <c r="J171" s="16">
        <f t="shared" si="39"/>
        <v>4</v>
      </c>
      <c r="K171" s="16">
        <f t="shared" si="40"/>
        <v>5</v>
      </c>
      <c r="L171" s="16" t="str">
        <f t="shared" ca="1" si="41"/>
        <v>545</v>
      </c>
      <c r="M171" s="16">
        <f>IFERROR(INDEX('Raw Data'!$X$3:$X$202,MATCH(A171,'Raw Data'!$W$3:$W$202,0)),"")</f>
        <v>1</v>
      </c>
      <c r="N171" s="16">
        <f>IFERROR(INDEX('Raw Data'!$Z$3:$Z$202,MATCH(A171,'Raw Data'!$W$3:$W$202,0)),"")</f>
        <v>3</v>
      </c>
      <c r="O171" s="16">
        <f t="shared" si="42"/>
        <v>1.25</v>
      </c>
      <c r="P171" s="16" t="str">
        <f>IFERROR(tblClean[[#This Row],[AgeGroup]],"")</f>
        <v>40-54</v>
      </c>
      <c r="Q171" s="16" t="str">
        <f>IFERROR(tblClean[[#This Row],[IncomeBracket]],"")</f>
        <v>High</v>
      </c>
      <c r="R171" s="16" t="str">
        <f t="shared" si="43"/>
        <v>MED</v>
      </c>
      <c r="S171" s="16" t="str">
        <f t="shared" si="44"/>
        <v>Premium</v>
      </c>
      <c r="T171" s="18" t="str">
        <f t="shared" ca="1" si="37"/>
        <v>High Value</v>
      </c>
      <c r="U171" s="18" t="str">
        <f>IFERROR(INDEX(tblTransactions[ProductCategory],MATCH(A171,tblTransactions[CustomerID],0)),"N/A")</f>
        <v>Beauty</v>
      </c>
    </row>
    <row r="172" spans="1:21" ht="15" customHeight="1" x14ac:dyDescent="0.3">
      <c r="A172" s="19" t="str">
        <f>IFERROR(tblClean[[#This Row],[CustomerID]],"")</f>
        <v>C0170</v>
      </c>
      <c r="B172" s="19" t="str">
        <f>IFERROR(tblClean[[#This Row],[Name (Cleaned)]],"")</f>
        <v>Swati Sharma</v>
      </c>
      <c r="C172" s="19" t="str">
        <f>IFERROR(tblClean[[#This Row],[City/Region (Cleaned)]],"")</f>
        <v>Noida</v>
      </c>
      <c r="D172" s="19" t="str">
        <f>IFERROR(tblClean[[#This Row],[CustomerType]],"")</f>
        <v>Returning</v>
      </c>
      <c r="E172" s="19" t="str">
        <f>IFERROR(tblClean[[#This Row],[EngagementLevel]],"")</f>
        <v>High</v>
      </c>
      <c r="F172" s="23">
        <f ca="1">IFERROR(TODAY()-'Raw Data'!M172,999)</f>
        <v>300</v>
      </c>
      <c r="G172" s="23">
        <f>IFERROR(COUNTIFS(tblTransactions[CustomerID],A172),0)</f>
        <v>5</v>
      </c>
      <c r="H172" s="23">
        <f>IFERROR(SUMIFS(tblTransactions[Amount (INR)],tblTransactions[CustomerID],A172),0)</f>
        <v>80443</v>
      </c>
      <c r="I172" s="19">
        <f t="shared" ca="1" si="38"/>
        <v>1</v>
      </c>
      <c r="J172" s="19">
        <f t="shared" si="39"/>
        <v>3</v>
      </c>
      <c r="K172" s="19">
        <f t="shared" si="40"/>
        <v>5</v>
      </c>
      <c r="L172" s="19" t="str">
        <f t="shared" ca="1" si="41"/>
        <v>135</v>
      </c>
      <c r="M172" s="19">
        <f>IFERROR(INDEX('Raw Data'!$X$3:$X$202,MATCH(A172,'Raw Data'!$W$3:$W$202,0)),"")</f>
        <v>1</v>
      </c>
      <c r="N172" s="19">
        <f>IFERROR(INDEX('Raw Data'!$Z$3:$Z$202,MATCH(A172,'Raw Data'!$W$3:$W$202,0)),"")</f>
        <v>5</v>
      </c>
      <c r="O172" s="19">
        <f t="shared" si="42"/>
        <v>1.75</v>
      </c>
      <c r="P172" s="19" t="str">
        <f>IFERROR(tblClean[[#This Row],[AgeGroup]],"")</f>
        <v>&lt;25</v>
      </c>
      <c r="Q172" s="19" t="str">
        <f>IFERROR(tblClean[[#This Row],[IncomeBracket]],"")</f>
        <v>High</v>
      </c>
      <c r="R172" s="19" t="str">
        <f t="shared" si="43"/>
        <v>HIGH</v>
      </c>
      <c r="S172" s="19" t="str">
        <f t="shared" si="44"/>
        <v>Premium</v>
      </c>
      <c r="T172" s="18" t="str">
        <f t="shared" ca="1" si="37"/>
        <v>High Value</v>
      </c>
      <c r="U172" s="18" t="str">
        <f>IFERROR(INDEX(tblTransactions[ProductCategory],MATCH(A172,tblTransactions[CustomerID],0)),"N/A")</f>
        <v>Home Decor</v>
      </c>
    </row>
    <row r="173" spans="1:21" ht="15" customHeight="1" x14ac:dyDescent="0.3">
      <c r="A173" s="16" t="str">
        <f>IFERROR(tblClean[[#This Row],[CustomerID]],"")</f>
        <v>C0171</v>
      </c>
      <c r="B173" s="16" t="str">
        <f>IFERROR(tblClean[[#This Row],[Name (Cleaned)]],"")</f>
        <v>Sneha Mehta</v>
      </c>
      <c r="C173" s="16" t="str">
        <f>IFERROR(tblClean[[#This Row],[City/Region (Cleaned)]],"")</f>
        <v>Nagpur</v>
      </c>
      <c r="D173" s="16" t="str">
        <f>IFERROR(tblClean[[#This Row],[CustomerType]],"")</f>
        <v>New</v>
      </c>
      <c r="E173" s="16" t="str">
        <f>IFERROR(tblClean[[#This Row],[EngagementLevel]],"")</f>
        <v>Medium</v>
      </c>
      <c r="F173" s="22">
        <f ca="1">IFERROR(TODAY()-'Raw Data'!M173,999)</f>
        <v>298</v>
      </c>
      <c r="G173" s="22">
        <f>IFERROR(COUNTIFS(tblTransactions[CustomerID],A173),0)</f>
        <v>2</v>
      </c>
      <c r="H173" s="22">
        <f>IFERROR(SUMIFS(tblTransactions[Amount (INR)],tblTransactions[CustomerID],A173),0)</f>
        <v>22623</v>
      </c>
      <c r="I173" s="16">
        <f t="shared" ca="1" si="38"/>
        <v>1</v>
      </c>
      <c r="J173" s="16">
        <f t="shared" si="39"/>
        <v>2</v>
      </c>
      <c r="K173" s="16">
        <f t="shared" si="40"/>
        <v>3</v>
      </c>
      <c r="L173" s="16" t="str">
        <f t="shared" ca="1" si="41"/>
        <v>123</v>
      </c>
      <c r="M173" s="16">
        <f>IFERROR(INDEX('Raw Data'!$X$3:$X$202,MATCH(A173,'Raw Data'!$W$3:$W$202,0)),"")</f>
        <v>2</v>
      </c>
      <c r="N173" s="16">
        <f>IFERROR(INDEX('Raw Data'!$Z$3:$Z$202,MATCH(A173,'Raw Data'!$W$3:$W$202,0)),"")</f>
        <v>2</v>
      </c>
      <c r="O173" s="16">
        <f t="shared" si="42"/>
        <v>1.5</v>
      </c>
      <c r="P173" s="16" t="str">
        <f>IFERROR(tblClean[[#This Row],[AgeGroup]],"")</f>
        <v>25-39</v>
      </c>
      <c r="Q173" s="16" t="str">
        <f>IFERROR(tblClean[[#This Row],[IncomeBracket]],"")</f>
        <v>Mid</v>
      </c>
      <c r="R173" s="16" t="str">
        <f t="shared" si="43"/>
        <v>MED</v>
      </c>
      <c r="S173" s="16" t="str">
        <f t="shared" si="44"/>
        <v>Standard</v>
      </c>
      <c r="T173" s="18" t="str">
        <f t="shared" ca="1" si="37"/>
        <v>At Risk</v>
      </c>
      <c r="U173" s="18" t="str">
        <f>IFERROR(INDEX(tblTransactions[ProductCategory],MATCH(A173,tblTransactions[CustomerID],0)),"N/A")</f>
        <v>Home Decor</v>
      </c>
    </row>
    <row r="174" spans="1:21" ht="15" customHeight="1" x14ac:dyDescent="0.3">
      <c r="A174" s="19" t="str">
        <f>IFERROR(tblClean[[#This Row],[CustomerID]],"")</f>
        <v>C0172</v>
      </c>
      <c r="B174" s="19" t="str">
        <f>IFERROR(tblClean[[#This Row],[Name (Cleaned)]],"")</f>
        <v>Sunita Reddy</v>
      </c>
      <c r="C174" s="19" t="str">
        <f>IFERROR(tblClean[[#This Row],[City/Region (Cleaned)]],"")</f>
        <v>Bangalore</v>
      </c>
      <c r="D174" s="19" t="str">
        <f>IFERROR(tblClean[[#This Row],[CustomerType]],"")</f>
        <v>Returning</v>
      </c>
      <c r="E174" s="19" t="str">
        <f>IFERROR(tblClean[[#This Row],[EngagementLevel]],"")</f>
        <v>High</v>
      </c>
      <c r="F174" s="23">
        <f ca="1">IFERROR(TODAY()-'Raw Data'!M174,999)</f>
        <v>128</v>
      </c>
      <c r="G174" s="23">
        <f>IFERROR(COUNTIFS(tblTransactions[CustomerID],A174),0)</f>
        <v>4</v>
      </c>
      <c r="H174" s="23">
        <f>IFERROR(SUMIFS(tblTransactions[Amount (INR)],tblTransactions[CustomerID],A174),0)</f>
        <v>44094</v>
      </c>
      <c r="I174" s="19">
        <f t="shared" ca="1" si="38"/>
        <v>2</v>
      </c>
      <c r="J174" s="19">
        <f t="shared" si="39"/>
        <v>3</v>
      </c>
      <c r="K174" s="19">
        <f t="shared" si="40"/>
        <v>4</v>
      </c>
      <c r="L174" s="19" t="str">
        <f t="shared" ca="1" si="41"/>
        <v>234</v>
      </c>
      <c r="M174" s="19">
        <f>IFERROR(INDEX('Raw Data'!$X$3:$X$202,MATCH(A174,'Raw Data'!$W$3:$W$202,0)),"")</f>
        <v>1</v>
      </c>
      <c r="N174" s="19">
        <f>IFERROR(INDEX('Raw Data'!$Z$3:$Z$202,MATCH(A174,'Raw Data'!$W$3:$W$202,0)),"")</f>
        <v>4</v>
      </c>
      <c r="O174" s="19">
        <f t="shared" si="42"/>
        <v>1.5</v>
      </c>
      <c r="P174" s="19" t="str">
        <f>IFERROR(tblClean[[#This Row],[AgeGroup]],"")</f>
        <v>55+</v>
      </c>
      <c r="Q174" s="19" t="str">
        <f>IFERROR(tblClean[[#This Row],[IncomeBracket]],"")</f>
        <v>High</v>
      </c>
      <c r="R174" s="19" t="str">
        <f t="shared" si="43"/>
        <v>HIGH</v>
      </c>
      <c r="S174" s="19" t="str">
        <f t="shared" si="44"/>
        <v>Standard</v>
      </c>
      <c r="T174" s="18" t="str">
        <f t="shared" ca="1" si="37"/>
        <v>General</v>
      </c>
      <c r="U174" s="18" t="str">
        <f>IFERROR(INDEX(tblTransactions[ProductCategory],MATCH(A174,tblTransactions[CustomerID],0)),"N/A")</f>
        <v>Electronics</v>
      </c>
    </row>
    <row r="175" spans="1:21" ht="15" customHeight="1" x14ac:dyDescent="0.3">
      <c r="A175" s="16" t="str">
        <f>IFERROR(tblClean[[#This Row],[CustomerID]],"")</f>
        <v>C0173</v>
      </c>
      <c r="B175" s="16" t="str">
        <f>IFERROR(tblClean[[#This Row],[Name (Cleaned)]],"")</f>
        <v>Rekha Sharma</v>
      </c>
      <c r="C175" s="16" t="str">
        <f>IFERROR(tblClean[[#This Row],[City/Region (Cleaned)]],"")</f>
        <v>Bangalore</v>
      </c>
      <c r="D175" s="16" t="str">
        <f>IFERROR(tblClean[[#This Row],[CustomerType]],"")</f>
        <v>Returning</v>
      </c>
      <c r="E175" s="16" t="str">
        <f>IFERROR(tblClean[[#This Row],[EngagementLevel]],"")</f>
        <v>Low</v>
      </c>
      <c r="F175" s="22">
        <f ca="1">IFERROR(TODAY()-'Raw Data'!M175,999)</f>
        <v>224</v>
      </c>
      <c r="G175" s="22">
        <f>IFERROR(COUNTIFS(tblTransactions[CustomerID],A175),0)</f>
        <v>7</v>
      </c>
      <c r="H175" s="22">
        <f>IFERROR(SUMIFS(tblTransactions[Amount (INR)],tblTransactions[CustomerID],A175),0)</f>
        <v>74816</v>
      </c>
      <c r="I175" s="16">
        <f t="shared" ca="1" si="38"/>
        <v>1</v>
      </c>
      <c r="J175" s="16">
        <f t="shared" si="39"/>
        <v>4</v>
      </c>
      <c r="K175" s="16">
        <f t="shared" si="40"/>
        <v>5</v>
      </c>
      <c r="L175" s="16" t="str">
        <f t="shared" ca="1" si="41"/>
        <v>145</v>
      </c>
      <c r="M175" s="16">
        <f>IFERROR(INDEX('Raw Data'!$X$3:$X$202,MATCH(A175,'Raw Data'!$W$3:$W$202,0)),"")</f>
        <v>4</v>
      </c>
      <c r="N175" s="16">
        <f>IFERROR(INDEX('Raw Data'!$Z$3:$Z$202,MATCH(A175,'Raw Data'!$W$3:$W$202,0)),"")</f>
        <v>3</v>
      </c>
      <c r="O175" s="16">
        <f t="shared" si="42"/>
        <v>2.75</v>
      </c>
      <c r="P175" s="16" t="str">
        <f>IFERROR(tblClean[[#This Row],[AgeGroup]],"")</f>
        <v>25-39</v>
      </c>
      <c r="Q175" s="16" t="str">
        <f>IFERROR(tblClean[[#This Row],[IncomeBracket]],"")</f>
        <v>High</v>
      </c>
      <c r="R175" s="16" t="str">
        <f t="shared" si="43"/>
        <v>LOW</v>
      </c>
      <c r="S175" s="16" t="str">
        <f t="shared" si="44"/>
        <v>Premium</v>
      </c>
      <c r="T175" s="18" t="str">
        <f t="shared" ca="1" si="37"/>
        <v>High Value</v>
      </c>
      <c r="U175" s="18" t="str">
        <f>IFERROR(INDEX(tblTransactions[ProductCategory],MATCH(A175,tblTransactions[CustomerID],0)),"N/A")</f>
        <v>Grocery</v>
      </c>
    </row>
    <row r="176" spans="1:21" ht="15" customHeight="1" x14ac:dyDescent="0.3">
      <c r="A176" s="19" t="str">
        <f>IFERROR(tblClean[[#This Row],[CustomerID]],"")</f>
        <v>C0174</v>
      </c>
      <c r="B176" s="19" t="str">
        <f>IFERROR(tblClean[[#This Row],[Name (Cleaned)]],"")</f>
        <v>Meena Jain</v>
      </c>
      <c r="C176" s="19" t="str">
        <f>IFERROR(tblClean[[#This Row],[City/Region (Cleaned)]],"")</f>
        <v>Indore</v>
      </c>
      <c r="D176" s="19" t="str">
        <f>IFERROR(tblClean[[#This Row],[CustomerType]],"")</f>
        <v>New</v>
      </c>
      <c r="E176" s="19" t="str">
        <f>IFERROR(tblClean[[#This Row],[EngagementLevel]],"")</f>
        <v>Low</v>
      </c>
      <c r="F176" s="23">
        <f ca="1">IFERROR(TODAY()-'Raw Data'!M176,999)</f>
        <v>337</v>
      </c>
      <c r="G176" s="23">
        <f>IFERROR(COUNTIFS(tblTransactions[CustomerID],A176),0)</f>
        <v>7</v>
      </c>
      <c r="H176" s="23">
        <f>IFERROR(SUMIFS(tblTransactions[Amount (INR)],tblTransactions[CustomerID],A176),0)</f>
        <v>119976</v>
      </c>
      <c r="I176" s="19">
        <f t="shared" ca="1" si="38"/>
        <v>1</v>
      </c>
      <c r="J176" s="19">
        <f t="shared" si="39"/>
        <v>4</v>
      </c>
      <c r="K176" s="19">
        <f t="shared" si="40"/>
        <v>5</v>
      </c>
      <c r="L176" s="19" t="str">
        <f t="shared" ca="1" si="41"/>
        <v>145</v>
      </c>
      <c r="M176" s="19">
        <f>IFERROR(INDEX('Raw Data'!$X$3:$X$202,MATCH(A176,'Raw Data'!$W$3:$W$202,0)),"")</f>
        <v>5</v>
      </c>
      <c r="N176" s="19">
        <f>IFERROR(INDEX('Raw Data'!$Z$3:$Z$202,MATCH(A176,'Raw Data'!$W$3:$W$202,0)),"")</f>
        <v>9</v>
      </c>
      <c r="O176" s="19">
        <f t="shared" si="42"/>
        <v>4.75</v>
      </c>
      <c r="P176" s="19" t="str">
        <f>IFERROR(tblClean[[#This Row],[AgeGroup]],"")</f>
        <v>40-54</v>
      </c>
      <c r="Q176" s="19" t="str">
        <f>IFERROR(tblClean[[#This Row],[IncomeBracket]],"")</f>
        <v>High</v>
      </c>
      <c r="R176" s="19" t="str">
        <f t="shared" si="43"/>
        <v>LOW</v>
      </c>
      <c r="S176" s="19" t="str">
        <f t="shared" si="44"/>
        <v>Premium</v>
      </c>
      <c r="T176" s="18" t="str">
        <f t="shared" ca="1" si="37"/>
        <v>Loyal</v>
      </c>
      <c r="U176" s="18" t="str">
        <f>IFERROR(INDEX(tblTransactions[ProductCategory],MATCH(A176,tblTransactions[CustomerID],0)),"N/A")</f>
        <v>Fashion</v>
      </c>
    </row>
    <row r="177" spans="1:21" ht="15" customHeight="1" x14ac:dyDescent="0.3">
      <c r="A177" s="16" t="str">
        <f>IFERROR(tblClean[[#This Row],[CustomerID]],"")</f>
        <v>C0175</v>
      </c>
      <c r="B177" s="16" t="str">
        <f>IFERROR(tblClean[[#This Row],[Name (Cleaned)]],"")</f>
        <v>Rekha Rao</v>
      </c>
      <c r="C177" s="16" t="str">
        <f>IFERROR(tblClean[[#This Row],[City/Region (Cleaned)]],"")</f>
        <v>Chennai</v>
      </c>
      <c r="D177" s="16" t="str">
        <f>IFERROR(tblClean[[#This Row],[CustomerType]],"")</f>
        <v>Returning</v>
      </c>
      <c r="E177" s="16" t="str">
        <f>IFERROR(tblClean[[#This Row],[EngagementLevel]],"")</f>
        <v>Medium</v>
      </c>
      <c r="F177" s="22">
        <f ca="1">IFERROR(TODAY()-'Raw Data'!M177,999)</f>
        <v>373</v>
      </c>
      <c r="G177" s="22">
        <f>IFERROR(COUNTIFS(tblTransactions[CustomerID],A177),0)</f>
        <v>7</v>
      </c>
      <c r="H177" s="22">
        <f>IFERROR(SUMIFS(tblTransactions[Amount (INR)],tblTransactions[CustomerID],A177),0)</f>
        <v>95222</v>
      </c>
      <c r="I177" s="16">
        <f t="shared" ca="1" si="38"/>
        <v>1</v>
      </c>
      <c r="J177" s="16">
        <f t="shared" si="39"/>
        <v>4</v>
      </c>
      <c r="K177" s="16">
        <f t="shared" si="40"/>
        <v>5</v>
      </c>
      <c r="L177" s="16" t="str">
        <f t="shared" ca="1" si="41"/>
        <v>145</v>
      </c>
      <c r="M177" s="16">
        <f>IFERROR(INDEX('Raw Data'!$X$3:$X$202,MATCH(A177,'Raw Data'!$W$3:$W$202,0)),"")</f>
        <v>4</v>
      </c>
      <c r="N177" s="16">
        <f>IFERROR(INDEX('Raw Data'!$Z$3:$Z$202,MATCH(A177,'Raw Data'!$W$3:$W$202,0)),"")</f>
        <v>1</v>
      </c>
      <c r="O177" s="16">
        <f t="shared" si="42"/>
        <v>2.25</v>
      </c>
      <c r="P177" s="16" t="str">
        <f>IFERROR(tblClean[[#This Row],[AgeGroup]],"")</f>
        <v>55+</v>
      </c>
      <c r="Q177" s="16" t="str">
        <f>IFERROR(tblClean[[#This Row],[IncomeBracket]],"")</f>
        <v>High</v>
      </c>
      <c r="R177" s="16" t="str">
        <f t="shared" si="43"/>
        <v>MED</v>
      </c>
      <c r="S177" s="16" t="str">
        <f t="shared" si="44"/>
        <v>Premium</v>
      </c>
      <c r="T177" s="18" t="str">
        <f t="shared" ca="1" si="37"/>
        <v>High Value</v>
      </c>
      <c r="U177" s="18" t="str">
        <f>IFERROR(INDEX(tblTransactions[ProductCategory],MATCH(A177,tblTransactions[CustomerID],0)),"N/A")</f>
        <v>Fashion</v>
      </c>
    </row>
    <row r="178" spans="1:21" ht="15" customHeight="1" x14ac:dyDescent="0.3">
      <c r="A178" s="19" t="str">
        <f>IFERROR(tblClean[[#This Row],[CustomerID]],"")</f>
        <v>C0176</v>
      </c>
      <c r="B178" s="19" t="str">
        <f>IFERROR(tblClean[[#This Row],[Name (Cleaned)]],"")</f>
        <v>Ajay Jain</v>
      </c>
      <c r="C178" s="19" t="str">
        <f>IFERROR(tblClean[[#This Row],[City/Region (Cleaned)]],"")</f>
        <v>Nagpur</v>
      </c>
      <c r="D178" s="19" t="str">
        <f>IFERROR(tblClean[[#This Row],[CustomerType]],"")</f>
        <v>Returning</v>
      </c>
      <c r="E178" s="19" t="str">
        <f>IFERROR(tblClean[[#This Row],[EngagementLevel]],"")</f>
        <v>Medium</v>
      </c>
      <c r="F178" s="23">
        <f ca="1">IFERROR(TODAY()-'Raw Data'!M178,999)</f>
        <v>276</v>
      </c>
      <c r="G178" s="23">
        <f>IFERROR(COUNTIFS(tblTransactions[CustomerID],A178),0)</f>
        <v>5</v>
      </c>
      <c r="H178" s="23">
        <f>IFERROR(SUMIFS(tblTransactions[Amount (INR)],tblTransactions[CustomerID],A178),0)</f>
        <v>88212</v>
      </c>
      <c r="I178" s="19">
        <f t="shared" ca="1" si="38"/>
        <v>1</v>
      </c>
      <c r="J178" s="19">
        <f t="shared" si="39"/>
        <v>3</v>
      </c>
      <c r="K178" s="19">
        <f t="shared" si="40"/>
        <v>5</v>
      </c>
      <c r="L178" s="19" t="str">
        <f t="shared" ca="1" si="41"/>
        <v>135</v>
      </c>
      <c r="M178" s="19">
        <f>IFERROR(INDEX('Raw Data'!$X$3:$X$202,MATCH(A178,'Raw Data'!$W$3:$W$202,0)),"")</f>
        <v>3</v>
      </c>
      <c r="N178" s="19">
        <f>IFERROR(INDEX('Raw Data'!$Z$3:$Z$202,MATCH(A178,'Raw Data'!$W$3:$W$202,0)),"")</f>
        <v>7</v>
      </c>
      <c r="O178" s="19">
        <f t="shared" si="42"/>
        <v>3.25</v>
      </c>
      <c r="P178" s="19" t="str">
        <f>IFERROR(tblClean[[#This Row],[AgeGroup]],"")</f>
        <v>25-39</v>
      </c>
      <c r="Q178" s="19" t="str">
        <f>IFERROR(tblClean[[#This Row],[IncomeBracket]],"")</f>
        <v>High</v>
      </c>
      <c r="R178" s="19" t="str">
        <f t="shared" si="43"/>
        <v>MED</v>
      </c>
      <c r="S178" s="19" t="str">
        <f t="shared" si="44"/>
        <v>Premium</v>
      </c>
      <c r="T178" s="18" t="str">
        <f t="shared" ca="1" si="37"/>
        <v>High Value</v>
      </c>
      <c r="U178" s="18" t="str">
        <f>IFERROR(INDEX(tblTransactions[ProductCategory],MATCH(A178,tblTransactions[CustomerID],0)),"N/A")</f>
        <v>Fashion</v>
      </c>
    </row>
    <row r="179" spans="1:21" ht="15" customHeight="1" x14ac:dyDescent="0.3">
      <c r="A179" s="16" t="str">
        <f>IFERROR(tblClean[[#This Row],[CustomerID]],"")</f>
        <v>C0177</v>
      </c>
      <c r="B179" s="16" t="str">
        <f>IFERROR(tblClean[[#This Row],[Name (Cleaned)]],"")</f>
        <v>Lakshmi Pillai</v>
      </c>
      <c r="C179" s="16" t="str">
        <f>IFERROR(tblClean[[#This Row],[City/Region (Cleaned)]],"")</f>
        <v>Lucknow</v>
      </c>
      <c r="D179" s="16" t="str">
        <f>IFERROR(tblClean[[#This Row],[CustomerType]],"")</f>
        <v>Returning</v>
      </c>
      <c r="E179" s="16" t="str">
        <f>IFERROR(tblClean[[#This Row],[EngagementLevel]],"")</f>
        <v>Low</v>
      </c>
      <c r="F179" s="22">
        <f ca="1">IFERROR(TODAY()-'Raw Data'!M179,999)</f>
        <v>26</v>
      </c>
      <c r="G179" s="22">
        <f>IFERROR(COUNTIFS(tblTransactions[CustomerID],A179),0)</f>
        <v>10</v>
      </c>
      <c r="H179" s="22">
        <f>IFERROR(SUMIFS(tblTransactions[Amount (INR)],tblTransactions[CustomerID],A179),0)</f>
        <v>139345</v>
      </c>
      <c r="I179" s="16">
        <f t="shared" ca="1" si="38"/>
        <v>5</v>
      </c>
      <c r="J179" s="16">
        <f t="shared" si="39"/>
        <v>5</v>
      </c>
      <c r="K179" s="16">
        <f t="shared" si="40"/>
        <v>5</v>
      </c>
      <c r="L179" s="16" t="str">
        <f t="shared" ca="1" si="41"/>
        <v>555</v>
      </c>
      <c r="M179" s="16">
        <f>IFERROR(INDEX('Raw Data'!$X$3:$X$202,MATCH(A179,'Raw Data'!$W$3:$W$202,0)),"")</f>
        <v>2</v>
      </c>
      <c r="N179" s="16">
        <f>IFERROR(INDEX('Raw Data'!$Z$3:$Z$202,MATCH(A179,'Raw Data'!$W$3:$W$202,0)),"")</f>
        <v>2</v>
      </c>
      <c r="O179" s="16">
        <f t="shared" si="42"/>
        <v>1.5</v>
      </c>
      <c r="P179" s="16" t="str">
        <f>IFERROR(tblClean[[#This Row],[AgeGroup]],"")</f>
        <v>55+</v>
      </c>
      <c r="Q179" s="16" t="str">
        <f>IFERROR(tblClean[[#This Row],[IncomeBracket]],"")</f>
        <v>High</v>
      </c>
      <c r="R179" s="16" t="str">
        <f t="shared" si="43"/>
        <v>LOW</v>
      </c>
      <c r="S179" s="16" t="str">
        <f t="shared" si="44"/>
        <v>Premium</v>
      </c>
      <c r="T179" s="18" t="str">
        <f t="shared" ca="1" si="37"/>
        <v>Loyal</v>
      </c>
      <c r="U179" s="18" t="str">
        <f>IFERROR(INDEX(tblTransactions[ProductCategory],MATCH(A179,tblTransactions[CustomerID],0)),"N/A")</f>
        <v>Electronics</v>
      </c>
    </row>
    <row r="180" spans="1:21" ht="15" customHeight="1" x14ac:dyDescent="0.3">
      <c r="A180" s="19" t="str">
        <f>IFERROR(tblClean[[#This Row],[CustomerID]],"")</f>
        <v>C0178</v>
      </c>
      <c r="B180" s="19" t="str">
        <f>IFERROR(tblClean[[#This Row],[Name (Cleaned)]],"")</f>
        <v>Divya Jain</v>
      </c>
      <c r="C180" s="19" t="str">
        <f>IFERROR(tblClean[[#This Row],[City/Region (Cleaned)]],"")</f>
        <v>Ahmedabad</v>
      </c>
      <c r="D180" s="19" t="str">
        <f>IFERROR(tblClean[[#This Row],[CustomerType]],"")</f>
        <v>Returning</v>
      </c>
      <c r="E180" s="19" t="str">
        <f>IFERROR(tblClean[[#This Row],[EngagementLevel]],"")</f>
        <v>High</v>
      </c>
      <c r="F180" s="23">
        <f ca="1">IFERROR(TODAY()-'Raw Data'!M180,999)</f>
        <v>40</v>
      </c>
      <c r="G180" s="23">
        <f>IFERROR(COUNTIFS(tblTransactions[CustomerID],A180),0)</f>
        <v>9</v>
      </c>
      <c r="H180" s="23">
        <f>IFERROR(SUMIFS(tblTransactions[Amount (INR)],tblTransactions[CustomerID],A180),0)</f>
        <v>94625</v>
      </c>
      <c r="I180" s="19">
        <f t="shared" ca="1" si="38"/>
        <v>4</v>
      </c>
      <c r="J180" s="19">
        <f t="shared" si="39"/>
        <v>5</v>
      </c>
      <c r="K180" s="19">
        <f t="shared" si="40"/>
        <v>5</v>
      </c>
      <c r="L180" s="19" t="str">
        <f t="shared" ca="1" si="41"/>
        <v>455</v>
      </c>
      <c r="M180" s="19">
        <f>IFERROR(INDEX('Raw Data'!$X$3:$X$202,MATCH(A180,'Raw Data'!$W$3:$W$202,0)),"")</f>
        <v>2</v>
      </c>
      <c r="N180" s="19">
        <f>IFERROR(INDEX('Raw Data'!$Z$3:$Z$202,MATCH(A180,'Raw Data'!$W$3:$W$202,0)),"")</f>
        <v>2</v>
      </c>
      <c r="O180" s="19">
        <f t="shared" si="42"/>
        <v>1.5</v>
      </c>
      <c r="P180" s="19" t="str">
        <f>IFERROR(tblClean[[#This Row],[AgeGroup]],"")</f>
        <v>40-54</v>
      </c>
      <c r="Q180" s="19" t="str">
        <f>IFERROR(tblClean[[#This Row],[IncomeBracket]],"")</f>
        <v>High</v>
      </c>
      <c r="R180" s="19" t="str">
        <f t="shared" si="43"/>
        <v>HIGH</v>
      </c>
      <c r="S180" s="19" t="str">
        <f t="shared" si="44"/>
        <v>Premium</v>
      </c>
      <c r="T180" s="18" t="str">
        <f t="shared" ca="1" si="37"/>
        <v>High Value</v>
      </c>
      <c r="U180" s="18" t="str">
        <f>IFERROR(INDEX(tblTransactions[ProductCategory],MATCH(A180,tblTransactions[CustomerID],0)),"N/A")</f>
        <v>Fashion</v>
      </c>
    </row>
    <row r="181" spans="1:21" ht="15" customHeight="1" x14ac:dyDescent="0.3">
      <c r="A181" s="16" t="str">
        <f>IFERROR(tblClean[[#This Row],[CustomerID]],"")</f>
        <v>C0179</v>
      </c>
      <c r="B181" s="16" t="str">
        <f>IFERROR(tblClean[[#This Row],[Name (Cleaned)]],"")</f>
        <v>Suresh Patel</v>
      </c>
      <c r="C181" s="16" t="str">
        <f>IFERROR(tblClean[[#This Row],[City/Region (Cleaned)]],"")</f>
        <v>Nagpur</v>
      </c>
      <c r="D181" s="16" t="str">
        <f>IFERROR(tblClean[[#This Row],[CustomerType]],"")</f>
        <v>New</v>
      </c>
      <c r="E181" s="16" t="str">
        <f>IFERROR(tblClean[[#This Row],[EngagementLevel]],"")</f>
        <v>Medium</v>
      </c>
      <c r="F181" s="22">
        <f ca="1">IFERROR(TODAY()-'Raw Data'!M181,999)</f>
        <v>165</v>
      </c>
      <c r="G181" s="22">
        <f>IFERROR(COUNTIFS(tblTransactions[CustomerID],A181),0)</f>
        <v>4</v>
      </c>
      <c r="H181" s="22">
        <f>IFERROR(SUMIFS(tblTransactions[Amount (INR)],tblTransactions[CustomerID],A181),0)</f>
        <v>69259</v>
      </c>
      <c r="I181" s="16">
        <f t="shared" ca="1" si="38"/>
        <v>2</v>
      </c>
      <c r="J181" s="16">
        <f t="shared" si="39"/>
        <v>3</v>
      </c>
      <c r="K181" s="16">
        <f t="shared" si="40"/>
        <v>5</v>
      </c>
      <c r="L181" s="16" t="str">
        <f t="shared" ca="1" si="41"/>
        <v>235</v>
      </c>
      <c r="M181" s="16">
        <f>IFERROR(INDEX('Raw Data'!$X$3:$X$202,MATCH(A181,'Raw Data'!$W$3:$W$202,0)),"")</f>
        <v>1</v>
      </c>
      <c r="N181" s="16">
        <f>IFERROR(INDEX('Raw Data'!$Z$3:$Z$202,MATCH(A181,'Raw Data'!$W$3:$W$202,0)),"")</f>
        <v>6</v>
      </c>
      <c r="O181" s="16">
        <f t="shared" si="42"/>
        <v>2</v>
      </c>
      <c r="P181" s="16" t="str">
        <f>IFERROR(tblClean[[#This Row],[AgeGroup]],"")</f>
        <v>40-54</v>
      </c>
      <c r="Q181" s="16" t="str">
        <f>IFERROR(tblClean[[#This Row],[IncomeBracket]],"")</f>
        <v>Mid</v>
      </c>
      <c r="R181" s="16" t="str">
        <f t="shared" si="43"/>
        <v>MED</v>
      </c>
      <c r="S181" s="16" t="str">
        <f t="shared" si="44"/>
        <v>Premium</v>
      </c>
      <c r="T181" s="18" t="str">
        <f t="shared" ca="1" si="37"/>
        <v>High Value</v>
      </c>
      <c r="U181" s="18" t="str">
        <f>IFERROR(INDEX(tblTransactions[ProductCategory],MATCH(A181,tblTransactions[CustomerID],0)),"N/A")</f>
        <v>Grocery</v>
      </c>
    </row>
    <row r="182" spans="1:21" ht="15" customHeight="1" x14ac:dyDescent="0.3">
      <c r="A182" s="19" t="str">
        <f>IFERROR(tblClean[[#This Row],[CustomerID]],"")</f>
        <v>C0180</v>
      </c>
      <c r="B182" s="19" t="str">
        <f>IFERROR(tblClean[[#This Row],[Name (Cleaned)]],"")</f>
        <v>Lakshmi Verma</v>
      </c>
      <c r="C182" s="19" t="str">
        <f>IFERROR(tblClean[[#This Row],[City/Region (Cleaned)]],"")</f>
        <v>Bhubaneswar</v>
      </c>
      <c r="D182" s="19" t="str">
        <f>IFERROR(tblClean[[#This Row],[CustomerType]],"")</f>
        <v>Returning</v>
      </c>
      <c r="E182" s="19" t="str">
        <f>IFERROR(tblClean[[#This Row],[EngagementLevel]],"")</f>
        <v>Medium</v>
      </c>
      <c r="F182" s="23">
        <f ca="1">IFERROR(TODAY()-'Raw Data'!M182,999)</f>
        <v>204</v>
      </c>
      <c r="G182" s="23">
        <f>IFERROR(COUNTIFS(tblTransactions[CustomerID],A182),0)</f>
        <v>8</v>
      </c>
      <c r="H182" s="23">
        <f>IFERROR(SUMIFS(tblTransactions[Amount (INR)],tblTransactions[CustomerID],A182),0)</f>
        <v>87033</v>
      </c>
      <c r="I182" s="19">
        <f t="shared" ca="1" si="38"/>
        <v>1</v>
      </c>
      <c r="J182" s="19">
        <f t="shared" si="39"/>
        <v>5</v>
      </c>
      <c r="K182" s="19">
        <f t="shared" si="40"/>
        <v>5</v>
      </c>
      <c r="L182" s="19" t="str">
        <f t="shared" ca="1" si="41"/>
        <v>155</v>
      </c>
      <c r="M182" s="19">
        <f>IFERROR(INDEX('Raw Data'!$X$3:$X$202,MATCH(A182,'Raw Data'!$W$3:$W$202,0)),"")</f>
        <v>3</v>
      </c>
      <c r="N182" s="19">
        <f>IFERROR(INDEX('Raw Data'!$Z$3:$Z$202,MATCH(A182,'Raw Data'!$W$3:$W$202,0)),"")</f>
        <v>3</v>
      </c>
      <c r="O182" s="19">
        <f t="shared" si="42"/>
        <v>2.25</v>
      </c>
      <c r="P182" s="19" t="str">
        <f>IFERROR(tblClean[[#This Row],[AgeGroup]],"")</f>
        <v>55+</v>
      </c>
      <c r="Q182" s="19" t="str">
        <f>IFERROR(tblClean[[#This Row],[IncomeBracket]],"")</f>
        <v>High</v>
      </c>
      <c r="R182" s="19" t="str">
        <f t="shared" si="43"/>
        <v>MED</v>
      </c>
      <c r="S182" s="19" t="str">
        <f t="shared" si="44"/>
        <v>Premium</v>
      </c>
      <c r="T182" s="18" t="str">
        <f t="shared" ca="1" si="37"/>
        <v>High Value</v>
      </c>
      <c r="U182" s="18" t="str">
        <f>IFERROR(INDEX(tblTransactions[ProductCategory],MATCH(A182,tblTransactions[CustomerID],0)),"N/A")</f>
        <v>Grocery</v>
      </c>
    </row>
    <row r="183" spans="1:21" ht="15" customHeight="1" x14ac:dyDescent="0.3">
      <c r="A183" s="16" t="str">
        <f>IFERROR(tblClean[[#This Row],[CustomerID]],"")</f>
        <v>C0181</v>
      </c>
      <c r="B183" s="16" t="str">
        <f>IFERROR(tblClean[[#This Row],[Name (Cleaned)]],"")</f>
        <v>Manoj Gupta</v>
      </c>
      <c r="C183" s="16" t="str">
        <f>IFERROR(tblClean[[#This Row],[City/Region (Cleaned)]],"")</f>
        <v>Bhopal</v>
      </c>
      <c r="D183" s="16" t="str">
        <f>IFERROR(tblClean[[#This Row],[CustomerType]],"")</f>
        <v>New</v>
      </c>
      <c r="E183" s="16" t="str">
        <f>IFERROR(tblClean[[#This Row],[EngagementLevel]],"")</f>
        <v>Medium</v>
      </c>
      <c r="F183" s="22">
        <f ca="1">IFERROR(TODAY()-'Raw Data'!M183,999)</f>
        <v>314</v>
      </c>
      <c r="G183" s="22">
        <f>IFERROR(COUNTIFS(tblTransactions[CustomerID],A183),0)</f>
        <v>3</v>
      </c>
      <c r="H183" s="22">
        <f>IFERROR(SUMIFS(tblTransactions[Amount (INR)],tblTransactions[CustomerID],A183),0)</f>
        <v>41899</v>
      </c>
      <c r="I183" s="16">
        <f t="shared" ca="1" si="38"/>
        <v>1</v>
      </c>
      <c r="J183" s="16">
        <f t="shared" si="39"/>
        <v>2</v>
      </c>
      <c r="K183" s="16">
        <f t="shared" si="40"/>
        <v>4</v>
      </c>
      <c r="L183" s="16" t="str">
        <f t="shared" ca="1" si="41"/>
        <v>124</v>
      </c>
      <c r="M183" s="16">
        <f>IFERROR(INDEX('Raw Data'!$X$3:$X$202,MATCH(A183,'Raw Data'!$W$3:$W$202,0)),"")</f>
        <v>4</v>
      </c>
      <c r="N183" s="16">
        <f>IFERROR(INDEX('Raw Data'!$Z$3:$Z$202,MATCH(A183,'Raw Data'!$W$3:$W$202,0)),"")</f>
        <v>3</v>
      </c>
      <c r="O183" s="16">
        <f t="shared" si="42"/>
        <v>2.75</v>
      </c>
      <c r="P183" s="16" t="str">
        <f>IFERROR(tblClean[[#This Row],[AgeGroup]],"")</f>
        <v>55+</v>
      </c>
      <c r="Q183" s="16" t="str">
        <f>IFERROR(tblClean[[#This Row],[IncomeBracket]],"")</f>
        <v>High</v>
      </c>
      <c r="R183" s="16" t="str">
        <f t="shared" si="43"/>
        <v>MED</v>
      </c>
      <c r="S183" s="16" t="str">
        <f t="shared" si="44"/>
        <v>Standard</v>
      </c>
      <c r="T183" s="18" t="str">
        <f t="shared" ca="1" si="37"/>
        <v>General</v>
      </c>
      <c r="U183" s="18" t="str">
        <f>IFERROR(INDEX(tblTransactions[ProductCategory],MATCH(A183,tblTransactions[CustomerID],0)),"N/A")</f>
        <v>Grocery</v>
      </c>
    </row>
    <row r="184" spans="1:21" ht="15" customHeight="1" x14ac:dyDescent="0.3">
      <c r="A184" s="19" t="str">
        <f>IFERROR(tblClean[[#This Row],[CustomerID]],"")</f>
        <v>C0182</v>
      </c>
      <c r="B184" s="19" t="str">
        <f>IFERROR(tblClean[[#This Row],[Name (Cleaned)]],"")</f>
        <v>Rekha Nair</v>
      </c>
      <c r="C184" s="19" t="str">
        <f>IFERROR(tblClean[[#This Row],[City/Region (Cleaned)]],"")</f>
        <v>Indore</v>
      </c>
      <c r="D184" s="19" t="str">
        <f>IFERROR(tblClean[[#This Row],[CustomerType]],"")</f>
        <v>New</v>
      </c>
      <c r="E184" s="19" t="str">
        <f>IFERROR(tblClean[[#This Row],[EngagementLevel]],"")</f>
        <v>High</v>
      </c>
      <c r="F184" s="23">
        <f ca="1">IFERROR(TODAY()-'Raw Data'!M184,999)</f>
        <v>210</v>
      </c>
      <c r="G184" s="23">
        <f>IFERROR(COUNTIFS(tblTransactions[CustomerID],A184),0)</f>
        <v>10</v>
      </c>
      <c r="H184" s="23">
        <f>IFERROR(SUMIFS(tblTransactions[Amount (INR)],tblTransactions[CustomerID],A184),0)</f>
        <v>132355</v>
      </c>
      <c r="I184" s="19">
        <f t="shared" ca="1" si="38"/>
        <v>1</v>
      </c>
      <c r="J184" s="19">
        <f t="shared" si="39"/>
        <v>5</v>
      </c>
      <c r="K184" s="19">
        <f t="shared" si="40"/>
        <v>5</v>
      </c>
      <c r="L184" s="19" t="str">
        <f t="shared" ca="1" si="41"/>
        <v>155</v>
      </c>
      <c r="M184" s="19">
        <f>IFERROR(INDEX('Raw Data'!$X$3:$X$202,MATCH(A184,'Raw Data'!$W$3:$W$202,0)),"")</f>
        <v>1</v>
      </c>
      <c r="N184" s="19">
        <f>IFERROR(INDEX('Raw Data'!$Z$3:$Z$202,MATCH(A184,'Raw Data'!$W$3:$W$202,0)),"")</f>
        <v>10</v>
      </c>
      <c r="O184" s="19">
        <f t="shared" si="42"/>
        <v>3</v>
      </c>
      <c r="P184" s="19" t="str">
        <f>IFERROR(tblClean[[#This Row],[AgeGroup]],"")</f>
        <v>55+</v>
      </c>
      <c r="Q184" s="19" t="str">
        <f>IFERROR(tblClean[[#This Row],[IncomeBracket]],"")</f>
        <v>Mid</v>
      </c>
      <c r="R184" s="19" t="str">
        <f t="shared" si="43"/>
        <v>HIGH</v>
      </c>
      <c r="S184" s="19" t="str">
        <f t="shared" si="44"/>
        <v>Premium</v>
      </c>
      <c r="T184" s="18" t="str">
        <f t="shared" ca="1" si="37"/>
        <v>High Value</v>
      </c>
      <c r="U184" s="18" t="str">
        <f>IFERROR(INDEX(tblTransactions[ProductCategory],MATCH(A184,tblTransactions[CustomerID],0)),"N/A")</f>
        <v>Home Decor</v>
      </c>
    </row>
    <row r="185" spans="1:21" ht="15" customHeight="1" x14ac:dyDescent="0.3">
      <c r="A185" s="16" t="str">
        <f>IFERROR(tblClean[[#This Row],[CustomerID]],"")</f>
        <v>C0183</v>
      </c>
      <c r="B185" s="16" t="str">
        <f>IFERROR(tblClean[[#This Row],[Name (Cleaned)]],"")</f>
        <v>Kavya Mishra</v>
      </c>
      <c r="C185" s="16" t="str">
        <f>IFERROR(tblClean[[#This Row],[City/Region (Cleaned)]],"")</f>
        <v>Surat</v>
      </c>
      <c r="D185" s="16" t="str">
        <f>IFERROR(tblClean[[#This Row],[CustomerType]],"")</f>
        <v>Returning</v>
      </c>
      <c r="E185" s="16" t="str">
        <f>IFERROR(tblClean[[#This Row],[EngagementLevel]],"")</f>
        <v>Medium</v>
      </c>
      <c r="F185" s="22">
        <f ca="1">IFERROR(TODAY()-'Raw Data'!M185,999)</f>
        <v>328</v>
      </c>
      <c r="G185" s="22">
        <f>IFERROR(COUNTIFS(tblTransactions[CustomerID],A185),0)</f>
        <v>6</v>
      </c>
      <c r="H185" s="22">
        <f>IFERROR(SUMIFS(tblTransactions[Amount (INR)],tblTransactions[CustomerID],A185),0)</f>
        <v>100465</v>
      </c>
      <c r="I185" s="16">
        <f t="shared" ca="1" si="38"/>
        <v>1</v>
      </c>
      <c r="J185" s="16">
        <f t="shared" si="39"/>
        <v>4</v>
      </c>
      <c r="K185" s="16">
        <f t="shared" si="40"/>
        <v>5</v>
      </c>
      <c r="L185" s="16" t="str">
        <f t="shared" ca="1" si="41"/>
        <v>145</v>
      </c>
      <c r="M185" s="16">
        <f>IFERROR(INDEX('Raw Data'!$X$3:$X$202,MATCH(A185,'Raw Data'!$W$3:$W$202,0)),"")</f>
        <v>2</v>
      </c>
      <c r="N185" s="16">
        <f>IFERROR(INDEX('Raw Data'!$Z$3:$Z$202,MATCH(A185,'Raw Data'!$W$3:$W$202,0)),"")</f>
        <v>6</v>
      </c>
      <c r="O185" s="16">
        <f t="shared" si="42"/>
        <v>2.5</v>
      </c>
      <c r="P185" s="16" t="str">
        <f>IFERROR(tblClean[[#This Row],[AgeGroup]],"")</f>
        <v>40-54</v>
      </c>
      <c r="Q185" s="16" t="str">
        <f>IFERROR(tblClean[[#This Row],[IncomeBracket]],"")</f>
        <v>Mid</v>
      </c>
      <c r="R185" s="16" t="str">
        <f t="shared" si="43"/>
        <v>MED</v>
      </c>
      <c r="S185" s="16" t="str">
        <f t="shared" si="44"/>
        <v>Premium</v>
      </c>
      <c r="T185" s="18" t="str">
        <f t="shared" ca="1" si="37"/>
        <v>High Value</v>
      </c>
      <c r="U185" s="18" t="str">
        <f>IFERROR(INDEX(tblTransactions[ProductCategory],MATCH(A185,tblTransactions[CustomerID],0)),"N/A")</f>
        <v>Beauty</v>
      </c>
    </row>
    <row r="186" spans="1:21" ht="15" customHeight="1" x14ac:dyDescent="0.3">
      <c r="A186" s="19" t="str">
        <f>IFERROR(tblClean[[#This Row],[CustomerID]],"")</f>
        <v>C0184</v>
      </c>
      <c r="B186" s="19" t="str">
        <f>IFERROR(tblClean[[#This Row],[Name (Cleaned)]],"")</f>
        <v>Meena Joshi</v>
      </c>
      <c r="C186" s="19" t="str">
        <f>IFERROR(tblClean[[#This Row],[City/Region (Cleaned)]],"")</f>
        <v>Chandigarh</v>
      </c>
      <c r="D186" s="19" t="str">
        <f>IFERROR(tblClean[[#This Row],[CustomerType]],"")</f>
        <v>Returning</v>
      </c>
      <c r="E186" s="19" t="str">
        <f>IFERROR(tblClean[[#This Row],[EngagementLevel]],"")</f>
        <v>High</v>
      </c>
      <c r="F186" s="23">
        <f ca="1">IFERROR(TODAY()-'Raw Data'!M186,999)</f>
        <v>127</v>
      </c>
      <c r="G186" s="23">
        <f>IFERROR(COUNTIFS(tblTransactions[CustomerID],A186),0)</f>
        <v>7</v>
      </c>
      <c r="H186" s="23">
        <f>IFERROR(SUMIFS(tblTransactions[Amount (INR)],tblTransactions[CustomerID],A186),0)</f>
        <v>72471</v>
      </c>
      <c r="I186" s="19">
        <f t="shared" ca="1" si="38"/>
        <v>2</v>
      </c>
      <c r="J186" s="19">
        <f t="shared" si="39"/>
        <v>4</v>
      </c>
      <c r="K186" s="19">
        <f t="shared" si="40"/>
        <v>5</v>
      </c>
      <c r="L186" s="19" t="str">
        <f t="shared" ca="1" si="41"/>
        <v>245</v>
      </c>
      <c r="M186" s="19">
        <f>IFERROR(INDEX('Raw Data'!$X$3:$X$202,MATCH(A186,'Raw Data'!$W$3:$W$202,0)),"")</f>
        <v>2</v>
      </c>
      <c r="N186" s="19">
        <f>IFERROR(INDEX('Raw Data'!$Z$3:$Z$202,MATCH(A186,'Raw Data'!$W$3:$W$202,0)),"")</f>
        <v>7</v>
      </c>
      <c r="O186" s="19">
        <f t="shared" si="42"/>
        <v>2.75</v>
      </c>
      <c r="P186" s="19" t="str">
        <f>IFERROR(tblClean[[#This Row],[AgeGroup]],"")</f>
        <v>55+</v>
      </c>
      <c r="Q186" s="19" t="str">
        <f>IFERROR(tblClean[[#This Row],[IncomeBracket]],"")</f>
        <v>High</v>
      </c>
      <c r="R186" s="19" t="str">
        <f t="shared" si="43"/>
        <v>HIGH</v>
      </c>
      <c r="S186" s="19" t="str">
        <f t="shared" si="44"/>
        <v>Premium</v>
      </c>
      <c r="T186" s="18" t="str">
        <f t="shared" ca="1" si="37"/>
        <v>High Value</v>
      </c>
      <c r="U186" s="18" t="str">
        <f>IFERROR(INDEX(tblTransactions[ProductCategory],MATCH(A186,tblTransactions[CustomerID],0)),"N/A")</f>
        <v>Sports</v>
      </c>
    </row>
    <row r="187" spans="1:21" ht="15" customHeight="1" x14ac:dyDescent="0.3">
      <c r="A187" s="16" t="str">
        <f>IFERROR(tblClean[[#This Row],[CustomerID]],"")</f>
        <v>C0185</v>
      </c>
      <c r="B187" s="16" t="str">
        <f>IFERROR(tblClean[[#This Row],[Name (Cleaned)]],"")</f>
        <v>Priya Joshi</v>
      </c>
      <c r="C187" s="16" t="str">
        <f>IFERROR(tblClean[[#This Row],[City/Region (Cleaned)]],"")</f>
        <v>Nagpur</v>
      </c>
      <c r="D187" s="16" t="str">
        <f>IFERROR(tblClean[[#This Row],[CustomerType]],"")</f>
        <v>Returning</v>
      </c>
      <c r="E187" s="16" t="str">
        <f>IFERROR(tblClean[[#This Row],[EngagementLevel]],"")</f>
        <v>High</v>
      </c>
      <c r="F187" s="22">
        <f ca="1">IFERROR(TODAY()-'Raw Data'!M187,999)</f>
        <v>194</v>
      </c>
      <c r="G187" s="22">
        <f>IFERROR(COUNTIFS(tblTransactions[CustomerID],A187),0)</f>
        <v>8</v>
      </c>
      <c r="H187" s="22">
        <f>IFERROR(SUMIFS(tblTransactions[Amount (INR)],tblTransactions[CustomerID],A187),0)</f>
        <v>64296</v>
      </c>
      <c r="I187" s="16">
        <f t="shared" ca="1" si="38"/>
        <v>1</v>
      </c>
      <c r="J187" s="16">
        <f t="shared" si="39"/>
        <v>5</v>
      </c>
      <c r="K187" s="16">
        <f t="shared" si="40"/>
        <v>5</v>
      </c>
      <c r="L187" s="16" t="str">
        <f t="shared" ca="1" si="41"/>
        <v>155</v>
      </c>
      <c r="M187" s="16">
        <f>IFERROR(INDEX('Raw Data'!$X$3:$X$202,MATCH(A187,'Raw Data'!$W$3:$W$202,0)),"")</f>
        <v>5</v>
      </c>
      <c r="N187" s="16">
        <f>IFERROR(INDEX('Raw Data'!$Z$3:$Z$202,MATCH(A187,'Raw Data'!$W$3:$W$202,0)),"")</f>
        <v>4</v>
      </c>
      <c r="O187" s="16">
        <f t="shared" si="42"/>
        <v>3.5</v>
      </c>
      <c r="P187" s="16" t="str">
        <f>IFERROR(tblClean[[#This Row],[AgeGroup]],"")</f>
        <v>25-39</v>
      </c>
      <c r="Q187" s="16" t="str">
        <f>IFERROR(tblClean[[#This Row],[IncomeBracket]],"")</f>
        <v>High</v>
      </c>
      <c r="R187" s="16" t="str">
        <f t="shared" si="43"/>
        <v>HIGH</v>
      </c>
      <c r="S187" s="16" t="str">
        <f t="shared" si="44"/>
        <v>Premium</v>
      </c>
      <c r="T187" s="18" t="str">
        <f t="shared" ca="1" si="37"/>
        <v>High Value</v>
      </c>
      <c r="U187" s="18" t="str">
        <f>IFERROR(INDEX(tblTransactions[ProductCategory],MATCH(A187,tblTransactions[CustomerID],0)),"N/A")</f>
        <v>Electronics</v>
      </c>
    </row>
    <row r="188" spans="1:21" ht="15" customHeight="1" x14ac:dyDescent="0.3">
      <c r="A188" s="19" t="str">
        <f>IFERROR(tblClean[[#This Row],[CustomerID]],"")</f>
        <v>C0186</v>
      </c>
      <c r="B188" s="19" t="str">
        <f>IFERROR(tblClean[[#This Row],[Name (Cleaned)]],"")</f>
        <v>Sneha Jain</v>
      </c>
      <c r="C188" s="19" t="str">
        <f>IFERROR(tblClean[[#This Row],[City/Region (Cleaned)]],"")</f>
        <v>Pune</v>
      </c>
      <c r="D188" s="19" t="str">
        <f>IFERROR(tblClean[[#This Row],[CustomerType]],"")</f>
        <v>New</v>
      </c>
      <c r="E188" s="19" t="str">
        <f>IFERROR(tblClean[[#This Row],[EngagementLevel]],"")</f>
        <v>Low</v>
      </c>
      <c r="F188" s="23">
        <f ca="1">IFERROR(TODAY()-'Raw Data'!M188,999)</f>
        <v>272</v>
      </c>
      <c r="G188" s="23">
        <f>IFERROR(COUNTIFS(tblTransactions[CustomerID],A188),0)</f>
        <v>9</v>
      </c>
      <c r="H188" s="23">
        <f>IFERROR(SUMIFS(tblTransactions[Amount (INR)],tblTransactions[CustomerID],A188),0)</f>
        <v>129825</v>
      </c>
      <c r="I188" s="19">
        <f t="shared" ca="1" si="38"/>
        <v>1</v>
      </c>
      <c r="J188" s="19">
        <f t="shared" si="39"/>
        <v>5</v>
      </c>
      <c r="K188" s="19">
        <f t="shared" si="40"/>
        <v>5</v>
      </c>
      <c r="L188" s="19" t="str">
        <f t="shared" ca="1" si="41"/>
        <v>155</v>
      </c>
      <c r="M188" s="19">
        <f>IFERROR(INDEX('Raw Data'!$X$3:$X$202,MATCH(A188,'Raw Data'!$W$3:$W$202,0)),"")</f>
        <v>1</v>
      </c>
      <c r="N188" s="19">
        <f>IFERROR(INDEX('Raw Data'!$Z$3:$Z$202,MATCH(A188,'Raw Data'!$W$3:$W$202,0)),"")</f>
        <v>3</v>
      </c>
      <c r="O188" s="19">
        <f t="shared" si="42"/>
        <v>1.25</v>
      </c>
      <c r="P188" s="19" t="str">
        <f>IFERROR(tblClean[[#This Row],[AgeGroup]],"")</f>
        <v>25-39</v>
      </c>
      <c r="Q188" s="19" t="str">
        <f>IFERROR(tblClean[[#This Row],[IncomeBracket]],"")</f>
        <v>Low</v>
      </c>
      <c r="R188" s="19" t="str">
        <f t="shared" si="43"/>
        <v>LOW</v>
      </c>
      <c r="S188" s="19" t="str">
        <f t="shared" si="44"/>
        <v>Premium</v>
      </c>
      <c r="T188" s="18" t="str">
        <f t="shared" ca="1" si="37"/>
        <v>High Value</v>
      </c>
      <c r="U188" s="18" t="str">
        <f>IFERROR(INDEX(tblTransactions[ProductCategory],MATCH(A188,tblTransactions[CustomerID],0)),"N/A")</f>
        <v>Beauty</v>
      </c>
    </row>
    <row r="189" spans="1:21" ht="15" customHeight="1" x14ac:dyDescent="0.3">
      <c r="A189" s="16" t="str">
        <f>IFERROR(tblClean[[#This Row],[CustomerID]],"")</f>
        <v>C0187</v>
      </c>
      <c r="B189" s="16" t="str">
        <f>IFERROR(tblClean[[#This Row],[Name (Cleaned)]],"")</f>
        <v>Naveen Rao</v>
      </c>
      <c r="C189" s="16" t="str">
        <f>IFERROR(tblClean[[#This Row],[City/Region (Cleaned)]],"")</f>
        <v>Noida</v>
      </c>
      <c r="D189" s="16" t="str">
        <f>IFERROR(tblClean[[#This Row],[CustomerType]],"")</f>
        <v>Returning</v>
      </c>
      <c r="E189" s="16" t="str">
        <f>IFERROR(tblClean[[#This Row],[EngagementLevel]],"")</f>
        <v>Low</v>
      </c>
      <c r="F189" s="22">
        <f ca="1">IFERROR(TODAY()-'Raw Data'!M189,999)</f>
        <v>101</v>
      </c>
      <c r="G189" s="22">
        <f>IFERROR(COUNTIFS(tblTransactions[CustomerID],A189),0)</f>
        <v>6</v>
      </c>
      <c r="H189" s="22">
        <f>IFERROR(SUMIFS(tblTransactions[Amount (INR)],tblTransactions[CustomerID],A189),0)</f>
        <v>79330</v>
      </c>
      <c r="I189" s="16">
        <f t="shared" ca="1" si="38"/>
        <v>2</v>
      </c>
      <c r="J189" s="16">
        <f t="shared" si="39"/>
        <v>4</v>
      </c>
      <c r="K189" s="16">
        <f t="shared" si="40"/>
        <v>5</v>
      </c>
      <c r="L189" s="16" t="str">
        <f t="shared" ca="1" si="41"/>
        <v>245</v>
      </c>
      <c r="M189" s="16">
        <f>IFERROR(INDEX('Raw Data'!$X$3:$X$202,MATCH(A189,'Raw Data'!$W$3:$W$202,0)),"")</f>
        <v>1</v>
      </c>
      <c r="N189" s="16">
        <f>IFERROR(INDEX('Raw Data'!$Z$3:$Z$202,MATCH(A189,'Raw Data'!$W$3:$W$202,0)),"")</f>
        <v>6</v>
      </c>
      <c r="O189" s="16">
        <f t="shared" si="42"/>
        <v>2</v>
      </c>
      <c r="P189" s="16" t="str">
        <f>IFERROR(tblClean[[#This Row],[AgeGroup]],"")</f>
        <v>25-39</v>
      </c>
      <c r="Q189" s="16" t="str">
        <f>IFERROR(tblClean[[#This Row],[IncomeBracket]],"")</f>
        <v>Mid</v>
      </c>
      <c r="R189" s="16" t="str">
        <f t="shared" si="43"/>
        <v>LOW</v>
      </c>
      <c r="S189" s="16" t="str">
        <f t="shared" si="44"/>
        <v>Premium</v>
      </c>
      <c r="T189" s="18" t="str">
        <f t="shared" ca="1" si="37"/>
        <v>High Value</v>
      </c>
      <c r="U189" s="18" t="str">
        <f>IFERROR(INDEX(tblTransactions[ProductCategory],MATCH(A189,tblTransactions[CustomerID],0)),"N/A")</f>
        <v>Beauty</v>
      </c>
    </row>
    <row r="190" spans="1:21" ht="15" customHeight="1" x14ac:dyDescent="0.3">
      <c r="A190" s="19" t="str">
        <f>IFERROR(tblClean[[#This Row],[CustomerID]],"")</f>
        <v>C0188</v>
      </c>
      <c r="B190" s="19" t="str">
        <f>IFERROR(tblClean[[#This Row],[Name (Cleaned)]],"")</f>
        <v>Rahul Singh</v>
      </c>
      <c r="C190" s="19" t="str">
        <f>IFERROR(tblClean[[#This Row],[City/Region (Cleaned)]],"")</f>
        <v>Mumbai</v>
      </c>
      <c r="D190" s="19" t="str">
        <f>IFERROR(tblClean[[#This Row],[CustomerType]],"")</f>
        <v>Returning</v>
      </c>
      <c r="E190" s="19" t="str">
        <f>IFERROR(tblClean[[#This Row],[EngagementLevel]],"")</f>
        <v>Low</v>
      </c>
      <c r="F190" s="23">
        <f ca="1">IFERROR(TODAY()-'Raw Data'!M190,999)</f>
        <v>242</v>
      </c>
      <c r="G190" s="23">
        <f>IFERROR(COUNTIFS(tblTransactions[CustomerID],A190),0)</f>
        <v>3</v>
      </c>
      <c r="H190" s="23">
        <f>IFERROR(SUMIFS(tblTransactions[Amount (INR)],tblTransactions[CustomerID],A190),0)</f>
        <v>25282</v>
      </c>
      <c r="I190" s="19">
        <f t="shared" ca="1" si="38"/>
        <v>1</v>
      </c>
      <c r="J190" s="19">
        <f t="shared" si="39"/>
        <v>2</v>
      </c>
      <c r="K190" s="19">
        <f t="shared" si="40"/>
        <v>3</v>
      </c>
      <c r="L190" s="19" t="str">
        <f t="shared" ca="1" si="41"/>
        <v>123</v>
      </c>
      <c r="M190" s="19">
        <f>IFERROR(INDEX('Raw Data'!$X$3:$X$202,MATCH(A190,'Raw Data'!$W$3:$W$202,0)),"")</f>
        <v>4</v>
      </c>
      <c r="N190" s="19">
        <f>IFERROR(INDEX('Raw Data'!$Z$3:$Z$202,MATCH(A190,'Raw Data'!$W$3:$W$202,0)),"")</f>
        <v>3</v>
      </c>
      <c r="O190" s="19">
        <f t="shared" si="42"/>
        <v>2.75</v>
      </c>
      <c r="P190" s="19" t="str">
        <f>IFERROR(tblClean[[#This Row],[AgeGroup]],"")</f>
        <v>25-39</v>
      </c>
      <c r="Q190" s="19" t="str">
        <f>IFERROR(tblClean[[#This Row],[IncomeBracket]],"")</f>
        <v>High</v>
      </c>
      <c r="R190" s="19" t="str">
        <f t="shared" si="43"/>
        <v>LOW</v>
      </c>
      <c r="S190" s="19" t="str">
        <f t="shared" si="44"/>
        <v>Standard</v>
      </c>
      <c r="T190" s="18" t="str">
        <f t="shared" ca="1" si="37"/>
        <v>General</v>
      </c>
      <c r="U190" s="18" t="str">
        <f>IFERROR(INDEX(tblTransactions[ProductCategory],MATCH(A190,tblTransactions[CustomerID],0)),"N/A")</f>
        <v>Fashion</v>
      </c>
    </row>
    <row r="191" spans="1:21" ht="15" customHeight="1" x14ac:dyDescent="0.3">
      <c r="A191" s="16" t="str">
        <f>IFERROR(tblClean[[#This Row],[CustomerID]],"")</f>
        <v>C0189</v>
      </c>
      <c r="B191" s="16" t="str">
        <f>IFERROR(tblClean[[#This Row],[Name (Cleaned)]],"")</f>
        <v>Rahul Pillai</v>
      </c>
      <c r="C191" s="16" t="str">
        <f>IFERROR(tblClean[[#This Row],[City/Region (Cleaned)]],"")</f>
        <v>Nagpur</v>
      </c>
      <c r="D191" s="16" t="str">
        <f>IFERROR(tblClean[[#This Row],[CustomerType]],"")</f>
        <v>Returning</v>
      </c>
      <c r="E191" s="16" t="str">
        <f>IFERROR(tblClean[[#This Row],[EngagementLevel]],"")</f>
        <v>High</v>
      </c>
      <c r="F191" s="22">
        <f ca="1">IFERROR(TODAY()-'Raw Data'!M191,999)</f>
        <v>63</v>
      </c>
      <c r="G191" s="22">
        <f>IFERROR(COUNTIFS(tblTransactions[CustomerID],A191),0)</f>
        <v>5</v>
      </c>
      <c r="H191" s="22">
        <f>IFERROR(SUMIFS(tblTransactions[Amount (INR)],tblTransactions[CustomerID],A191),0)</f>
        <v>55878</v>
      </c>
      <c r="I191" s="16">
        <f t="shared" ca="1" si="38"/>
        <v>3</v>
      </c>
      <c r="J191" s="16">
        <f t="shared" si="39"/>
        <v>3</v>
      </c>
      <c r="K191" s="16">
        <f t="shared" si="40"/>
        <v>5</v>
      </c>
      <c r="L191" s="16" t="str">
        <f t="shared" ca="1" si="41"/>
        <v>335</v>
      </c>
      <c r="M191" s="16">
        <f>IFERROR(INDEX('Raw Data'!$X$3:$X$202,MATCH(A191,'Raw Data'!$W$3:$W$202,0)),"")</f>
        <v>2</v>
      </c>
      <c r="N191" s="16">
        <f>IFERROR(INDEX('Raw Data'!$Z$3:$Z$202,MATCH(A191,'Raw Data'!$W$3:$W$202,0)),"")</f>
        <v>2</v>
      </c>
      <c r="O191" s="16">
        <f t="shared" si="42"/>
        <v>1.5</v>
      </c>
      <c r="P191" s="16" t="str">
        <f>IFERROR(tblClean[[#This Row],[AgeGroup]],"")</f>
        <v>40-54</v>
      </c>
      <c r="Q191" s="16" t="str">
        <f>IFERROR(tblClean[[#This Row],[IncomeBracket]],"")</f>
        <v>High</v>
      </c>
      <c r="R191" s="16" t="str">
        <f t="shared" si="43"/>
        <v>HIGH</v>
      </c>
      <c r="S191" s="16" t="str">
        <f t="shared" si="44"/>
        <v>Premium</v>
      </c>
      <c r="T191" s="18" t="str">
        <f t="shared" ca="1" si="37"/>
        <v>High Value</v>
      </c>
      <c r="U191" s="18" t="str">
        <f>IFERROR(INDEX(tblTransactions[ProductCategory],MATCH(A191,tblTransactions[CustomerID],0)),"N/A")</f>
        <v>Grocery</v>
      </c>
    </row>
    <row r="192" spans="1:21" ht="15" customHeight="1" x14ac:dyDescent="0.3">
      <c r="A192" s="19" t="str">
        <f>IFERROR(tblClean[[#This Row],[CustomerID]],"")</f>
        <v>C0190</v>
      </c>
      <c r="B192" s="19" t="str">
        <f>IFERROR(tblClean[[#This Row],[Name (Cleaned)]],"")</f>
        <v>Aarti Mishra</v>
      </c>
      <c r="C192" s="19" t="str">
        <f>IFERROR(tblClean[[#This Row],[City/Region (Cleaned)]],"")</f>
        <v>Mumbai</v>
      </c>
      <c r="D192" s="19" t="str">
        <f>IFERROR(tblClean[[#This Row],[CustomerType]],"")</f>
        <v>Returning</v>
      </c>
      <c r="E192" s="19" t="str">
        <f>IFERROR(tblClean[[#This Row],[EngagementLevel]],"")</f>
        <v>High</v>
      </c>
      <c r="F192" s="23">
        <f ca="1">IFERROR(TODAY()-'Raw Data'!M192,999)</f>
        <v>126</v>
      </c>
      <c r="G192" s="23">
        <f>IFERROR(COUNTIFS(tblTransactions[CustomerID],A192),0)</f>
        <v>2</v>
      </c>
      <c r="H192" s="23">
        <f>IFERROR(SUMIFS(tblTransactions[Amount (INR)],tblTransactions[CustomerID],A192),0)</f>
        <v>21193</v>
      </c>
      <c r="I192" s="19">
        <f t="shared" ca="1" si="38"/>
        <v>2</v>
      </c>
      <c r="J192" s="19">
        <f t="shared" si="39"/>
        <v>2</v>
      </c>
      <c r="K192" s="19">
        <f t="shared" si="40"/>
        <v>3</v>
      </c>
      <c r="L192" s="19" t="str">
        <f t="shared" ca="1" si="41"/>
        <v>223</v>
      </c>
      <c r="M192" s="19">
        <f>IFERROR(INDEX('Raw Data'!$X$3:$X$202,MATCH(A192,'Raw Data'!$W$3:$W$202,0)),"")</f>
        <v>2</v>
      </c>
      <c r="N192" s="19">
        <f>IFERROR(INDEX('Raw Data'!$Z$3:$Z$202,MATCH(A192,'Raw Data'!$W$3:$W$202,0)),"")</f>
        <v>1</v>
      </c>
      <c r="O192" s="19">
        <f t="shared" si="42"/>
        <v>1.25</v>
      </c>
      <c r="P192" s="19" t="str">
        <f>IFERROR(tblClean[[#This Row],[AgeGroup]],"")</f>
        <v>40-54</v>
      </c>
      <c r="Q192" s="19" t="str">
        <f>IFERROR(tblClean[[#This Row],[IncomeBracket]],"")</f>
        <v>Mid</v>
      </c>
      <c r="R192" s="19" t="str">
        <f t="shared" si="43"/>
        <v>HIGH</v>
      </c>
      <c r="S192" s="19" t="str">
        <f t="shared" si="44"/>
        <v>Standard</v>
      </c>
      <c r="T192" s="18" t="str">
        <f t="shared" ca="1" si="37"/>
        <v>At Risk</v>
      </c>
      <c r="U192" s="18" t="str">
        <f>IFERROR(INDEX(tblTransactions[ProductCategory],MATCH(A192,tblTransactions[CustomerID],0)),"N/A")</f>
        <v>Sports</v>
      </c>
    </row>
    <row r="193" spans="1:21" ht="15" customHeight="1" x14ac:dyDescent="0.3">
      <c r="A193" s="16" t="str">
        <f>IFERROR(tblClean[[#This Row],[CustomerID]],"")</f>
        <v>C0191</v>
      </c>
      <c r="B193" s="16" t="str">
        <f>IFERROR(tblClean[[#This Row],[Name (Cleaned)]],"")</f>
        <v>Swati Reddy</v>
      </c>
      <c r="C193" s="16" t="str">
        <f>IFERROR(tblClean[[#This Row],[City/Region (Cleaned)]],"")</f>
        <v>Chennai</v>
      </c>
      <c r="D193" s="16" t="str">
        <f>IFERROR(tblClean[[#This Row],[CustomerType]],"")</f>
        <v>Returning</v>
      </c>
      <c r="E193" s="16" t="str">
        <f>IFERROR(tblClean[[#This Row],[EngagementLevel]],"")</f>
        <v>High</v>
      </c>
      <c r="F193" s="22">
        <f ca="1">IFERROR(TODAY()-'Raw Data'!M193,999)</f>
        <v>227</v>
      </c>
      <c r="G193" s="22">
        <f>IFERROR(COUNTIFS(tblTransactions[CustomerID],A193),0)</f>
        <v>7</v>
      </c>
      <c r="H193" s="22">
        <f>IFERROR(SUMIFS(tblTransactions[Amount (INR)],tblTransactions[CustomerID],A193),0)</f>
        <v>92907</v>
      </c>
      <c r="I193" s="16">
        <f t="shared" ca="1" si="38"/>
        <v>1</v>
      </c>
      <c r="J193" s="16">
        <f t="shared" si="39"/>
        <v>4</v>
      </c>
      <c r="K193" s="16">
        <f t="shared" si="40"/>
        <v>5</v>
      </c>
      <c r="L193" s="16" t="str">
        <f t="shared" ca="1" si="41"/>
        <v>145</v>
      </c>
      <c r="M193" s="16">
        <f>IFERROR(INDEX('Raw Data'!$X$3:$X$202,MATCH(A193,'Raw Data'!$W$3:$W$202,0)),"")</f>
        <v>3</v>
      </c>
      <c r="N193" s="16">
        <f>IFERROR(INDEX('Raw Data'!$Z$3:$Z$202,MATCH(A193,'Raw Data'!$W$3:$W$202,0)),"")</f>
        <v>9</v>
      </c>
      <c r="O193" s="16">
        <f t="shared" si="42"/>
        <v>3.75</v>
      </c>
      <c r="P193" s="16" t="str">
        <f>IFERROR(tblClean[[#This Row],[AgeGroup]],"")</f>
        <v>55+</v>
      </c>
      <c r="Q193" s="16" t="str">
        <f>IFERROR(tblClean[[#This Row],[IncomeBracket]],"")</f>
        <v>Mid</v>
      </c>
      <c r="R193" s="16" t="str">
        <f t="shared" si="43"/>
        <v>HIGH</v>
      </c>
      <c r="S193" s="16" t="str">
        <f t="shared" si="44"/>
        <v>Premium</v>
      </c>
      <c r="T193" s="18" t="str">
        <f t="shared" ca="1" si="37"/>
        <v>High Value</v>
      </c>
      <c r="U193" s="18" t="str">
        <f>IFERROR(INDEX(tblTransactions[ProductCategory],MATCH(A193,tblTransactions[CustomerID],0)),"N/A")</f>
        <v>Electronics</v>
      </c>
    </row>
    <row r="194" spans="1:21" ht="15" customHeight="1" x14ac:dyDescent="0.3">
      <c r="A194" s="19" t="str">
        <f>IFERROR(tblClean[[#This Row],[CustomerID]],"")</f>
        <v>C0192</v>
      </c>
      <c r="B194" s="19" t="str">
        <f>IFERROR(tblClean[[#This Row],[Name (Cleaned)]],"")</f>
        <v>Ajay Pillai</v>
      </c>
      <c r="C194" s="19" t="str">
        <f>IFERROR(tblClean[[#This Row],[City/Region (Cleaned)]],"")</f>
        <v>Chandigarh</v>
      </c>
      <c r="D194" s="19" t="str">
        <f>IFERROR(tblClean[[#This Row],[CustomerType]],"")</f>
        <v>Returning</v>
      </c>
      <c r="E194" s="19" t="str">
        <f>IFERROR(tblClean[[#This Row],[EngagementLevel]],"")</f>
        <v>Medium</v>
      </c>
      <c r="F194" s="23">
        <f ca="1">IFERROR(TODAY()-'Raw Data'!M194,999)</f>
        <v>173</v>
      </c>
      <c r="G194" s="23">
        <f>IFERROR(COUNTIFS(tblTransactions[CustomerID],A194),0)</f>
        <v>7</v>
      </c>
      <c r="H194" s="23">
        <f>IFERROR(SUMIFS(tblTransactions[Amount (INR)],tblTransactions[CustomerID],A194),0)</f>
        <v>80227</v>
      </c>
      <c r="I194" s="19">
        <f t="shared" ca="1" si="38"/>
        <v>2</v>
      </c>
      <c r="J194" s="19">
        <f t="shared" si="39"/>
        <v>4</v>
      </c>
      <c r="K194" s="19">
        <f t="shared" si="40"/>
        <v>5</v>
      </c>
      <c r="L194" s="19" t="str">
        <f t="shared" ca="1" si="41"/>
        <v>245</v>
      </c>
      <c r="M194" s="19">
        <f>IFERROR(INDEX('Raw Data'!$X$3:$X$202,MATCH(A194,'Raw Data'!$W$3:$W$202,0)),"")</f>
        <v>5</v>
      </c>
      <c r="N194" s="19">
        <f>IFERROR(INDEX('Raw Data'!$Z$3:$Z$202,MATCH(A194,'Raw Data'!$W$3:$W$202,0)),"")</f>
        <v>7</v>
      </c>
      <c r="O194" s="19">
        <f t="shared" si="42"/>
        <v>4.25</v>
      </c>
      <c r="P194" s="19" t="str">
        <f>IFERROR(tblClean[[#This Row],[AgeGroup]],"")</f>
        <v>55+</v>
      </c>
      <c r="Q194" s="19" t="str">
        <f>IFERROR(tblClean[[#This Row],[IncomeBracket]],"")</f>
        <v>Mid</v>
      </c>
      <c r="R194" s="19" t="str">
        <f t="shared" si="43"/>
        <v>MED</v>
      </c>
      <c r="S194" s="19" t="str">
        <f t="shared" si="44"/>
        <v>Premium</v>
      </c>
      <c r="T194" s="18" t="str">
        <f t="shared" ca="1" si="37"/>
        <v>High Value</v>
      </c>
      <c r="U194" s="18" t="str">
        <f>IFERROR(INDEX(tblTransactions[ProductCategory],MATCH(A194,tblTransactions[CustomerID],0)),"N/A")</f>
        <v>Beauty</v>
      </c>
    </row>
    <row r="195" spans="1:21" ht="15" customHeight="1" x14ac:dyDescent="0.3">
      <c r="A195" s="16" t="str">
        <f>IFERROR(tblClean[[#This Row],[CustomerID]],"")</f>
        <v>C0193</v>
      </c>
      <c r="B195" s="16" t="str">
        <f>IFERROR(tblClean[[#This Row],[Name (Cleaned)]],"")</f>
        <v>Lakshmi Singh</v>
      </c>
      <c r="C195" s="16" t="str">
        <f>IFERROR(tblClean[[#This Row],[City/Region (Cleaned)]],"")</f>
        <v>Chennai</v>
      </c>
      <c r="D195" s="16" t="str">
        <f>IFERROR(tblClean[[#This Row],[CustomerType]],"")</f>
        <v>New</v>
      </c>
      <c r="E195" s="16" t="str">
        <f>IFERROR(tblClean[[#This Row],[EngagementLevel]],"")</f>
        <v>Medium</v>
      </c>
      <c r="F195" s="22">
        <f ca="1">IFERROR(TODAY()-'Raw Data'!M195,999)</f>
        <v>187</v>
      </c>
      <c r="G195" s="22">
        <f>IFERROR(COUNTIFS(tblTransactions[CustomerID],A195),0)</f>
        <v>8</v>
      </c>
      <c r="H195" s="22">
        <f>IFERROR(SUMIFS(tblTransactions[Amount (INR)],tblTransactions[CustomerID],A195),0)</f>
        <v>132676</v>
      </c>
      <c r="I195" s="16">
        <f t="shared" ref="I195:I202" ca="1" si="45">IFERROR(IF(F195&lt;=30,5,IF(F195&lt;=60,4,IF(F195&lt;=90,3,IF(F195&lt;=180,2,1)))),1)</f>
        <v>1</v>
      </c>
      <c r="J195" s="16">
        <f t="shared" ref="J195:J202" si="46">IFERROR(IF(G195&gt;=8,5,IF(G195&gt;=6,4,IF(G195&gt;=4,3,IF(G195&gt;=2,2,1)))),1)</f>
        <v>5</v>
      </c>
      <c r="K195" s="16">
        <f t="shared" ref="K195:K202" si="47">IFERROR(IF(H195&gt;=50000,5,IF(H195&gt;=30000,4,IF(H195&gt;=15000,3,IF(H195&gt;=5000,2,1)))),1)</f>
        <v>5</v>
      </c>
      <c r="L195" s="16" t="str">
        <f t="shared" ref="L195:L202" ca="1" si="48">IFERROR(TEXT(I195,"0")&amp;TEXT(J195,"0")&amp;TEXT(K195,"0"),"")</f>
        <v>155</v>
      </c>
      <c r="M195" s="16">
        <f>IFERROR(INDEX('Raw Data'!$X$3:$X$202,MATCH(A195,'Raw Data'!$W$3:$W$202,0)),"")</f>
        <v>3</v>
      </c>
      <c r="N195" s="16">
        <f>IFERROR(INDEX('Raw Data'!$Z$3:$Z$202,MATCH(A195,'Raw Data'!$W$3:$W$202,0)),"")</f>
        <v>4</v>
      </c>
      <c r="O195" s="16">
        <f t="shared" ref="O195:O202" si="49">IFERROR((IF(ISNUMBER(M195),M195,0)+IF(ISNUMBER(N195),N195/2,0))/MAX(1,(IF(ISNUMBER(M195),1,0)+IF(ISNUMBER(N195),1,0))),"")</f>
        <v>2.5</v>
      </c>
      <c r="P195" s="16" t="str">
        <f>IFERROR(tblClean[[#This Row],[AgeGroup]],"")</f>
        <v>40-54</v>
      </c>
      <c r="Q195" s="16" t="str">
        <f>IFERROR(tblClean[[#This Row],[IncomeBracket]],"")</f>
        <v>High</v>
      </c>
      <c r="R195" s="16" t="str">
        <f t="shared" ref="R195:R202" si="50">IFERROR(IF(E195="Low","LOW",IF(E195="Medium","MED","HIGH")),"N/A")</f>
        <v>MED</v>
      </c>
      <c r="S195" s="16" t="str">
        <f t="shared" ref="S195:S202" si="51">IFERROR(IF(H195&gt;=50000,"Premium",IF(H195&gt;=15000,"Standard","Budget")),"N/A")</f>
        <v>Premium</v>
      </c>
      <c r="T195" s="18" t="str">
        <f t="shared" ca="1" si="37"/>
        <v>High Value</v>
      </c>
      <c r="U195" s="18" t="str">
        <f>IFERROR(INDEX(tblTransactions[ProductCategory],MATCH(A195,tblTransactions[CustomerID],0)),"N/A")</f>
        <v>Beauty</v>
      </c>
    </row>
    <row r="196" spans="1:21" ht="15" customHeight="1" x14ac:dyDescent="0.3">
      <c r="A196" s="19" t="str">
        <f>IFERROR(tblClean[[#This Row],[CustomerID]],"")</f>
        <v>C0194</v>
      </c>
      <c r="B196" s="19" t="str">
        <f>IFERROR(tblClean[[#This Row],[Name (Cleaned)]],"")</f>
        <v>Pooja Verma</v>
      </c>
      <c r="C196" s="19" t="str">
        <f>IFERROR(tblClean[[#This Row],[City/Region (Cleaned)]],"")</f>
        <v>Hyderabad</v>
      </c>
      <c r="D196" s="19" t="str">
        <f>IFERROR(tblClean[[#This Row],[CustomerType]],"")</f>
        <v>New</v>
      </c>
      <c r="E196" s="19" t="str">
        <f>IFERROR(tblClean[[#This Row],[EngagementLevel]],"")</f>
        <v>Medium</v>
      </c>
      <c r="F196" s="23">
        <f ca="1">IFERROR(TODAY()-'Raw Data'!M196,999)</f>
        <v>218</v>
      </c>
      <c r="G196" s="23">
        <f>IFERROR(COUNTIFS(tblTransactions[CustomerID],A196),0)</f>
        <v>5</v>
      </c>
      <c r="H196" s="23">
        <f>IFERROR(SUMIFS(tblTransactions[Amount (INR)],tblTransactions[CustomerID],A196),0)</f>
        <v>78673</v>
      </c>
      <c r="I196" s="19">
        <f t="shared" ca="1" si="45"/>
        <v>1</v>
      </c>
      <c r="J196" s="19">
        <f t="shared" si="46"/>
        <v>3</v>
      </c>
      <c r="K196" s="19">
        <f t="shared" si="47"/>
        <v>5</v>
      </c>
      <c r="L196" s="19" t="str">
        <f t="shared" ca="1" si="48"/>
        <v>135</v>
      </c>
      <c r="M196" s="19">
        <f>IFERROR(INDEX('Raw Data'!$X$3:$X$202,MATCH(A196,'Raw Data'!$W$3:$W$202,0)),"")</f>
        <v>4</v>
      </c>
      <c r="N196" s="19">
        <f>IFERROR(INDEX('Raw Data'!$Z$3:$Z$202,MATCH(A196,'Raw Data'!$W$3:$W$202,0)),"")</f>
        <v>2</v>
      </c>
      <c r="O196" s="19">
        <f t="shared" si="49"/>
        <v>2.5</v>
      </c>
      <c r="P196" s="19" t="str">
        <f>IFERROR(tblClean[[#This Row],[AgeGroup]],"")</f>
        <v>55+</v>
      </c>
      <c r="Q196" s="19" t="str">
        <f>IFERROR(tblClean[[#This Row],[IncomeBracket]],"")</f>
        <v>High</v>
      </c>
      <c r="R196" s="19" t="str">
        <f t="shared" si="50"/>
        <v>MED</v>
      </c>
      <c r="S196" s="19" t="str">
        <f t="shared" si="51"/>
        <v>Premium</v>
      </c>
      <c r="T196" s="18" t="str">
        <f t="shared" ref="T196:T202" ca="1" si="52">IFERROR(IF(L196="555","Loyal",IF(AND(ISNUMBER(O196),O196&gt;=4.5,G196&gt;=3),"Loyal",IF(H196&gt;=50000,"High Value",IF(AND(F196&gt;90,G196&lt;3),"At Risk",IF(AND(H196&lt;30000,G196&gt;=5),"Bargain Seeker","General"))))),"General")</f>
        <v>High Value</v>
      </c>
      <c r="U196" s="18" t="str">
        <f>IFERROR(INDEX(tblTransactions[ProductCategory],MATCH(A196,tblTransactions[CustomerID],0)),"N/A")</f>
        <v>Fashion</v>
      </c>
    </row>
    <row r="197" spans="1:21" ht="15" customHeight="1" x14ac:dyDescent="0.3">
      <c r="A197" s="16" t="str">
        <f>IFERROR(tblClean[[#This Row],[CustomerID]],"")</f>
        <v>C0195</v>
      </c>
      <c r="B197" s="16" t="str">
        <f>IFERROR(tblClean[[#This Row],[Name (Cleaned)]],"")</f>
        <v>Lakshmi Joshi</v>
      </c>
      <c r="C197" s="16" t="str">
        <f>IFERROR(tblClean[[#This Row],[City/Region (Cleaned)]],"")</f>
        <v>Hyderabad</v>
      </c>
      <c r="D197" s="16" t="str">
        <f>IFERROR(tblClean[[#This Row],[CustomerType]],"")</f>
        <v>New</v>
      </c>
      <c r="E197" s="16" t="str">
        <f>IFERROR(tblClean[[#This Row],[EngagementLevel]],"")</f>
        <v>Medium</v>
      </c>
      <c r="F197" s="22">
        <f ca="1">IFERROR(TODAY()-'Raw Data'!M197,999)</f>
        <v>262</v>
      </c>
      <c r="G197" s="22">
        <f>IFERROR(COUNTIFS(tblTransactions[CustomerID],A197),0)</f>
        <v>8</v>
      </c>
      <c r="H197" s="22">
        <f>IFERROR(SUMIFS(tblTransactions[Amount (INR)],tblTransactions[CustomerID],A197),0)</f>
        <v>118391</v>
      </c>
      <c r="I197" s="16">
        <f t="shared" ca="1" si="45"/>
        <v>1</v>
      </c>
      <c r="J197" s="16">
        <f t="shared" si="46"/>
        <v>5</v>
      </c>
      <c r="K197" s="16">
        <f t="shared" si="47"/>
        <v>5</v>
      </c>
      <c r="L197" s="16" t="str">
        <f t="shared" ca="1" si="48"/>
        <v>155</v>
      </c>
      <c r="M197" s="16">
        <f>IFERROR(INDEX('Raw Data'!$X$3:$X$202,MATCH(A197,'Raw Data'!$W$3:$W$202,0)),"")</f>
        <v>2</v>
      </c>
      <c r="N197" s="16">
        <f>IFERROR(INDEX('Raw Data'!$Z$3:$Z$202,MATCH(A197,'Raw Data'!$W$3:$W$202,0)),"")</f>
        <v>10</v>
      </c>
      <c r="O197" s="16">
        <f t="shared" si="49"/>
        <v>3.5</v>
      </c>
      <c r="P197" s="16" t="str">
        <f>IFERROR(tblClean[[#This Row],[AgeGroup]],"")</f>
        <v>25-39</v>
      </c>
      <c r="Q197" s="16" t="str">
        <f>IFERROR(tblClean[[#This Row],[IncomeBracket]],"")</f>
        <v>High</v>
      </c>
      <c r="R197" s="16" t="str">
        <f t="shared" si="50"/>
        <v>MED</v>
      </c>
      <c r="S197" s="16" t="str">
        <f t="shared" si="51"/>
        <v>Premium</v>
      </c>
      <c r="T197" s="18" t="str">
        <f t="shared" ca="1" si="52"/>
        <v>High Value</v>
      </c>
      <c r="U197" s="18" t="str">
        <f>IFERROR(INDEX(tblTransactions[ProductCategory],MATCH(A197,tblTransactions[CustomerID],0)),"N/A")</f>
        <v>Home Decor</v>
      </c>
    </row>
    <row r="198" spans="1:21" ht="15" customHeight="1" x14ac:dyDescent="0.3">
      <c r="A198" s="19" t="str">
        <f>IFERROR(tblClean[[#This Row],[CustomerID]],"")</f>
        <v>C0196</v>
      </c>
      <c r="B198" s="19" t="str">
        <f>IFERROR(tblClean[[#This Row],[Name (Cleaned)]],"")</f>
        <v>Pranav Singh</v>
      </c>
      <c r="C198" s="19" t="str">
        <f>IFERROR(tblClean[[#This Row],[City/Region (Cleaned)]],"")</f>
        <v>Jaipur</v>
      </c>
      <c r="D198" s="19" t="str">
        <f>IFERROR(tblClean[[#This Row],[CustomerType]],"")</f>
        <v>Returning</v>
      </c>
      <c r="E198" s="19" t="str">
        <f>IFERROR(tblClean[[#This Row],[EngagementLevel]],"")</f>
        <v>Medium</v>
      </c>
      <c r="F198" s="23">
        <f ca="1">IFERROR(TODAY()-'Raw Data'!M198,999)</f>
        <v>285</v>
      </c>
      <c r="G198" s="23">
        <f>IFERROR(COUNTIFS(tblTransactions[CustomerID],A198),0)</f>
        <v>7</v>
      </c>
      <c r="H198" s="23">
        <f>IFERROR(SUMIFS(tblTransactions[Amount (INR)],tblTransactions[CustomerID],A198),0)</f>
        <v>120949</v>
      </c>
      <c r="I198" s="19">
        <f t="shared" ca="1" si="45"/>
        <v>1</v>
      </c>
      <c r="J198" s="19">
        <f t="shared" si="46"/>
        <v>4</v>
      </c>
      <c r="K198" s="19">
        <f t="shared" si="47"/>
        <v>5</v>
      </c>
      <c r="L198" s="19" t="str">
        <f t="shared" ca="1" si="48"/>
        <v>145</v>
      </c>
      <c r="M198" s="19">
        <f>IFERROR(INDEX('Raw Data'!$X$3:$X$202,MATCH(A198,'Raw Data'!$W$3:$W$202,0)),"")</f>
        <v>1</v>
      </c>
      <c r="N198" s="19">
        <f>IFERROR(INDEX('Raw Data'!$Z$3:$Z$202,MATCH(A198,'Raw Data'!$W$3:$W$202,0)),"")</f>
        <v>6</v>
      </c>
      <c r="O198" s="19">
        <f t="shared" si="49"/>
        <v>2</v>
      </c>
      <c r="P198" s="19" t="str">
        <f>IFERROR(tblClean[[#This Row],[AgeGroup]],"")</f>
        <v>55+</v>
      </c>
      <c r="Q198" s="19" t="str">
        <f>IFERROR(tblClean[[#This Row],[IncomeBracket]],"")</f>
        <v>Mid</v>
      </c>
      <c r="R198" s="19" t="str">
        <f t="shared" si="50"/>
        <v>MED</v>
      </c>
      <c r="S198" s="19" t="str">
        <f t="shared" si="51"/>
        <v>Premium</v>
      </c>
      <c r="T198" s="18" t="str">
        <f t="shared" ca="1" si="52"/>
        <v>High Value</v>
      </c>
      <c r="U198" s="18" t="str">
        <f>IFERROR(INDEX(tblTransactions[ProductCategory],MATCH(A198,tblTransactions[CustomerID],0)),"N/A")</f>
        <v>Electronics</v>
      </c>
    </row>
    <row r="199" spans="1:21" ht="15" customHeight="1" x14ac:dyDescent="0.3">
      <c r="A199" s="16" t="str">
        <f>IFERROR(tblClean[[#This Row],[CustomerID]],"")</f>
        <v>C0197</v>
      </c>
      <c r="B199" s="16" t="str">
        <f>IFERROR(tblClean[[#This Row],[Name (Cleaned)]],"")</f>
        <v>Suresh Gupta</v>
      </c>
      <c r="C199" s="16" t="str">
        <f>IFERROR(tblClean[[#This Row],[City/Region (Cleaned)]],"")</f>
        <v>Mumbai</v>
      </c>
      <c r="D199" s="16" t="str">
        <f>IFERROR(tblClean[[#This Row],[CustomerType]],"")</f>
        <v>Returning</v>
      </c>
      <c r="E199" s="16" t="str">
        <f>IFERROR(tblClean[[#This Row],[EngagementLevel]],"")</f>
        <v>Medium</v>
      </c>
      <c r="F199" s="22">
        <f ca="1">IFERROR(TODAY()-'Raw Data'!M199,999)</f>
        <v>203</v>
      </c>
      <c r="G199" s="22">
        <f>IFERROR(COUNTIFS(tblTransactions[CustomerID],A199),0)</f>
        <v>7</v>
      </c>
      <c r="H199" s="22">
        <f>IFERROR(SUMIFS(tblTransactions[Amount (INR)],tblTransactions[CustomerID],A199),0)</f>
        <v>98287</v>
      </c>
      <c r="I199" s="16">
        <f t="shared" ca="1" si="45"/>
        <v>1</v>
      </c>
      <c r="J199" s="16">
        <f t="shared" si="46"/>
        <v>4</v>
      </c>
      <c r="K199" s="16">
        <f t="shared" si="47"/>
        <v>5</v>
      </c>
      <c r="L199" s="16" t="str">
        <f t="shared" ca="1" si="48"/>
        <v>145</v>
      </c>
      <c r="M199" s="16">
        <f>IFERROR(INDEX('Raw Data'!$X$3:$X$202,MATCH(A199,'Raw Data'!$W$3:$W$202,0)),"")</f>
        <v>3</v>
      </c>
      <c r="N199" s="16">
        <f>IFERROR(INDEX('Raw Data'!$Z$3:$Z$202,MATCH(A199,'Raw Data'!$W$3:$W$202,0)),"")</f>
        <v>7</v>
      </c>
      <c r="O199" s="16">
        <f t="shared" si="49"/>
        <v>3.25</v>
      </c>
      <c r="P199" s="16" t="str">
        <f>IFERROR(tblClean[[#This Row],[AgeGroup]],"")</f>
        <v>55+</v>
      </c>
      <c r="Q199" s="16" t="str">
        <f>IFERROR(tblClean[[#This Row],[IncomeBracket]],"")</f>
        <v>Mid</v>
      </c>
      <c r="R199" s="16" t="str">
        <f t="shared" si="50"/>
        <v>MED</v>
      </c>
      <c r="S199" s="16" t="str">
        <f t="shared" si="51"/>
        <v>Premium</v>
      </c>
      <c r="T199" s="18" t="str">
        <f t="shared" ca="1" si="52"/>
        <v>High Value</v>
      </c>
      <c r="U199" s="18" t="str">
        <f>IFERROR(INDEX(tblTransactions[ProductCategory],MATCH(A199,tblTransactions[CustomerID],0)),"N/A")</f>
        <v>Beauty</v>
      </c>
    </row>
    <row r="200" spans="1:21" ht="15" customHeight="1" x14ac:dyDescent="0.3">
      <c r="A200" s="19" t="str">
        <f>IFERROR(tblClean[[#This Row],[CustomerID]],"")</f>
        <v>C0198</v>
      </c>
      <c r="B200" s="19" t="str">
        <f>IFERROR(tblClean[[#This Row],[Name (Cleaned)]],"")</f>
        <v>Ajay Mehta</v>
      </c>
      <c r="C200" s="19" t="str">
        <f>IFERROR(tblClean[[#This Row],[City/Region (Cleaned)]],"")</f>
        <v>Chennai</v>
      </c>
      <c r="D200" s="19" t="str">
        <f>IFERROR(tblClean[[#This Row],[CustomerType]],"")</f>
        <v>New</v>
      </c>
      <c r="E200" s="19" t="str">
        <f>IFERROR(tblClean[[#This Row],[EngagementLevel]],"")</f>
        <v>Medium</v>
      </c>
      <c r="F200" s="23">
        <f ca="1">IFERROR(TODAY()-'Raw Data'!M200,999)</f>
        <v>39</v>
      </c>
      <c r="G200" s="23">
        <f>IFERROR(COUNTIFS(tblTransactions[CustomerID],A200),0)</f>
        <v>9</v>
      </c>
      <c r="H200" s="23">
        <f>IFERROR(SUMIFS(tblTransactions[Amount (INR)],tblTransactions[CustomerID],A200),0)</f>
        <v>73469</v>
      </c>
      <c r="I200" s="19">
        <f t="shared" ca="1" si="45"/>
        <v>4</v>
      </c>
      <c r="J200" s="19">
        <f t="shared" si="46"/>
        <v>5</v>
      </c>
      <c r="K200" s="19">
        <f t="shared" si="47"/>
        <v>5</v>
      </c>
      <c r="L200" s="19" t="str">
        <f t="shared" ca="1" si="48"/>
        <v>455</v>
      </c>
      <c r="M200" s="19">
        <f>IFERROR(INDEX('Raw Data'!$X$3:$X$202,MATCH(A200,'Raw Data'!$W$3:$W$202,0)),"")</f>
        <v>5</v>
      </c>
      <c r="N200" s="19">
        <f>IFERROR(INDEX('Raw Data'!$Z$3:$Z$202,MATCH(A200,'Raw Data'!$W$3:$W$202,0)),"")</f>
        <v>6</v>
      </c>
      <c r="O200" s="19">
        <f t="shared" si="49"/>
        <v>4</v>
      </c>
      <c r="P200" s="19" t="str">
        <f>IFERROR(tblClean[[#This Row],[AgeGroup]],"")</f>
        <v>25-39</v>
      </c>
      <c r="Q200" s="19" t="str">
        <f>IFERROR(tblClean[[#This Row],[IncomeBracket]],"")</f>
        <v>Mid</v>
      </c>
      <c r="R200" s="19" t="str">
        <f t="shared" si="50"/>
        <v>MED</v>
      </c>
      <c r="S200" s="19" t="str">
        <f t="shared" si="51"/>
        <v>Premium</v>
      </c>
      <c r="T200" s="18" t="str">
        <f t="shared" ca="1" si="52"/>
        <v>High Value</v>
      </c>
      <c r="U200" s="18" t="str">
        <f>IFERROR(INDEX(tblTransactions[ProductCategory],MATCH(A200,tblTransactions[CustomerID],0)),"N/A")</f>
        <v>Fashion</v>
      </c>
    </row>
    <row r="201" spans="1:21" ht="15" customHeight="1" x14ac:dyDescent="0.3">
      <c r="A201" s="16" t="str">
        <f>IFERROR(tblClean[[#This Row],[CustomerID]],"")</f>
        <v>C0199</v>
      </c>
      <c r="B201" s="16" t="str">
        <f>IFERROR(tblClean[[#This Row],[Name (Cleaned)]],"")</f>
        <v>Rahul Patel</v>
      </c>
      <c r="C201" s="16" t="str">
        <f>IFERROR(tblClean[[#This Row],[City/Region (Cleaned)]],"")</f>
        <v>Hyderabad</v>
      </c>
      <c r="D201" s="16" t="str">
        <f>IFERROR(tblClean[[#This Row],[CustomerType]],"")</f>
        <v>Returning</v>
      </c>
      <c r="E201" s="16" t="str">
        <f>IFERROR(tblClean[[#This Row],[EngagementLevel]],"")</f>
        <v>High</v>
      </c>
      <c r="F201" s="22">
        <f ca="1">IFERROR(TODAY()-'Raw Data'!M201,999)</f>
        <v>220</v>
      </c>
      <c r="G201" s="22">
        <f>IFERROR(COUNTIFS(tblTransactions[CustomerID],A201),0)</f>
        <v>2</v>
      </c>
      <c r="H201" s="22">
        <f>IFERROR(SUMIFS(tblTransactions[Amount (INR)],tblTransactions[CustomerID],A201),0)</f>
        <v>27617</v>
      </c>
      <c r="I201" s="16">
        <f t="shared" ca="1" si="45"/>
        <v>1</v>
      </c>
      <c r="J201" s="16">
        <f t="shared" si="46"/>
        <v>2</v>
      </c>
      <c r="K201" s="16">
        <f t="shared" si="47"/>
        <v>3</v>
      </c>
      <c r="L201" s="16" t="str">
        <f t="shared" ca="1" si="48"/>
        <v>123</v>
      </c>
      <c r="M201" s="16">
        <f>IFERROR(INDEX('Raw Data'!$X$3:$X$202,MATCH(A201,'Raw Data'!$W$3:$W$202,0)),"")</f>
        <v>5</v>
      </c>
      <c r="N201" s="16">
        <f>IFERROR(INDEX('Raw Data'!$Z$3:$Z$202,MATCH(A201,'Raw Data'!$W$3:$W$202,0)),"")</f>
        <v>8</v>
      </c>
      <c r="O201" s="16">
        <f t="shared" si="49"/>
        <v>4.5</v>
      </c>
      <c r="P201" s="16" t="str">
        <f>IFERROR(tblClean[[#This Row],[AgeGroup]],"")</f>
        <v>40-54</v>
      </c>
      <c r="Q201" s="16" t="str">
        <f>IFERROR(tblClean[[#This Row],[IncomeBracket]],"")</f>
        <v>High</v>
      </c>
      <c r="R201" s="16" t="str">
        <f t="shared" si="50"/>
        <v>HIGH</v>
      </c>
      <c r="S201" s="16" t="str">
        <f t="shared" si="51"/>
        <v>Standard</v>
      </c>
      <c r="T201" s="18" t="str">
        <f t="shared" ca="1" si="52"/>
        <v>At Risk</v>
      </c>
      <c r="U201" s="18" t="str">
        <f>IFERROR(INDEX(tblTransactions[ProductCategory],MATCH(A201,tblTransactions[CustomerID],0)),"N/A")</f>
        <v>Fashion</v>
      </c>
    </row>
    <row r="202" spans="1:21" ht="15" customHeight="1" x14ac:dyDescent="0.3">
      <c r="A202" s="19" t="str">
        <f>IFERROR(tblClean[[#This Row],[CustomerID]],"")</f>
        <v>C0200</v>
      </c>
      <c r="B202" s="19" t="str">
        <f>IFERROR(tblClean[[#This Row],[Name (Cleaned)]],"")</f>
        <v>Manoj Pillai</v>
      </c>
      <c r="C202" s="19" t="str">
        <f>IFERROR(tblClean[[#This Row],[City/Region (Cleaned)]],"")</f>
        <v>Lucknow</v>
      </c>
      <c r="D202" s="19" t="str">
        <f>IFERROR(tblClean[[#This Row],[CustomerType]],"")</f>
        <v>Returning</v>
      </c>
      <c r="E202" s="19" t="str">
        <f>IFERROR(tblClean[[#This Row],[EngagementLevel]],"")</f>
        <v>Medium</v>
      </c>
      <c r="F202" s="23">
        <f ca="1">IFERROR(TODAY()-'Raw Data'!M202,999)</f>
        <v>374</v>
      </c>
      <c r="G202" s="23">
        <f>IFERROR(COUNTIFS(tblTransactions[CustomerID],A202),0)</f>
        <v>4</v>
      </c>
      <c r="H202" s="23">
        <f>IFERROR(SUMIFS(tblTransactions[Amount (INR)],tblTransactions[CustomerID],A202),0)</f>
        <v>52070</v>
      </c>
      <c r="I202" s="19">
        <f t="shared" ca="1" si="45"/>
        <v>1</v>
      </c>
      <c r="J202" s="19">
        <f t="shared" si="46"/>
        <v>3</v>
      </c>
      <c r="K202" s="19">
        <f t="shared" si="47"/>
        <v>5</v>
      </c>
      <c r="L202" s="19" t="str">
        <f t="shared" ca="1" si="48"/>
        <v>135</v>
      </c>
      <c r="M202" s="19">
        <f>IFERROR(INDEX('Raw Data'!$X$3:$X$202,MATCH(A202,'Raw Data'!$W$3:$W$202,0)),"")</f>
        <v>1</v>
      </c>
      <c r="N202" s="19">
        <f>IFERROR(INDEX('Raw Data'!$Z$3:$Z$202,MATCH(A202,'Raw Data'!$W$3:$W$202,0)),"")</f>
        <v>10</v>
      </c>
      <c r="O202" s="19">
        <f t="shared" si="49"/>
        <v>3</v>
      </c>
      <c r="P202" s="19" t="str">
        <f>IFERROR(tblClean[[#This Row],[AgeGroup]],"")</f>
        <v>25-39</v>
      </c>
      <c r="Q202" s="19" t="str">
        <f>IFERROR(tblClean[[#This Row],[IncomeBracket]],"")</f>
        <v>Mid</v>
      </c>
      <c r="R202" s="19" t="str">
        <f t="shared" si="50"/>
        <v>MED</v>
      </c>
      <c r="S202" s="19" t="str">
        <f t="shared" si="51"/>
        <v>Premium</v>
      </c>
      <c r="T202" s="18" t="str">
        <f t="shared" ca="1" si="52"/>
        <v>High Value</v>
      </c>
      <c r="U202" s="18" t="str">
        <f>IFERROR(INDEX(tblTransactions[ProductCategory],MATCH(A202,tblTransactions[CustomerID],0)),"N/A")</f>
        <v>Grocery</v>
      </c>
    </row>
  </sheetData>
  <mergeCells count="1">
    <mergeCell ref="A1:U1"/>
  </mergeCells>
  <conditionalFormatting sqref="T3:T202">
    <cfRule type="cellIs" dxfId="4" priority="2" operator="equal">
      <formula>"Loyal"</formula>
    </cfRule>
    <cfRule type="cellIs" dxfId="3" priority="3" operator="equal">
      <formula>"High Value"</formula>
    </cfRule>
    <cfRule type="cellIs" dxfId="2" priority="4" operator="equal">
      <formula>"At Risk"</formula>
    </cfRule>
    <cfRule type="cellIs" dxfId="1" priority="5" operator="equal">
      <formula>"Bargain Seeker"</formula>
    </cfRule>
  </conditionalFormatting>
  <conditionalFormatting sqref="H3:H202">
    <cfRule type="cellIs" dxfId="0" priority="6" operator="greaterThanOrEqual">
      <formula>50000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4971"/>
  </sheetPr>
  <dimension ref="A1:E77"/>
  <sheetViews>
    <sheetView zoomScale="70" zoomScaleNormal="70" workbookViewId="0">
      <pane ySplit="2" topLeftCell="A14" activePane="bottomLeft" state="frozen"/>
      <selection pane="bottomLeft" activeCell="B27" sqref="B27"/>
    </sheetView>
  </sheetViews>
  <sheetFormatPr defaultColWidth="8.6640625" defaultRowHeight="14.4" x14ac:dyDescent="0.3"/>
  <cols>
    <col min="1" max="1" width="30" style="1" customWidth="1"/>
    <col min="2" max="2" width="18" style="1" customWidth="1"/>
    <col min="3" max="3" width="20" style="1" customWidth="1"/>
    <col min="4" max="4" width="16" style="1" customWidth="1"/>
    <col min="5" max="5" width="18" style="1" customWidth="1"/>
  </cols>
  <sheetData>
    <row r="1" spans="1:5" ht="58.8" customHeight="1" x14ac:dyDescent="0.3">
      <c r="A1" s="92" t="s">
        <v>1786</v>
      </c>
      <c r="B1" s="92"/>
      <c r="C1" s="91"/>
      <c r="D1" s="91"/>
      <c r="E1" s="91"/>
    </row>
    <row r="2" spans="1:5" ht="18" customHeight="1" x14ac:dyDescent="0.3">
      <c r="A2" s="87" t="s">
        <v>1787</v>
      </c>
      <c r="B2" s="87"/>
      <c r="C2" s="87"/>
      <c r="D2" s="87"/>
      <c r="E2" s="87"/>
    </row>
    <row r="3" spans="1:5" ht="18" customHeight="1" x14ac:dyDescent="0.3">
      <c r="A3" s="3" t="s">
        <v>19</v>
      </c>
      <c r="B3" s="4">
        <f>COUNTA(tblClean[CustomerID])</f>
        <v>200</v>
      </c>
    </row>
    <row r="4" spans="1:5" ht="18" customHeight="1" x14ac:dyDescent="0.3">
      <c r="A4" s="3" t="s">
        <v>20</v>
      </c>
      <c r="B4" s="4">
        <f>COUNTA(tblTransactions[TransactionID])</f>
        <v>1044</v>
      </c>
    </row>
    <row r="5" spans="1:5" ht="18" customHeight="1" x14ac:dyDescent="0.3">
      <c r="A5" s="3" t="s">
        <v>1788</v>
      </c>
      <c r="B5" s="4" t="str">
        <f>TEXT(MIN(tblTransactions[Date]),"MMM YYYY")&amp;" - "&amp;TEXT(MAX(tblTransactions[Date]),"MMM YYYY")</f>
        <v>Apr 2025 - Mar 2026</v>
      </c>
    </row>
    <row r="6" spans="1:5" ht="18" customHeight="1" x14ac:dyDescent="0.3">
      <c r="A6" s="3" t="s">
        <v>1789</v>
      </c>
      <c r="B6" s="4" t="s">
        <v>1790</v>
      </c>
    </row>
    <row r="7" spans="1:5" ht="18" customHeight="1" x14ac:dyDescent="0.3">
      <c r="A7" s="3" t="s">
        <v>1791</v>
      </c>
      <c r="B7" s="4" cm="1">
        <f t="array" ref="B7">ROUND(SUMPRODUCT(1/COUNTIF(tblTransactions[ProductCategory],tblTransactions[ProductCategory])),0)</f>
        <v>7</v>
      </c>
    </row>
    <row r="8" spans="1:5" ht="18" customHeight="1" x14ac:dyDescent="0.3">
      <c r="A8" s="3" t="s">
        <v>1792</v>
      </c>
      <c r="B8" s="4">
        <f>SUMPRODUCT(1/COUNTIF(tblClean[City/Region (Cleaned)],tblClean[City/Region (Cleaned)]))</f>
        <v>22.999999999999996</v>
      </c>
    </row>
    <row r="10" spans="1:5" ht="18" customHeight="1" x14ac:dyDescent="0.3">
      <c r="A10" s="87" t="s">
        <v>1793</v>
      </c>
      <c r="B10" s="87"/>
      <c r="C10" s="87"/>
      <c r="D10" s="87"/>
      <c r="E10" s="87"/>
    </row>
    <row r="11" spans="1:5" ht="18" customHeight="1" x14ac:dyDescent="0.3">
      <c r="A11" s="3" t="s">
        <v>1794</v>
      </c>
      <c r="B11" s="5">
        <f>SUM(tblTransactions[Amount (INR)])</f>
        <v>10038773</v>
      </c>
    </row>
    <row r="12" spans="1:5" ht="18" customHeight="1" x14ac:dyDescent="0.3">
      <c r="A12" s="3" t="s">
        <v>1795</v>
      </c>
      <c r="B12" s="5">
        <f>IFERROR(AVERAGE(tblTransactions[Amount (INR)]),0)</f>
        <v>9615.6829501915709</v>
      </c>
    </row>
    <row r="13" spans="1:5" ht="18" customHeight="1" x14ac:dyDescent="0.3">
      <c r="A13" s="3" t="s">
        <v>1796</v>
      </c>
      <c r="B13" s="5">
        <f>IFERROR(SUMPRODUCT((tblClean[PurchaseChannel]="Online")*SUMIFS(tblTransactions[Amount (INR)],tblTransactions[CustomerID],tblClean[CustomerID])),0)</f>
        <v>4736921</v>
      </c>
    </row>
    <row r="14" spans="1:5" ht="18" customHeight="1" x14ac:dyDescent="0.3">
      <c r="A14" s="3" t="s">
        <v>1797</v>
      </c>
      <c r="B14" s="5">
        <f>IFERROR(SUMPRODUCT((tblClean[PurchaseChannel]="Offline")*SUMIFS(tblTransactions[Amount (INR)],tblTransactions[CustomerID],tblClean[CustomerID])),0)</f>
        <v>5301852</v>
      </c>
    </row>
    <row r="15" spans="1:5" ht="18" customHeight="1" x14ac:dyDescent="0.3">
      <c r="A15" s="3" t="s">
        <v>28</v>
      </c>
      <c r="B15" s="6">
        <f>IFERROR(B13/B11,0)</f>
        <v>0.47186254734517852</v>
      </c>
    </row>
    <row r="16" spans="1:5" ht="18" customHeight="1" x14ac:dyDescent="0.3">
      <c r="A16" s="3" t="s">
        <v>1798</v>
      </c>
      <c r="B16" s="6">
        <f>IFERROR(B14/B11,0)</f>
        <v>0.52813745265482148</v>
      </c>
    </row>
    <row r="17" spans="1:5" ht="18" customHeight="1" x14ac:dyDescent="0.3">
      <c r="A17" s="3" t="s">
        <v>1799</v>
      </c>
      <c r="B17" s="5">
        <f>MAX(tblTransactions[Amount (INR)])</f>
        <v>25000</v>
      </c>
    </row>
    <row r="18" spans="1:5" ht="18" customHeight="1" x14ac:dyDescent="0.3">
      <c r="A18" s="3" t="s">
        <v>1800</v>
      </c>
      <c r="B18" s="5">
        <f>MEDIAN(tblTransactions[Amount (INR)])</f>
        <v>7485</v>
      </c>
    </row>
    <row r="20" spans="1:5" ht="18" customHeight="1" x14ac:dyDescent="0.3">
      <c r="A20" s="87" t="s">
        <v>1801</v>
      </c>
      <c r="B20" s="87"/>
      <c r="C20" s="87"/>
      <c r="D20" s="87"/>
      <c r="E20" s="87"/>
    </row>
    <row r="21" spans="1:5" ht="18" customHeight="1" x14ac:dyDescent="0.3">
      <c r="A21" s="3" t="s">
        <v>19</v>
      </c>
      <c r="B21" s="4">
        <f>COUNTA(tblClean[CustomerID])</f>
        <v>200</v>
      </c>
    </row>
    <row r="22" spans="1:5" ht="18" customHeight="1" x14ac:dyDescent="0.3">
      <c r="A22" s="3" t="s">
        <v>1802</v>
      </c>
      <c r="B22" s="4">
        <f ca="1">COUNTIFS(tblCustomers[LastPurchaseDate],"&gt;="&amp;(TODAY()-90))</f>
        <v>78</v>
      </c>
    </row>
    <row r="23" spans="1:5" ht="18" customHeight="1" x14ac:dyDescent="0.3">
      <c r="A23" s="3" t="s">
        <v>1803</v>
      </c>
      <c r="B23" s="4">
        <f>COUNTIFS(tblClean[CustomerType],"Returning")</f>
        <v>115</v>
      </c>
    </row>
    <row r="24" spans="1:5" ht="18" customHeight="1" x14ac:dyDescent="0.3">
      <c r="A24" s="3" t="s">
        <v>23</v>
      </c>
      <c r="B24" s="6">
        <f>IFERROR(COUNTIFS(tblClean[CustomerType],"Returning")/COUNTA(tblClean[CustomerID]),0)</f>
        <v>0.57499999999999996</v>
      </c>
    </row>
    <row r="25" spans="1:5" ht="18" customHeight="1" x14ac:dyDescent="0.3">
      <c r="A25" s="3" t="s">
        <v>27</v>
      </c>
      <c r="B25" s="4">
        <f ca="1">COUNTIFS(tblRFM[CustomerSegment],"High Value")</f>
        <v>74</v>
      </c>
    </row>
    <row r="26" spans="1:5" ht="18" customHeight="1" x14ac:dyDescent="0.3">
      <c r="A26" s="3" t="s">
        <v>1804</v>
      </c>
      <c r="B26" s="6">
        <f ca="1">IFERROR(COUNTIFS(tblRFM[CustomerSegment],"High Value")/COUNTA(tblClean[CustomerID]),0)</f>
        <v>0.37</v>
      </c>
    </row>
    <row r="27" spans="1:5" ht="18" customHeight="1" x14ac:dyDescent="0.3">
      <c r="A27" s="3" t="s">
        <v>24</v>
      </c>
      <c r="B27" s="4">
        <f ca="1">COUNTIFS(tblRFM[CustomerSegment],"Loyal")</f>
        <v>17</v>
      </c>
    </row>
    <row r="28" spans="1:5" ht="18" customHeight="1" x14ac:dyDescent="0.3">
      <c r="A28" s="3" t="s">
        <v>1805</v>
      </c>
      <c r="B28" s="6">
        <f ca="1">IFERROR(COUNTIFS(tblRFM[CustomerSegment],"Loyal")/COUNTA(tblClean[CustomerID]),0)</f>
        <v>8.5000000000000006E-2</v>
      </c>
    </row>
    <row r="29" spans="1:5" ht="18" customHeight="1" x14ac:dyDescent="0.3">
      <c r="A29" s="3" t="s">
        <v>1806</v>
      </c>
      <c r="B29" s="7">
        <f>IFERROR(COUNTA(tblTransactions[TransactionID])/COUNTA(tblClean[CustomerID]),0)</f>
        <v>5.22</v>
      </c>
    </row>
    <row r="30" spans="1:5" ht="18" customHeight="1" x14ac:dyDescent="0.3">
      <c r="A30" s="3" t="s">
        <v>1807</v>
      </c>
      <c r="B30" s="24">
        <f ca="1">IFERROR((COUNTIFS(tblRFM[RFM_Recency],"&lt;=90")+COUNTIFS(tblClean[CustomerType],"Returning"))/2,0)</f>
        <v>96.5</v>
      </c>
    </row>
    <row r="32" spans="1:5" ht="18" customHeight="1" x14ac:dyDescent="0.3">
      <c r="A32" s="87" t="s">
        <v>1808</v>
      </c>
      <c r="B32" s="87"/>
      <c r="C32" s="87"/>
      <c r="D32" s="87"/>
      <c r="E32" s="87"/>
    </row>
    <row r="33" spans="1:5" ht="18" customHeight="1" x14ac:dyDescent="0.3">
      <c r="A33" s="3" t="s">
        <v>25</v>
      </c>
      <c r="B33" s="4">
        <f ca="1">COUNTIFS(tblRFM[CustomerSegment],"At Risk")</f>
        <v>38</v>
      </c>
    </row>
    <row r="34" spans="1:5" ht="18" customHeight="1" x14ac:dyDescent="0.3">
      <c r="A34" s="3" t="s">
        <v>1809</v>
      </c>
      <c r="B34" s="6">
        <f ca="1">IFERROR(COUNTIFS(tblRFM[CustomerSegment],"At Risk")/COUNTA(tblClean[CustomerID]),0)</f>
        <v>0.19</v>
      </c>
    </row>
    <row r="35" spans="1:5" ht="18" customHeight="1" x14ac:dyDescent="0.3">
      <c r="A35" s="3" t="s">
        <v>1810</v>
      </c>
      <c r="B35" s="4">
        <f>COUNTIFS(tblClean[EngagementLevel],"Low")</f>
        <v>57</v>
      </c>
    </row>
    <row r="36" spans="1:5" ht="18" customHeight="1" x14ac:dyDescent="0.3">
      <c r="A36" s="3" t="s">
        <v>1811</v>
      </c>
      <c r="B36" s="6">
        <f>IFERROR(COUNTIFS(tblClean[EngagementLevel],"Low")/COUNTA(tblClean[CustomerID]),0)</f>
        <v>0.28499999999999998</v>
      </c>
    </row>
    <row r="37" spans="1:5" ht="18" customHeight="1" x14ac:dyDescent="0.3">
      <c r="A37" s="3" t="s">
        <v>1812</v>
      </c>
      <c r="B37" s="4">
        <f ca="1">COUNTIFS(tblRFM[CustomerSegment],"Bargain Seeker")</f>
        <v>8</v>
      </c>
    </row>
    <row r="39" spans="1:5" ht="18" customHeight="1" x14ac:dyDescent="0.3">
      <c r="A39" s="87" t="s">
        <v>1813</v>
      </c>
      <c r="B39" s="87"/>
      <c r="C39" s="87"/>
      <c r="D39" s="87"/>
      <c r="E39" s="87"/>
    </row>
    <row r="40" spans="1:5" ht="18" customHeight="1" x14ac:dyDescent="0.3">
      <c r="A40" s="3" t="s">
        <v>1814</v>
      </c>
      <c r="B40" s="7">
        <f>IFERROR(AVERAGE(tblSurvey[Satisfaction]),0)</f>
        <v>3.165</v>
      </c>
    </row>
    <row r="41" spans="1:5" ht="18" customHeight="1" x14ac:dyDescent="0.3">
      <c r="A41" s="3" t="s">
        <v>1815</v>
      </c>
      <c r="B41" s="7">
        <f>IFERROR(AVERAGE(tblSurvey[RecommendationLikelihood]),0)</f>
        <v>6.415</v>
      </c>
    </row>
    <row r="42" spans="1:5" ht="18" customHeight="1" x14ac:dyDescent="0.3">
      <c r="A42" s="3" t="s">
        <v>1816</v>
      </c>
      <c r="B42" s="7">
        <f>IFERROR(AVERAGEIF(tblRFM[SatisfactionIndex],"&gt;0"),0)</f>
        <v>3.1862499999999998</v>
      </c>
    </row>
    <row r="43" spans="1:5" ht="18" customHeight="1" x14ac:dyDescent="0.3">
      <c r="A43" s="3" t="s">
        <v>1817</v>
      </c>
      <c r="B43" s="4">
        <f>COUNTIFS(tblSurvey[Satisfaction],"&gt;=4")</f>
        <v>88</v>
      </c>
    </row>
    <row r="45" spans="1:5" ht="18" customHeight="1" x14ac:dyDescent="0.3">
      <c r="A45" s="87" t="s">
        <v>1818</v>
      </c>
      <c r="B45" s="87"/>
      <c r="C45" s="87"/>
      <c r="D45" s="87"/>
      <c r="E45" s="87"/>
    </row>
    <row r="46" spans="1:5" ht="23.25" customHeight="1" x14ac:dyDescent="0.3">
      <c r="A46" s="25" t="s">
        <v>1784</v>
      </c>
      <c r="B46" s="25" t="s">
        <v>1819</v>
      </c>
      <c r="C46" s="25" t="s">
        <v>1794</v>
      </c>
      <c r="D46" s="25" t="s">
        <v>34</v>
      </c>
      <c r="E46" s="25" t="s">
        <v>1820</v>
      </c>
    </row>
    <row r="47" spans="1:5" ht="15" customHeight="1" x14ac:dyDescent="0.3">
      <c r="A47" s="26" t="s">
        <v>37</v>
      </c>
      <c r="B47" s="27">
        <f ca="1">COUNTIFS(tblRFM[CustomerSegment],A47)</f>
        <v>17</v>
      </c>
      <c r="C47" s="27">
        <f ca="1">IFERROR(SUMIFS(tblFinal[RFM_Monetary],tblFinal[CustomerSegment],A47),0)</f>
        <v>1525892</v>
      </c>
      <c r="D47" s="28">
        <f ca="1">IFERROR(C47/SUM($C$47:$C$51),0)</f>
        <v>0.15199985097780377</v>
      </c>
      <c r="E47" s="27">
        <f ca="1">IFERROR(C47/B47,0)</f>
        <v>89758.352941176476</v>
      </c>
    </row>
    <row r="48" spans="1:5" ht="15" customHeight="1" x14ac:dyDescent="0.3">
      <c r="A48" s="3" t="s">
        <v>39</v>
      </c>
      <c r="B48" s="29">
        <f ca="1">COUNTIFS(tblRFM[CustomerSegment],A48)</f>
        <v>74</v>
      </c>
      <c r="C48" s="29">
        <f ca="1">IFERROR(SUMIFS(tblFinal[RFM_Monetary],tblFinal[CustomerSegment],A48),0)</f>
        <v>6607484</v>
      </c>
      <c r="D48" s="30">
        <f ca="1">IFERROR(C48/SUM($C$47:$C$51),0)</f>
        <v>0.65819637519445851</v>
      </c>
      <c r="E48" s="29">
        <f ca="1">IFERROR(C48/B48,0)</f>
        <v>89290.32432432432</v>
      </c>
    </row>
    <row r="49" spans="1:5" ht="15" customHeight="1" x14ac:dyDescent="0.3">
      <c r="A49" s="26" t="s">
        <v>41</v>
      </c>
      <c r="B49" s="27">
        <f ca="1">COUNTIFS(tblRFM[CustomerSegment],A49)</f>
        <v>38</v>
      </c>
      <c r="C49" s="27">
        <f ca="1">IFERROR(SUMIFS(tblFinal[RFM_Monetary],tblFinal[CustomerSegment],A49),0)</f>
        <v>537567</v>
      </c>
      <c r="D49" s="28">
        <f ca="1">IFERROR(C49/SUM($C$47:$C$51),0)</f>
        <v>5.3549074174702428E-2</v>
      </c>
      <c r="E49" s="27">
        <f ca="1">IFERROR(C49/B49,0)</f>
        <v>14146.5</v>
      </c>
    </row>
    <row r="50" spans="1:5" ht="15" customHeight="1" x14ac:dyDescent="0.3">
      <c r="A50" s="3" t="s">
        <v>43</v>
      </c>
      <c r="B50" s="29">
        <f ca="1">COUNTIFS(tblRFM[CustomerSegment],A50)</f>
        <v>8</v>
      </c>
      <c r="C50" s="29">
        <f ca="1">IFERROR(SUMIFS(tblFinal[RFM_Monetary],tblFinal[CustomerSegment],A50),0)</f>
        <v>184330</v>
      </c>
      <c r="D50" s="30">
        <f ca="1">IFERROR(C50/SUM($C$47:$C$51),0)</f>
        <v>1.8361805770486093E-2</v>
      </c>
      <c r="E50" s="29">
        <f ca="1">IFERROR(C50/B50,0)</f>
        <v>23041.25</v>
      </c>
    </row>
    <row r="51" spans="1:5" ht="15" customHeight="1" x14ac:dyDescent="0.3">
      <c r="A51" s="26" t="s">
        <v>45</v>
      </c>
      <c r="B51" s="27">
        <f ca="1">COUNTIFS(tblRFM[CustomerSegment],A51)</f>
        <v>63</v>
      </c>
      <c r="C51" s="27">
        <f ca="1">IFERROR(SUMIFS(tblFinal[RFM_Monetary],tblFinal[CustomerSegment],A51),0)</f>
        <v>1183500</v>
      </c>
      <c r="D51" s="28">
        <f ca="1">IFERROR(C51/SUM($C$47:$C$51),0)</f>
        <v>0.11789289388254919</v>
      </c>
      <c r="E51" s="27">
        <f ca="1">IFERROR(C51/B51,0)</f>
        <v>18785.714285714286</v>
      </c>
    </row>
    <row r="53" spans="1:5" ht="18" customHeight="1" x14ac:dyDescent="0.3">
      <c r="A53" s="87" t="s">
        <v>1821</v>
      </c>
      <c r="B53" s="87"/>
      <c r="C53" s="87"/>
      <c r="D53" s="87"/>
      <c r="E53" s="87"/>
    </row>
    <row r="54" spans="1:5" ht="15" customHeight="1" x14ac:dyDescent="0.3">
      <c r="A54" s="25" t="s">
        <v>54</v>
      </c>
      <c r="B54" s="25" t="s">
        <v>1819</v>
      </c>
      <c r="C54" s="25" t="s">
        <v>1794</v>
      </c>
      <c r="D54" s="25" t="s">
        <v>35</v>
      </c>
      <c r="E54" s="25" t="s">
        <v>1822</v>
      </c>
    </row>
    <row r="55" spans="1:5" ht="15" customHeight="1" x14ac:dyDescent="0.3">
      <c r="A55" s="26" t="s">
        <v>132</v>
      </c>
      <c r="B55" s="27">
        <f>COUNTIFS(tblClean[City/Region (Cleaned)],A55)</f>
        <v>19</v>
      </c>
      <c r="C55" s="27" cm="1">
        <f t="array" ref="C55">IFERROR(SUMPRODUCT((tblClean[City/Region (Cleaned)]=A55)*SUMIF(tblTransactions[CustomerID],tblClean[CustomerID],tblTransactions[Amount (INR)])),0)</f>
        <v>666456</v>
      </c>
      <c r="D55" s="27">
        <f t="shared" ref="D55:D74" si="0">IFERROR(C55/B55,0)</f>
        <v>35076.631578947367</v>
      </c>
      <c r="E55" s="27">
        <f ca="1">IFERROR(COUNTIFS(tblClean[City/Region (Cleaned)],A55,tblRFM[CustomerSegment],"At Risk"),0)</f>
        <v>5</v>
      </c>
    </row>
    <row r="56" spans="1:5" ht="15" customHeight="1" x14ac:dyDescent="0.3">
      <c r="A56" s="3" t="s">
        <v>85</v>
      </c>
      <c r="B56" s="29">
        <f>COUNTIFS(tblClean[City/Region (Cleaned)],A56)</f>
        <v>14</v>
      </c>
      <c r="C56" s="29" cm="1">
        <f t="array" ref="C56">IFERROR(SUMPRODUCT((tblClean[City/Region (Cleaned)]=A56)*SUMIF(tblTransactions[CustomerID],tblClean[CustomerID],tblTransactions[Amount (INR)])),0)</f>
        <v>792765</v>
      </c>
      <c r="D56" s="29">
        <f t="shared" si="0"/>
        <v>56626.071428571428</v>
      </c>
      <c r="E56" s="29">
        <f ca="1">IFERROR(COUNTIFS(tblClean[City/Region (Cleaned)],A56,tblRFM[CustomerSegment],"At Risk"),0)</f>
        <v>1</v>
      </c>
    </row>
    <row r="57" spans="1:5" ht="15" customHeight="1" x14ac:dyDescent="0.3">
      <c r="A57" s="26" t="s">
        <v>143</v>
      </c>
      <c r="B57" s="27">
        <f>COUNTIFS(tblClean[City/Region (Cleaned)],A57)</f>
        <v>9</v>
      </c>
      <c r="C57" s="27" cm="1">
        <f t="array" ref="C57">IFERROR(SUMPRODUCT((tblClean[City/Region (Cleaned)]=A57)*SUMIF(tblTransactions[CustomerID],tblClean[CustomerID],tblTransactions[Amount (INR)])),0)</f>
        <v>479969</v>
      </c>
      <c r="D57" s="27">
        <f t="shared" si="0"/>
        <v>53329.888888888891</v>
      </c>
      <c r="E57" s="27">
        <f ca="1">IFERROR(COUNTIFS(tblClean[City/Region (Cleaned)],A57,tblRFM[CustomerSegment],"At Risk"),0)</f>
        <v>1</v>
      </c>
    </row>
    <row r="58" spans="1:5" ht="15" customHeight="1" x14ac:dyDescent="0.3">
      <c r="A58" s="3" t="s">
        <v>107</v>
      </c>
      <c r="B58" s="29">
        <f>COUNTIFS(tblClean[City/Region (Cleaned)],A58)</f>
        <v>11</v>
      </c>
      <c r="C58" s="29" cm="1">
        <f t="array" ref="C58">IFERROR(SUMPRODUCT((tblClean[City/Region (Cleaned)]=A58)*SUMIF(tblTransactions[CustomerID],tblClean[CustomerID],tblTransactions[Amount (INR)])),0)</f>
        <v>663318</v>
      </c>
      <c r="D58" s="29">
        <f t="shared" si="0"/>
        <v>60301.63636363636</v>
      </c>
      <c r="E58" s="29">
        <f ca="1">IFERROR(COUNTIFS(tblClean[City/Region (Cleaned)],A58,tblRFM[CustomerSegment],"At Risk"),0)</f>
        <v>3</v>
      </c>
    </row>
    <row r="59" spans="1:5" ht="15" customHeight="1" x14ac:dyDescent="0.3">
      <c r="A59" s="26" t="s">
        <v>173</v>
      </c>
      <c r="B59" s="27">
        <f>COUNTIFS(tblClean[City/Region (Cleaned)],A59)</f>
        <v>8</v>
      </c>
      <c r="C59" s="27" cm="1">
        <f t="array" ref="C59">IFERROR(SUMPRODUCT((tblClean[City/Region (Cleaned)]=A59)*SUMIF(tblTransactions[CustomerID],tblClean[CustomerID],tblTransactions[Amount (INR)])),0)</f>
        <v>445218</v>
      </c>
      <c r="D59" s="27">
        <f t="shared" si="0"/>
        <v>55652.25</v>
      </c>
      <c r="E59" s="27">
        <f ca="1">IFERROR(COUNTIFS(tblClean[City/Region (Cleaned)],A59,tblRFM[CustomerSegment],"At Risk"),0)</f>
        <v>0</v>
      </c>
    </row>
    <row r="60" spans="1:5" ht="15" customHeight="1" x14ac:dyDescent="0.3">
      <c r="A60" s="3" t="s">
        <v>168</v>
      </c>
      <c r="B60" s="29">
        <f>COUNTIFS(tblClean[City/Region (Cleaned)],A60)</f>
        <v>11</v>
      </c>
      <c r="C60" s="29" cm="1">
        <f t="array" ref="C60">IFERROR(SUMPRODUCT((tblClean[City/Region (Cleaned)]=A60)*SUMIF(tblTransactions[CustomerID],tblClean[CustomerID],tblTransactions[Amount (INR)])),0)</f>
        <v>751340</v>
      </c>
      <c r="D60" s="29">
        <f t="shared" si="0"/>
        <v>68303.636363636368</v>
      </c>
      <c r="E60" s="29">
        <f ca="1">IFERROR(COUNTIFS(tblClean[City/Region (Cleaned)],A60,tblRFM[CustomerSegment],"At Risk"),0)</f>
        <v>1</v>
      </c>
    </row>
    <row r="61" spans="1:5" ht="15" customHeight="1" x14ac:dyDescent="0.3">
      <c r="A61" s="26" t="s">
        <v>535</v>
      </c>
      <c r="B61" s="27">
        <f>COUNTIFS(tblClean[City/Region (Cleaned)],A61)</f>
        <v>4</v>
      </c>
      <c r="C61" s="27" cm="1">
        <f t="array" ref="C61">IFERROR(SUMPRODUCT((tblClean[City/Region (Cleaned)]=A61)*SUMIF(tblTransactions[CustomerID],tblClean[CustomerID],tblTransactions[Amount (INR)])),0)</f>
        <v>207197</v>
      </c>
      <c r="D61" s="27">
        <f t="shared" si="0"/>
        <v>51799.25</v>
      </c>
      <c r="E61" s="27">
        <f ca="1">IFERROR(COUNTIFS(tblClean[City/Region (Cleaned)],A61,tblRFM[CustomerSegment],"At Risk"),0)</f>
        <v>1</v>
      </c>
    </row>
    <row r="62" spans="1:5" ht="15" customHeight="1" x14ac:dyDescent="0.3">
      <c r="A62" s="3" t="s">
        <v>178</v>
      </c>
      <c r="B62" s="29">
        <f>COUNTIFS(tblClean[City/Region (Cleaned)],A62)</f>
        <v>8</v>
      </c>
      <c r="C62" s="29" cm="1">
        <f t="array" ref="C62">IFERROR(SUMPRODUCT((tblClean[City/Region (Cleaned)]=A62)*SUMIF(tblTransactions[CustomerID],tblClean[CustomerID],tblTransactions[Amount (INR)])),0)</f>
        <v>275789</v>
      </c>
      <c r="D62" s="29">
        <f t="shared" si="0"/>
        <v>34473.625</v>
      </c>
      <c r="E62" s="29">
        <f ca="1">IFERROR(COUNTIFS(tblClean[City/Region (Cleaned)],A62,tblRFM[CustomerSegment],"At Risk"),0)</f>
        <v>1</v>
      </c>
    </row>
    <row r="63" spans="1:5" ht="15" customHeight="1" x14ac:dyDescent="0.3">
      <c r="A63" s="26" t="s">
        <v>126</v>
      </c>
      <c r="B63" s="27">
        <f>COUNTIFS(tblClean[City/Region (Cleaned)],A63)</f>
        <v>8</v>
      </c>
      <c r="C63" s="27" cm="1">
        <f t="array" ref="C63">IFERROR(SUMPRODUCT((tblClean[City/Region (Cleaned)]=A63)*SUMIF(tblTransactions[CustomerID],tblClean[CustomerID],tblTransactions[Amount (INR)])),0)</f>
        <v>396008</v>
      </c>
      <c r="D63" s="27">
        <f t="shared" si="0"/>
        <v>49501</v>
      </c>
      <c r="E63" s="27">
        <f ca="1">IFERROR(COUNTIFS(tblClean[City/Region (Cleaned)],A63,tblRFM[CustomerSegment],"At Risk"),0)</f>
        <v>3</v>
      </c>
    </row>
    <row r="64" spans="1:5" ht="15" customHeight="1" x14ac:dyDescent="0.3">
      <c r="A64" s="3" t="s">
        <v>93</v>
      </c>
      <c r="B64" s="29">
        <f>COUNTIFS(tblClean[City/Region (Cleaned)],A64)</f>
        <v>9</v>
      </c>
      <c r="C64" s="29" cm="1">
        <f t="array" ref="C64">IFERROR(SUMPRODUCT((tblClean[City/Region (Cleaned)]=A64)*SUMIF(tblTransactions[CustomerID],tblClean[CustomerID],tblTransactions[Amount (INR)])),0)</f>
        <v>405192</v>
      </c>
      <c r="D64" s="29">
        <f t="shared" si="0"/>
        <v>45021.333333333336</v>
      </c>
      <c r="E64" s="29">
        <f ca="1">IFERROR(COUNTIFS(tblClean[City/Region (Cleaned)],A64,tblRFM[CustomerSegment],"At Risk"),0)</f>
        <v>3</v>
      </c>
    </row>
    <row r="65" spans="1:5" ht="15" customHeight="1" x14ac:dyDescent="0.3">
      <c r="A65" s="26" t="s">
        <v>100</v>
      </c>
      <c r="B65" s="27">
        <f>COUNTIFS(tblClean[City/Region (Cleaned)],A65)</f>
        <v>9</v>
      </c>
      <c r="C65" s="27" cm="1">
        <f t="array" ref="C65">IFERROR(SUMPRODUCT((tblClean[City/Region (Cleaned)]=A65)*SUMIF(tblTransactions[CustomerID],tblClean[CustomerID],tblTransactions[Amount (INR)])),0)</f>
        <v>500839</v>
      </c>
      <c r="D65" s="27">
        <f t="shared" si="0"/>
        <v>55648.777777777781</v>
      </c>
      <c r="E65" s="27">
        <f ca="1">IFERROR(COUNTIFS(tblClean[City/Region (Cleaned)],A65,tblRFM[CustomerSegment],"At Risk"),0)</f>
        <v>1</v>
      </c>
    </row>
    <row r="66" spans="1:5" ht="15" customHeight="1" x14ac:dyDescent="0.3">
      <c r="A66" s="3" t="s">
        <v>114</v>
      </c>
      <c r="B66" s="29">
        <f>COUNTIFS(tblClean[City/Region (Cleaned)],A66)</f>
        <v>6</v>
      </c>
      <c r="C66" s="29" cm="1">
        <f t="array" ref="C66">IFERROR(SUMPRODUCT((tblClean[City/Region (Cleaned)]=A66)*SUMIF(tblTransactions[CustomerID],tblClean[CustomerID],tblTransactions[Amount (INR)])),0)</f>
        <v>216229</v>
      </c>
      <c r="D66" s="29">
        <f t="shared" si="0"/>
        <v>36038.166666666664</v>
      </c>
      <c r="E66" s="29">
        <f ca="1">IFERROR(COUNTIFS(tblClean[City/Region (Cleaned)],A66,tblRFM[CustomerSegment],"At Risk"),0)</f>
        <v>2</v>
      </c>
    </row>
    <row r="67" spans="1:5" ht="15" customHeight="1" x14ac:dyDescent="0.3">
      <c r="A67" s="26" t="s">
        <v>148</v>
      </c>
      <c r="B67" s="27">
        <f>COUNTIFS(tblClean[City/Region (Cleaned)],A67)</f>
        <v>8</v>
      </c>
      <c r="C67" s="27" cm="1">
        <f t="array" ref="C67">IFERROR(SUMPRODUCT((tblClean[City/Region (Cleaned)]=A67)*SUMIF(tblTransactions[CustomerID],tblClean[CustomerID],tblTransactions[Amount (INR)])),0)</f>
        <v>350247</v>
      </c>
      <c r="D67" s="27">
        <f t="shared" si="0"/>
        <v>43780.875</v>
      </c>
      <c r="E67" s="27">
        <f ca="1">IFERROR(COUNTIFS(tblClean[City/Region (Cleaned)],A67,tblRFM[CustomerSegment],"At Risk"),0)</f>
        <v>4</v>
      </c>
    </row>
    <row r="68" spans="1:5" ht="15" customHeight="1" x14ac:dyDescent="0.3">
      <c r="A68" s="3" t="s">
        <v>201</v>
      </c>
      <c r="B68" s="29">
        <f>COUNTIFS(tblClean[City/Region (Cleaned)],A68)</f>
        <v>12</v>
      </c>
      <c r="C68" s="29" cm="1">
        <f t="array" ref="C68">IFERROR(SUMPRODUCT((tblClean[City/Region (Cleaned)]=A68)*SUMIF(tblTransactions[CustomerID],tblClean[CustomerID],tblTransactions[Amount (INR)])),0)</f>
        <v>622978</v>
      </c>
      <c r="D68" s="29">
        <f t="shared" si="0"/>
        <v>51914.833333333336</v>
      </c>
      <c r="E68" s="29">
        <f ca="1">IFERROR(COUNTIFS(tblClean[City/Region (Cleaned)],A68,tblRFM[CustomerSegment],"At Risk"),0)</f>
        <v>1</v>
      </c>
    </row>
    <row r="69" spans="1:5" ht="15" customHeight="1" x14ac:dyDescent="0.3">
      <c r="A69" s="26" t="s">
        <v>247</v>
      </c>
      <c r="B69" s="27">
        <f>COUNTIFS(tblClean[City/Region (Cleaned)],A69)</f>
        <v>14</v>
      </c>
      <c r="C69" s="27" cm="1">
        <f t="array" ref="C69">IFERROR(SUMPRODUCT((tblClean[City/Region (Cleaned)]=A69)*SUMIF(tblTransactions[CustomerID],tblClean[CustomerID],tblTransactions[Amount (INR)])),0)</f>
        <v>597771</v>
      </c>
      <c r="D69" s="27">
        <f t="shared" si="0"/>
        <v>42697.928571428572</v>
      </c>
      <c r="E69" s="27">
        <f ca="1">IFERROR(COUNTIFS(tblClean[City/Region (Cleaned)],A69,tblRFM[CustomerSegment],"At Risk"),0)</f>
        <v>4</v>
      </c>
    </row>
    <row r="70" spans="1:5" ht="15" customHeight="1" x14ac:dyDescent="0.3">
      <c r="A70" s="3" t="s">
        <v>74</v>
      </c>
      <c r="B70" s="29">
        <f>COUNTIFS(tblClean[City/Region (Cleaned)],A70)</f>
        <v>11</v>
      </c>
      <c r="C70" s="29" cm="1">
        <f t="array" ref="C70">IFERROR(SUMPRODUCT((tblClean[City/Region (Cleaned)]=A70)*SUMIF(tblTransactions[CustomerID],tblClean[CustomerID],tblTransactions[Amount (INR)])),0)</f>
        <v>642157</v>
      </c>
      <c r="D70" s="29">
        <f t="shared" si="0"/>
        <v>58377.909090909088</v>
      </c>
      <c r="E70" s="29">
        <f ca="1">IFERROR(COUNTIFS(tblClean[City/Region (Cleaned)],A70,tblRFM[CustomerSegment],"At Risk"),0)</f>
        <v>1</v>
      </c>
    </row>
    <row r="71" spans="1:5" ht="15" customHeight="1" x14ac:dyDescent="0.3">
      <c r="A71" s="26" t="s">
        <v>548</v>
      </c>
      <c r="B71" s="27">
        <f>COUNTIFS(tblClean[City/Region (Cleaned)],A71)</f>
        <v>6</v>
      </c>
      <c r="C71" s="27" cm="1">
        <f t="array" ref="C71">IFERROR(SUMPRODUCT((tblClean[City/Region (Cleaned)]=A71)*SUMIF(tblTransactions[CustomerID],tblClean[CustomerID],tblTransactions[Amount (INR)])),0)</f>
        <v>293695</v>
      </c>
      <c r="D71" s="27">
        <f t="shared" si="0"/>
        <v>48949.166666666664</v>
      </c>
      <c r="E71" s="27">
        <f ca="1">IFERROR(COUNTIFS(tblClean[City/Region (Cleaned)],A71,tblRFM[CustomerSegment],"At Risk"),0)</f>
        <v>2</v>
      </c>
    </row>
    <row r="72" spans="1:5" ht="15" customHeight="1" x14ac:dyDescent="0.3">
      <c r="A72" s="3" t="s">
        <v>195</v>
      </c>
      <c r="B72" s="29">
        <f>COUNTIFS(tblClean[City/Region (Cleaned)],A72)</f>
        <v>13</v>
      </c>
      <c r="C72" s="29" cm="1">
        <f t="array" ref="C72">IFERROR(SUMPRODUCT((tblClean[City/Region (Cleaned)]=A72)*SUMIF(tblTransactions[CustomerID],tblClean[CustomerID],tblTransactions[Amount (INR)])),0)</f>
        <v>653124</v>
      </c>
      <c r="D72" s="29">
        <f t="shared" si="0"/>
        <v>50240.307692307695</v>
      </c>
      <c r="E72" s="29">
        <f ca="1">IFERROR(COUNTIFS(tblClean[City/Region (Cleaned)],A72,tblRFM[CustomerSegment],"At Risk"),0)</f>
        <v>2</v>
      </c>
    </row>
    <row r="73" spans="1:5" ht="15" customHeight="1" x14ac:dyDescent="0.3">
      <c r="A73" s="26" t="s">
        <v>158</v>
      </c>
      <c r="B73" s="27">
        <f>COUNTIFS(tblClean[City/Region (Cleaned)],A73)</f>
        <v>11</v>
      </c>
      <c r="C73" s="27" cm="1">
        <f t="array" ref="C73">IFERROR(SUMPRODUCT((tblClean[City/Region (Cleaned)]=A73)*SUMIF(tblTransactions[CustomerID],tblClean[CustomerID],tblTransactions[Amount (INR)])),0)</f>
        <v>619345</v>
      </c>
      <c r="D73" s="27">
        <f t="shared" si="0"/>
        <v>56304.090909090912</v>
      </c>
      <c r="E73" s="27">
        <f ca="1">IFERROR(COUNTIFS(tblClean[City/Region (Cleaned)],A73,tblRFM[CustomerSegment],"At Risk"),0)</f>
        <v>1</v>
      </c>
    </row>
    <row r="74" spans="1:5" ht="15" customHeight="1" x14ac:dyDescent="0.3">
      <c r="A74" s="3" t="s">
        <v>659</v>
      </c>
      <c r="B74" s="29">
        <f>COUNTIFS(tblClean[City/Region (Cleaned)],A74)</f>
        <v>4</v>
      </c>
      <c r="C74" s="50" cm="1">
        <f t="array" ref="C74">IFERROR(SUMPRODUCT((tblClean[City/Region (Cleaned)]=A74)*SUMIF(tblTransactions[CustomerID],tblClean[CustomerID],tblTransactions[Amount (INR)])),0)</f>
        <v>264946</v>
      </c>
      <c r="D74" s="50">
        <f t="shared" si="0"/>
        <v>66236.5</v>
      </c>
      <c r="E74" s="50">
        <f ca="1">IFERROR(COUNTIFS(tblClean[City/Region (Cleaned)],A74,tblRFM[CustomerSegment],"At Risk"),0)</f>
        <v>1</v>
      </c>
    </row>
    <row r="75" spans="1:5" x14ac:dyDescent="0.3">
      <c r="A75" s="37" t="s">
        <v>442</v>
      </c>
      <c r="B75" s="48">
        <f>COUNTIFS(tblClean[City/Region (Cleaned)],A75)</f>
        <v>2</v>
      </c>
      <c r="C75" s="51" cm="1">
        <f t="array" ref="C75">IFERROR(SUMPRODUCT((tblClean[City/Region (Cleaned)]=A75)*SUMIF(tblTransactions[CustomerID],tblClean[CustomerID],tblTransactions[Amount (INR)])),0)</f>
        <v>18490</v>
      </c>
      <c r="D75" s="51">
        <f>IFERROR(C75/B75,0)</f>
        <v>9245</v>
      </c>
      <c r="E75" s="51">
        <f ca="1">IFERROR(COUNTIFS(tblClean[City/Region (Cleaned)],A75,tblRFM[CustomerSegment],"At Risk"),0)</f>
        <v>0</v>
      </c>
    </row>
    <row r="76" spans="1:5" x14ac:dyDescent="0.3">
      <c r="A76" s="38" t="s">
        <v>294</v>
      </c>
      <c r="B76" s="49">
        <f>COUNTIFS(tblClean[City/Region (Cleaned)],A76)</f>
        <v>2</v>
      </c>
      <c r="C76" s="52" cm="1">
        <f t="array" ref="C76">IFERROR(SUMPRODUCT((tblClean[City/Region (Cleaned)]=A76)*SUMIF(tblTransactions[CustomerID],tblClean[CustomerID],tblTransactions[Amount (INR)])),0)</f>
        <v>111010</v>
      </c>
      <c r="D76" s="52">
        <f>IFERROR(C76/B76,0)</f>
        <v>55505</v>
      </c>
      <c r="E76" s="52">
        <f ca="1">IFERROR(COUNTIFS(tblClean[City/Region (Cleaned)],A76,tblRFM[CustomerSegment],"At Risk"),0)</f>
        <v>0</v>
      </c>
    </row>
    <row r="77" spans="1:5" x14ac:dyDescent="0.3">
      <c r="A77" s="37" t="s">
        <v>361</v>
      </c>
      <c r="B77" s="48">
        <f>COUNTIFS(tblClean[City/Region (Cleaned)],A77)</f>
        <v>1</v>
      </c>
      <c r="C77" s="53" cm="1">
        <f t="array" ref="C77">IFERROR(SUMPRODUCT((tblClean[City/Region (Cleaned)]=A77)*SUMIF(tblTransactions[CustomerID],tblClean[CustomerID],tblTransactions[Amount (INR)])),0)</f>
        <v>64690</v>
      </c>
      <c r="D77" s="53">
        <f>IFERROR(C77/B77,0)</f>
        <v>64690</v>
      </c>
      <c r="E77" s="53">
        <f ca="1">IFERROR(COUNTIFS(tblClean[City/Region (Cleaned)],A77,tblRFM[CustomerSegment],"At Risk"),0)</f>
        <v>0</v>
      </c>
    </row>
  </sheetData>
  <mergeCells count="8">
    <mergeCell ref="A39:E39"/>
    <mergeCell ref="A45:E45"/>
    <mergeCell ref="A53:E53"/>
    <mergeCell ref="A2:E2"/>
    <mergeCell ref="A10:E10"/>
    <mergeCell ref="A20:E20"/>
    <mergeCell ref="A32:E32"/>
    <mergeCell ref="A1:B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064"/>
  </sheetPr>
  <dimension ref="A1:AC278"/>
  <sheetViews>
    <sheetView zoomScale="65" zoomScaleNormal="55" workbookViewId="0">
      <pane ySplit="2" topLeftCell="A156" activePane="bottomLeft" state="frozen"/>
      <selection pane="bottomLeft" activeCell="A253" sqref="A253:C278"/>
    </sheetView>
  </sheetViews>
  <sheetFormatPr defaultColWidth="8.6640625" defaultRowHeight="14.4" x14ac:dyDescent="0.3"/>
  <cols>
    <col min="1" max="1" width="14.109375" style="1" bestFit="1" customWidth="1"/>
    <col min="2" max="2" width="19.5546875" style="1" bestFit="1" customWidth="1"/>
    <col min="3" max="3" width="21.109375" style="1" bestFit="1" customWidth="1"/>
    <col min="4" max="4" width="10" style="1" customWidth="1"/>
    <col min="5" max="5" width="16" style="1" customWidth="1"/>
    <col min="6" max="6" width="14" style="1" customWidth="1"/>
    <col min="7" max="7" width="12" style="1" customWidth="1"/>
    <col min="8" max="9" width="14" style="1" customWidth="1"/>
    <col min="10" max="10" width="16" style="1" customWidth="1"/>
    <col min="11" max="11" width="14" style="1" customWidth="1"/>
    <col min="12" max="12" width="12" style="1" customWidth="1"/>
    <col min="13" max="14" width="14" style="1" customWidth="1"/>
    <col min="15" max="15" width="10" style="1" customWidth="1"/>
    <col min="16" max="16" width="14" style="1" customWidth="1"/>
    <col min="17" max="17" width="12" style="1" customWidth="1"/>
    <col min="18" max="18" width="22" style="1" customWidth="1"/>
    <col min="19" max="19" width="14" style="1" customWidth="1"/>
    <col min="20" max="20" width="18" style="1" customWidth="1"/>
    <col min="22" max="22" width="15.33203125" style="1" bestFit="1" customWidth="1"/>
    <col min="23" max="23" width="20.21875" style="1" bestFit="1" customWidth="1"/>
    <col min="24" max="24" width="12" style="1" customWidth="1"/>
    <col min="25" max="25" width="14" style="1" customWidth="1"/>
    <col min="26" max="26" width="12" style="1" customWidth="1"/>
    <col min="27" max="27" width="14" style="1" customWidth="1"/>
    <col min="28" max="29" width="12" style="1" customWidth="1"/>
  </cols>
  <sheetData>
    <row r="1" spans="1:29" ht="25.5" customHeight="1" x14ac:dyDescent="0.3">
      <c r="A1" s="85" t="s">
        <v>1823</v>
      </c>
      <c r="B1" s="85"/>
      <c r="C1" s="85"/>
      <c r="D1" s="85"/>
      <c r="E1" s="85"/>
      <c r="F1" s="85"/>
      <c r="G1" s="85"/>
      <c r="H1" s="85"/>
      <c r="I1" s="85"/>
      <c r="J1" s="85"/>
      <c r="K1" s="85"/>
      <c r="L1" s="85"/>
      <c r="V1" s="88" t="s">
        <v>1824</v>
      </c>
      <c r="W1" s="88"/>
      <c r="X1" s="88"/>
      <c r="Y1" s="88"/>
      <c r="Z1" s="88"/>
      <c r="AA1" s="88"/>
      <c r="AB1" s="88"/>
      <c r="AC1" s="88"/>
    </row>
    <row r="2" spans="1:29" ht="19.5" customHeight="1" x14ac:dyDescent="0.3">
      <c r="A2" s="13" t="s">
        <v>50</v>
      </c>
      <c r="B2" s="13" t="s">
        <v>51</v>
      </c>
      <c r="C2" s="13" t="s">
        <v>52</v>
      </c>
      <c r="D2" s="13" t="s">
        <v>1767</v>
      </c>
      <c r="E2" s="13" t="s">
        <v>54</v>
      </c>
      <c r="F2" s="13" t="s">
        <v>1768</v>
      </c>
      <c r="G2" s="13" t="s">
        <v>59</v>
      </c>
      <c r="H2" s="13" t="s">
        <v>60</v>
      </c>
      <c r="I2" s="13" t="s">
        <v>1784</v>
      </c>
      <c r="J2" s="13" t="s">
        <v>1785</v>
      </c>
      <c r="K2" s="13" t="s">
        <v>58</v>
      </c>
      <c r="L2" s="13" t="s">
        <v>1774</v>
      </c>
      <c r="M2" s="13" t="s">
        <v>1775</v>
      </c>
      <c r="N2" s="13" t="s">
        <v>1776</v>
      </c>
      <c r="O2" s="13" t="s">
        <v>1780</v>
      </c>
      <c r="P2" s="13" t="s">
        <v>1781</v>
      </c>
      <c r="Q2" s="13" t="s">
        <v>68</v>
      </c>
      <c r="R2" s="13" t="s">
        <v>70</v>
      </c>
      <c r="S2" s="13" t="s">
        <v>1825</v>
      </c>
      <c r="T2" s="13" t="s">
        <v>61</v>
      </c>
      <c r="V2" s="89" t="s">
        <v>1826</v>
      </c>
      <c r="W2" s="89"/>
      <c r="X2" s="89"/>
      <c r="Y2" s="89"/>
      <c r="Z2" s="89"/>
      <c r="AA2" s="89"/>
    </row>
    <row r="3" spans="1:29" ht="74.25" customHeight="1" x14ac:dyDescent="0.3">
      <c r="A3" s="16" t="str">
        <f>tblRFM[[#This Row],[CustomerID]]</f>
        <v>C0001</v>
      </c>
      <c r="B3" s="16" t="str">
        <f>tblRFM[[#This Row],[Name]]</f>
        <v>Arjun Sharma</v>
      </c>
      <c r="C3" s="16" t="str">
        <f>IFERROR(INDEX(tblClean[Gender],MATCH(A3,tblClean[CustomerID],0)),"")</f>
        <v>Male</v>
      </c>
      <c r="D3" s="16" t="str">
        <f>tblRFM[[#This Row],[AgeGroup]]</f>
        <v>55+</v>
      </c>
      <c r="E3" s="16" t="str">
        <f>tblRFM[[#This Row],[City/Region]]</f>
        <v>Noida</v>
      </c>
      <c r="F3" s="16" t="str">
        <f>tblRFM[[#This Row],[IncomeBracket]]</f>
        <v>Low</v>
      </c>
      <c r="G3" s="16" t="str">
        <f>tblRFM[[#This Row],[CustomerType]]</f>
        <v>New</v>
      </c>
      <c r="H3" s="16" t="str">
        <f>tblRFM[[#This Row],[EngagementLevel]]</f>
        <v>Low</v>
      </c>
      <c r="I3" s="16" t="str">
        <f ca="1">tblRFM[[#This Row],[CustomerSegment]]</f>
        <v>General</v>
      </c>
      <c r="J3" s="16" t="str">
        <f>tblRFM[[#This Row],[ProductPreference]]</f>
        <v>Beauty</v>
      </c>
      <c r="K3" s="16" t="str">
        <f>IFERROR(INDEX(tblClean[PurchaseChannel],MATCH(A3,tblClean[CustomerID],0)),"")</f>
        <v>Online</v>
      </c>
      <c r="L3" s="22">
        <f ca="1">tblRFM[[#This Row],[RFM_Recency]]</f>
        <v>40</v>
      </c>
      <c r="M3" s="22">
        <f>tblRFM[[#This Row],[RFM_Frequency]]</f>
        <v>1</v>
      </c>
      <c r="N3" s="22">
        <f>tblRFM[[#This Row],[RFM_Monetary]]</f>
        <v>10900</v>
      </c>
      <c r="O3" s="16" t="str">
        <f ca="1">tblRFM[[#This Row],[RFM_Score]]</f>
        <v>412</v>
      </c>
      <c r="P3" s="16">
        <f>IFERROR(tblRFM[[#This Row],[SatisfactionIndex]],"")</f>
        <v>4</v>
      </c>
      <c r="Q3" s="16">
        <f>IFERROR(tblRFM[[#This Row],[Satisfaction]],"")</f>
        <v>4</v>
      </c>
      <c r="R3" s="16">
        <f>IFERROR(tblRFM[[#This Row],[RecommendationLikelihood]],"")</f>
        <v>8</v>
      </c>
      <c r="S3" s="16">
        <f>COUNTIFS(tblTransactions[CustomerID],A3)</f>
        <v>1</v>
      </c>
      <c r="T3" s="16" t="str">
        <f>IFERROR(INDEX(tblClean[DiscountSensitivity],MATCH(A3,tblClean[CustomerID],0)),"")</f>
        <v>High</v>
      </c>
      <c r="V3" s="8" t="s">
        <v>32</v>
      </c>
      <c r="W3" s="8" t="s">
        <v>1827</v>
      </c>
      <c r="X3" s="8" t="s">
        <v>21</v>
      </c>
      <c r="Y3" s="8" t="s">
        <v>22</v>
      </c>
      <c r="Z3" s="8" t="s">
        <v>1828</v>
      </c>
      <c r="AA3" s="8" t="s">
        <v>1829</v>
      </c>
    </row>
    <row r="4" spans="1:29" ht="15" customHeight="1" x14ac:dyDescent="0.3">
      <c r="A4" s="19" t="str">
        <f>tblRFM[[#This Row],[CustomerID]]</f>
        <v>C0002</v>
      </c>
      <c r="B4" s="19" t="str">
        <f>tblRFM[[#This Row],[Name]]</f>
        <v>Vikram Singh</v>
      </c>
      <c r="C4" s="18" t="str">
        <f>IFERROR(INDEX(tblClean[Gender],MATCH(A4,tblClean[CustomerID],0)),"")</f>
        <v>Male</v>
      </c>
      <c r="D4" s="19" t="str">
        <f>tblRFM[[#This Row],[AgeGroup]]</f>
        <v>40-54</v>
      </c>
      <c r="E4" s="19" t="str">
        <f>tblRFM[[#This Row],[City/Region]]</f>
        <v>Bangalore</v>
      </c>
      <c r="F4" s="19" t="str">
        <f>tblRFM[[#This Row],[IncomeBracket]]</f>
        <v>High</v>
      </c>
      <c r="G4" s="19" t="str">
        <f>tblRFM[[#This Row],[CustomerType]]</f>
        <v>New</v>
      </c>
      <c r="H4" s="19" t="str">
        <f>tblRFM[[#This Row],[EngagementLevel]]</f>
        <v>Medium</v>
      </c>
      <c r="I4" s="19" t="str">
        <f ca="1">tblRFM[[#This Row],[CustomerSegment]]</f>
        <v>General</v>
      </c>
      <c r="J4" s="19" t="str">
        <f>tblRFM[[#This Row],[ProductPreference]]</f>
        <v>Grocery</v>
      </c>
      <c r="K4" s="18" t="str">
        <f>IFERROR(INDEX(tblClean[PurchaseChannel],MATCH(A4,tblClean[CustomerID],0)),"")</f>
        <v>Online</v>
      </c>
      <c r="L4" s="23">
        <f ca="1">tblRFM[[#This Row],[RFM_Recency]]</f>
        <v>82</v>
      </c>
      <c r="M4" s="23">
        <f>tblRFM[[#This Row],[RFM_Frequency]]</f>
        <v>1</v>
      </c>
      <c r="N4" s="23">
        <f>tblRFM[[#This Row],[RFM_Monetary]]</f>
        <v>3780</v>
      </c>
      <c r="O4" s="19" t="str">
        <f ca="1">tblRFM[[#This Row],[RFM_Score]]</f>
        <v>311</v>
      </c>
      <c r="P4" s="19">
        <f>IFERROR(tblRFM[[#This Row],[SatisfactionIndex]],"")</f>
        <v>3</v>
      </c>
      <c r="Q4" s="19">
        <f>IFERROR(tblRFM[[#This Row],[Satisfaction]],"")</f>
        <v>3</v>
      </c>
      <c r="R4" s="19">
        <f>IFERROR(tblRFM[[#This Row],[RecommendationLikelihood]],"")</f>
        <v>6</v>
      </c>
      <c r="S4" s="19">
        <f>COUNTIFS(tblTransactions[CustomerID],A4)</f>
        <v>1</v>
      </c>
      <c r="T4" s="18" t="str">
        <f>IFERROR(INDEX(tblClean[DiscountSensitivity],MATCH(A4,tblClean[CustomerID],0)),"")</f>
        <v>Low</v>
      </c>
      <c r="V4" s="3" t="s">
        <v>37</v>
      </c>
      <c r="W4" s="29">
        <f ca="1">COUNTIFS(tblFinal[CustomerSegment],V4)</f>
        <v>17</v>
      </c>
      <c r="X4" s="29">
        <f ca="1">IFERROR(SUMIFS(tblFinal[RFM_Monetary],tblFinal[CustomerSegment],V4),0)</f>
        <v>1525892</v>
      </c>
      <c r="Y4" s="29">
        <f ca="1">IFERROR(X4/W4,0)</f>
        <v>89758.352941176476</v>
      </c>
      <c r="Z4" s="29">
        <f ca="1">IFERROR(AVERAGEIFS(tblFinal[RFM_Monetary],tblFinal[CustomerSegment],V4),0)</f>
        <v>89758.352941176476</v>
      </c>
      <c r="AA4" s="29">
        <f ca="1">COUNTIFS(tblFinal[CustomerSegment],V4,tblFinal[RFM_Monetary],"&gt;=50000")</f>
        <v>17</v>
      </c>
    </row>
    <row r="5" spans="1:29" ht="15" customHeight="1" x14ac:dyDescent="0.3">
      <c r="A5" s="16" t="str">
        <f>tblRFM[[#This Row],[CustomerID]]</f>
        <v>C0003</v>
      </c>
      <c r="B5" s="16" t="str">
        <f>tblRFM[[#This Row],[Name]]</f>
        <v>Rohan Mehta</v>
      </c>
      <c r="C5" s="18" t="str">
        <f>IFERROR(INDEX(tblClean[Gender],MATCH(A5,tblClean[CustomerID],0)),"")</f>
        <v>Male</v>
      </c>
      <c r="D5" s="16" t="str">
        <f>tblRFM[[#This Row],[AgeGroup]]</f>
        <v>25-39</v>
      </c>
      <c r="E5" s="16" t="str">
        <f>tblRFM[[#This Row],[City/Region]]</f>
        <v>Indore</v>
      </c>
      <c r="F5" s="16" t="str">
        <f>tblRFM[[#This Row],[IncomeBracket]]</f>
        <v>Mid</v>
      </c>
      <c r="G5" s="16" t="str">
        <f>tblRFM[[#This Row],[CustomerType]]</f>
        <v>Returning</v>
      </c>
      <c r="H5" s="16" t="str">
        <f>tblRFM[[#This Row],[EngagementLevel]]</f>
        <v>Low</v>
      </c>
      <c r="I5" s="16" t="str">
        <f ca="1">tblRFM[[#This Row],[CustomerSegment]]</f>
        <v>At Risk</v>
      </c>
      <c r="J5" s="16" t="str">
        <f>tblRFM[[#This Row],[ProductPreference]]</f>
        <v>Grocery</v>
      </c>
      <c r="K5" s="18" t="str">
        <f>IFERROR(INDEX(tblClean[PurchaseChannel],MATCH(A5,tblClean[CustomerID],0)),"")</f>
        <v>Online</v>
      </c>
      <c r="L5" s="22">
        <f ca="1">tblRFM[[#This Row],[RFM_Recency]]</f>
        <v>172</v>
      </c>
      <c r="M5" s="22">
        <f>tblRFM[[#This Row],[RFM_Frequency]]</f>
        <v>2</v>
      </c>
      <c r="N5" s="22">
        <f>tblRFM[[#This Row],[RFM_Monetary]]</f>
        <v>5380</v>
      </c>
      <c r="O5" s="16" t="str">
        <f ca="1">tblRFM[[#This Row],[RFM_Score]]</f>
        <v>222</v>
      </c>
      <c r="P5" s="16">
        <f>IFERROR(tblRFM[[#This Row],[SatisfactionIndex]],"")</f>
        <v>3.75</v>
      </c>
      <c r="Q5" s="16">
        <f>IFERROR(tblRFM[[#This Row],[Satisfaction]],"")</f>
        <v>4</v>
      </c>
      <c r="R5" s="16">
        <f>IFERROR(tblRFM[[#This Row],[RecommendationLikelihood]],"")</f>
        <v>7</v>
      </c>
      <c r="S5" s="16">
        <f>COUNTIFS(tblTransactions[CustomerID],A5)</f>
        <v>2</v>
      </c>
      <c r="T5" s="18" t="str">
        <f>IFERROR(INDEX(tblClean[DiscountSensitivity],MATCH(A5,tblClean[CustomerID],0)),"")</f>
        <v>High</v>
      </c>
      <c r="V5" s="26" t="s">
        <v>39</v>
      </c>
      <c r="W5" s="27">
        <f ca="1">COUNTIFS(tblFinal[CustomerSegment],V5)</f>
        <v>74</v>
      </c>
      <c r="X5" s="27">
        <f ca="1">IFERROR(SUMIFS(tblFinal[RFM_Monetary],tblFinal[CustomerSegment],V5),0)</f>
        <v>6607484</v>
      </c>
      <c r="Y5" s="27">
        <f ca="1">IFERROR(X5/W5,0)</f>
        <v>89290.32432432432</v>
      </c>
      <c r="Z5" s="27">
        <f ca="1">IFERROR(AVERAGEIFS(tblFinal[RFM_Monetary],tblFinal[CustomerSegment],V5),0)</f>
        <v>89290.32432432432</v>
      </c>
      <c r="AA5" s="27">
        <f ca="1">COUNTIFS(tblFinal[CustomerSegment],V5,tblFinal[RFM_Monetary],"&gt;=50000")</f>
        <v>74</v>
      </c>
    </row>
    <row r="6" spans="1:29" ht="15" customHeight="1" x14ac:dyDescent="0.3">
      <c r="A6" s="19" t="str">
        <f>tblRFM[[#This Row],[CustomerID]]</f>
        <v>C0004</v>
      </c>
      <c r="B6" s="19" t="str">
        <f>tblRFM[[#This Row],[Name]]</f>
        <v>Nikhil Gupta</v>
      </c>
      <c r="C6" s="18" t="str">
        <f>IFERROR(INDEX(tblClean[Gender],MATCH(A6,tblClean[CustomerID],0)),"")</f>
        <v>Male</v>
      </c>
      <c r="D6" s="19" t="str">
        <f>tblRFM[[#This Row],[AgeGroup]]</f>
        <v>40-54</v>
      </c>
      <c r="E6" s="19" t="str">
        <f>tblRFM[[#This Row],[City/Region]]</f>
        <v>Jaipur</v>
      </c>
      <c r="F6" s="19" t="str">
        <f>tblRFM[[#This Row],[IncomeBracket]]</f>
        <v>Mid</v>
      </c>
      <c r="G6" s="19" t="str">
        <f>tblRFM[[#This Row],[CustomerType]]</f>
        <v>New</v>
      </c>
      <c r="H6" s="19" t="str">
        <f>tblRFM[[#This Row],[EngagementLevel]]</f>
        <v>Low</v>
      </c>
      <c r="I6" s="19" t="str">
        <f ca="1">tblRFM[[#This Row],[CustomerSegment]]</f>
        <v>General</v>
      </c>
      <c r="J6" s="19" t="str">
        <f>tblRFM[[#This Row],[ProductPreference]]</f>
        <v>Electronics</v>
      </c>
      <c r="K6" s="18" t="str">
        <f>IFERROR(INDEX(tblClean[PurchaseChannel],MATCH(A6,tblClean[CustomerID],0)),"")</f>
        <v>Offline</v>
      </c>
      <c r="L6" s="23">
        <f ca="1">tblRFM[[#This Row],[RFM_Recency]]</f>
        <v>51</v>
      </c>
      <c r="M6" s="23">
        <f>tblRFM[[#This Row],[RFM_Frequency]]</f>
        <v>1</v>
      </c>
      <c r="N6" s="23">
        <f>tblRFM[[#This Row],[RFM_Monetary]]</f>
        <v>12070</v>
      </c>
      <c r="O6" s="19" t="str">
        <f ca="1">tblRFM[[#This Row],[RFM_Score]]</f>
        <v>412</v>
      </c>
      <c r="P6" s="19">
        <f>IFERROR(tblRFM[[#This Row],[SatisfactionIndex]],"")</f>
        <v>3</v>
      </c>
      <c r="Q6" s="19">
        <f>IFERROR(tblRFM[[#This Row],[Satisfaction]],"")</f>
        <v>3</v>
      </c>
      <c r="R6" s="19">
        <f>IFERROR(tblRFM[[#This Row],[RecommendationLikelihood]],"")</f>
        <v>6</v>
      </c>
      <c r="S6" s="19">
        <f>COUNTIFS(tblTransactions[CustomerID],A6)</f>
        <v>1</v>
      </c>
      <c r="T6" s="18" t="str">
        <f>IFERROR(INDEX(tblClean[DiscountSensitivity],MATCH(A6,tblClean[CustomerID],0)),"")</f>
        <v>Low</v>
      </c>
      <c r="V6" s="3" t="s">
        <v>41</v>
      </c>
      <c r="W6" s="29">
        <f ca="1">COUNTIFS(tblFinal[CustomerSegment],V6)</f>
        <v>38</v>
      </c>
      <c r="X6" s="29">
        <f ca="1">IFERROR(SUMIFS(tblFinal[RFM_Monetary],tblFinal[CustomerSegment],V6),0)</f>
        <v>537567</v>
      </c>
      <c r="Y6" s="29">
        <f ca="1">IFERROR(X6/W6,0)</f>
        <v>14146.5</v>
      </c>
      <c r="Z6" s="29">
        <f ca="1">IFERROR(AVERAGEIFS(tblFinal[RFM_Monetary],tblFinal[CustomerSegment],V6),0)</f>
        <v>14146.5</v>
      </c>
      <c r="AA6" s="29">
        <f ca="1">COUNTIFS(tblFinal[CustomerSegment],V6,tblFinal[RFM_Monetary],"&gt;=50000")</f>
        <v>0</v>
      </c>
    </row>
    <row r="7" spans="1:29" ht="15" customHeight="1" x14ac:dyDescent="0.3">
      <c r="A7" s="16" t="str">
        <f>tblRFM[[#This Row],[CustomerID]]</f>
        <v>C0005</v>
      </c>
      <c r="B7" s="16" t="str">
        <f>tblRFM[[#This Row],[Name]]</f>
        <v>Amit Verma</v>
      </c>
      <c r="C7" s="18" t="str">
        <f>IFERROR(INDEX(tblClean[Gender],MATCH(A7,tblClean[CustomerID],0)),"")</f>
        <v>Male</v>
      </c>
      <c r="D7" s="16" t="str">
        <f>tblRFM[[#This Row],[AgeGroup]]</f>
        <v>40-54</v>
      </c>
      <c r="E7" s="16" t="str">
        <f>tblRFM[[#This Row],[City/Region]]</f>
        <v>Bhubaneswar</v>
      </c>
      <c r="F7" s="16" t="str">
        <f>tblRFM[[#This Row],[IncomeBracket]]</f>
        <v>Mid</v>
      </c>
      <c r="G7" s="16" t="str">
        <f>tblRFM[[#This Row],[CustomerType]]</f>
        <v>Returning</v>
      </c>
      <c r="H7" s="16" t="str">
        <f>tblRFM[[#This Row],[EngagementLevel]]</f>
        <v>High</v>
      </c>
      <c r="I7" s="16" t="str">
        <f ca="1">tblRFM[[#This Row],[CustomerSegment]]</f>
        <v>High Value</v>
      </c>
      <c r="J7" s="16" t="str">
        <f>tblRFM[[#This Row],[ProductPreference]]</f>
        <v>Home Decor</v>
      </c>
      <c r="K7" s="18" t="str">
        <f>IFERROR(INDEX(tblClean[PurchaseChannel],MATCH(A7,tblClean[CustomerID],0)),"")</f>
        <v>Offline</v>
      </c>
      <c r="L7" s="22">
        <f ca="1">tblRFM[[#This Row],[RFM_Recency]]</f>
        <v>112</v>
      </c>
      <c r="M7" s="22">
        <f>tblRFM[[#This Row],[RFM_Frequency]]</f>
        <v>14</v>
      </c>
      <c r="N7" s="22">
        <f>tblRFM[[#This Row],[RFM_Monetary]]</f>
        <v>66820</v>
      </c>
      <c r="O7" s="16" t="str">
        <f ca="1">tblRFM[[#This Row],[RFM_Score]]</f>
        <v>255</v>
      </c>
      <c r="P7" s="16">
        <f>IFERROR(tblRFM[[#This Row],[SatisfactionIndex]],"")</f>
        <v>3</v>
      </c>
      <c r="Q7" s="16">
        <f>IFERROR(tblRFM[[#This Row],[Satisfaction]],"")</f>
        <v>4</v>
      </c>
      <c r="R7" s="16">
        <f>IFERROR(tblRFM[[#This Row],[RecommendationLikelihood]],"")</f>
        <v>4</v>
      </c>
      <c r="S7" s="16">
        <f>COUNTIFS(tblTransactions[CustomerID],A7)</f>
        <v>14</v>
      </c>
      <c r="T7" s="18" t="str">
        <f>IFERROR(INDEX(tblClean[DiscountSensitivity],MATCH(A7,tblClean[CustomerID],0)),"")</f>
        <v>Medium</v>
      </c>
      <c r="V7" s="26" t="s">
        <v>43</v>
      </c>
      <c r="W7" s="27">
        <f ca="1">COUNTIFS(tblFinal[CustomerSegment],V7)</f>
        <v>8</v>
      </c>
      <c r="X7" s="27">
        <f ca="1">IFERROR(SUMIFS(tblFinal[RFM_Monetary],tblFinal[CustomerSegment],V7),0)</f>
        <v>184330</v>
      </c>
      <c r="Y7" s="27">
        <f ca="1">IFERROR(X7/W7,0)</f>
        <v>23041.25</v>
      </c>
      <c r="Z7" s="27">
        <f ca="1">IFERROR(AVERAGEIFS(tblFinal[RFM_Monetary],tblFinal[CustomerSegment],V7),0)</f>
        <v>23041.25</v>
      </c>
      <c r="AA7" s="27">
        <f ca="1">COUNTIFS(tblFinal[CustomerSegment],V7,tblFinal[RFM_Monetary],"&gt;=50000")</f>
        <v>0</v>
      </c>
    </row>
    <row r="8" spans="1:29" ht="15" customHeight="1" x14ac:dyDescent="0.3">
      <c r="A8" s="19" t="str">
        <f>tblRFM[[#This Row],[CustomerID]]</f>
        <v>C0006</v>
      </c>
      <c r="B8" s="19" t="str">
        <f>tblRFM[[#This Row],[Name]]</f>
        <v>Suresh Kumar</v>
      </c>
      <c r="C8" s="18" t="str">
        <f>IFERROR(INDEX(tblClean[Gender],MATCH(A8,tblClean[CustomerID],0)),"")</f>
        <v>Male</v>
      </c>
      <c r="D8" s="19" t="str">
        <f>tblRFM[[#This Row],[AgeGroup]]</f>
        <v>40-54</v>
      </c>
      <c r="E8" s="19" t="str">
        <f>tblRFM[[#This Row],[City/Region]]</f>
        <v>Kolkata</v>
      </c>
      <c r="F8" s="19" t="str">
        <f>tblRFM[[#This Row],[IncomeBracket]]</f>
        <v>High</v>
      </c>
      <c r="G8" s="19" t="str">
        <f>tblRFM[[#This Row],[CustomerType]]</f>
        <v>Returning</v>
      </c>
      <c r="H8" s="19" t="str">
        <f>tblRFM[[#This Row],[EngagementLevel]]</f>
        <v>Low</v>
      </c>
      <c r="I8" s="19" t="str">
        <f ca="1">tblRFM[[#This Row],[CustomerSegment]]</f>
        <v>At Risk</v>
      </c>
      <c r="J8" s="19" t="str">
        <f>tblRFM[[#This Row],[ProductPreference]]</f>
        <v>Grocery</v>
      </c>
      <c r="K8" s="18" t="str">
        <f>IFERROR(INDEX(tblClean[PurchaseChannel],MATCH(A8,tblClean[CustomerID],0)),"")</f>
        <v>Online</v>
      </c>
      <c r="L8" s="23">
        <f ca="1">tblRFM[[#This Row],[RFM_Recency]]</f>
        <v>165</v>
      </c>
      <c r="M8" s="23">
        <f>tblRFM[[#This Row],[RFM_Frequency]]</f>
        <v>1</v>
      </c>
      <c r="N8" s="23">
        <f>tblRFM[[#This Row],[RFM_Monetary]]</f>
        <v>12330</v>
      </c>
      <c r="O8" s="19" t="str">
        <f ca="1">tblRFM[[#This Row],[RFM_Score]]</f>
        <v>212</v>
      </c>
      <c r="P8" s="19">
        <f>IFERROR(tblRFM[[#This Row],[SatisfactionIndex]],"")</f>
        <v>3.75</v>
      </c>
      <c r="Q8" s="19">
        <f>IFERROR(tblRFM[[#This Row],[Satisfaction]],"")</f>
        <v>4</v>
      </c>
      <c r="R8" s="19">
        <f>IFERROR(tblRFM[[#This Row],[RecommendationLikelihood]],"")</f>
        <v>7</v>
      </c>
      <c r="S8" s="19">
        <f>COUNTIFS(tblTransactions[CustomerID],A8)</f>
        <v>1</v>
      </c>
      <c r="T8" s="18" t="str">
        <f>IFERROR(INDEX(tblClean[DiscountSensitivity],MATCH(A8,tblClean[CustomerID],0)),"")</f>
        <v>Low</v>
      </c>
      <c r="V8" s="3" t="s">
        <v>45</v>
      </c>
      <c r="W8" s="29">
        <f ca="1">COUNTIFS(tblFinal[CustomerSegment],V8)</f>
        <v>63</v>
      </c>
      <c r="X8" s="29">
        <f ca="1">IFERROR(SUMIFS(tblFinal[RFM_Monetary],tblFinal[CustomerSegment],V8),0)</f>
        <v>1183500</v>
      </c>
      <c r="Y8" s="29">
        <f ca="1">IFERROR(X8/W8,0)</f>
        <v>18785.714285714286</v>
      </c>
      <c r="Z8" s="29">
        <f ca="1">IFERROR(AVERAGEIFS(tblFinal[RFM_Monetary],tblFinal[CustomerSegment],V8),0)</f>
        <v>18785.714285714286</v>
      </c>
      <c r="AA8" s="29">
        <f ca="1">COUNTIFS(tblFinal[CustomerSegment],V8,tblFinal[RFM_Monetary],"&gt;=50000")</f>
        <v>0</v>
      </c>
    </row>
    <row r="9" spans="1:29" ht="15" customHeight="1" x14ac:dyDescent="0.3">
      <c r="A9" s="16" t="str">
        <f>tblRFM[[#This Row],[CustomerID]]</f>
        <v>C0007</v>
      </c>
      <c r="B9" s="16" t="str">
        <f>tblRFM[[#This Row],[Name]]</f>
        <v>Rajesh Patel</v>
      </c>
      <c r="C9" s="18" t="str">
        <f>IFERROR(INDEX(tblClean[Gender],MATCH(A9,tblClean[CustomerID],0)),"")</f>
        <v>Male</v>
      </c>
      <c r="D9" s="16" t="str">
        <f>tblRFM[[#This Row],[AgeGroup]]</f>
        <v>25-39</v>
      </c>
      <c r="E9" s="16" t="str">
        <f>tblRFM[[#This Row],[City/Region]]</f>
        <v>Bangalore</v>
      </c>
      <c r="F9" s="16" t="str">
        <f>tblRFM[[#This Row],[IncomeBracket]]</f>
        <v>High</v>
      </c>
      <c r="G9" s="16" t="str">
        <f>tblRFM[[#This Row],[CustomerType]]</f>
        <v>Returning</v>
      </c>
      <c r="H9" s="16" t="str">
        <f>tblRFM[[#This Row],[EngagementLevel]]</f>
        <v>High</v>
      </c>
      <c r="I9" s="16" t="str">
        <f ca="1">tblRFM[[#This Row],[CustomerSegment]]</f>
        <v>High Value</v>
      </c>
      <c r="J9" s="16" t="str">
        <f>tblRFM[[#This Row],[ProductPreference]]</f>
        <v>Clothing</v>
      </c>
      <c r="K9" s="18" t="str">
        <f>IFERROR(INDEX(tblClean[PurchaseChannel],MATCH(A9,tblClean[CustomerID],0)),"")</f>
        <v>Online</v>
      </c>
      <c r="L9" s="22">
        <f ca="1">tblRFM[[#This Row],[RFM_Recency]]</f>
        <v>225</v>
      </c>
      <c r="M9" s="22">
        <f>tblRFM[[#This Row],[RFM_Frequency]]</f>
        <v>14</v>
      </c>
      <c r="N9" s="22">
        <f>tblRFM[[#This Row],[RFM_Monetary]]</f>
        <v>108600</v>
      </c>
      <c r="O9" s="16" t="str">
        <f ca="1">tblRFM[[#This Row],[RFM_Score]]</f>
        <v>155</v>
      </c>
      <c r="P9" s="16">
        <f>IFERROR(tblRFM[[#This Row],[SatisfactionIndex]],"")</f>
        <v>3</v>
      </c>
      <c r="Q9" s="16">
        <f>IFERROR(tblRFM[[#This Row],[Satisfaction]],"")</f>
        <v>4</v>
      </c>
      <c r="R9" s="16">
        <f>IFERROR(tblRFM[[#This Row],[RecommendationLikelihood]],"")</f>
        <v>4</v>
      </c>
      <c r="S9" s="16">
        <f>COUNTIFS(tblTransactions[CustomerID],A9)</f>
        <v>14</v>
      </c>
      <c r="T9" s="18" t="str">
        <f>IFERROR(INDEX(tblClean[DiscountSensitivity],MATCH(A9,tblClean[CustomerID],0)),"")</f>
        <v>Low</v>
      </c>
    </row>
    <row r="10" spans="1:29" ht="15" customHeight="1" x14ac:dyDescent="0.3">
      <c r="A10" s="19" t="str">
        <f>tblRFM[[#This Row],[CustomerID]]</f>
        <v>C0008</v>
      </c>
      <c r="B10" s="19" t="str">
        <f>tblRFM[[#This Row],[Name]]</f>
        <v>Aditya Joshi</v>
      </c>
      <c r="C10" s="18" t="str">
        <f>IFERROR(INDEX(tblClean[Gender],MATCH(A10,tblClean[CustomerID],0)),"")</f>
        <v>Male</v>
      </c>
      <c r="D10" s="19" t="str">
        <f>tblRFM[[#This Row],[AgeGroup]]</f>
        <v>40-54</v>
      </c>
      <c r="E10" s="19" t="str">
        <f>tblRFM[[#This Row],[City/Region]]</f>
        <v>Hyderabad</v>
      </c>
      <c r="F10" s="19" t="str">
        <f>tblRFM[[#This Row],[IncomeBracket]]</f>
        <v>High</v>
      </c>
      <c r="G10" s="19" t="str">
        <f>tblRFM[[#This Row],[CustomerType]]</f>
        <v>New</v>
      </c>
      <c r="H10" s="19" t="str">
        <f>tblRFM[[#This Row],[EngagementLevel]]</f>
        <v>Medium</v>
      </c>
      <c r="I10" s="19" t="str">
        <f ca="1">tblRFM[[#This Row],[CustomerSegment]]</f>
        <v>At Risk</v>
      </c>
      <c r="J10" s="19" t="str">
        <f>tblRFM[[#This Row],[ProductPreference]]</f>
        <v>Grocery</v>
      </c>
      <c r="K10" s="18" t="str">
        <f>IFERROR(INDEX(tblClean[PurchaseChannel],MATCH(A10,tblClean[CustomerID],0)),"")</f>
        <v>Offline</v>
      </c>
      <c r="L10" s="23">
        <f ca="1">tblRFM[[#This Row],[RFM_Recency]]</f>
        <v>93</v>
      </c>
      <c r="M10" s="23">
        <f>tblRFM[[#This Row],[RFM_Frequency]]</f>
        <v>1</v>
      </c>
      <c r="N10" s="23">
        <f>tblRFM[[#This Row],[RFM_Monetary]]</f>
        <v>570</v>
      </c>
      <c r="O10" s="19" t="str">
        <f ca="1">tblRFM[[#This Row],[RFM_Score]]</f>
        <v>211</v>
      </c>
      <c r="P10" s="19">
        <f>IFERROR(tblRFM[[#This Row],[SatisfactionIndex]],"")</f>
        <v>1.75</v>
      </c>
      <c r="Q10" s="19">
        <f>IFERROR(tblRFM[[#This Row],[Satisfaction]],"")</f>
        <v>1</v>
      </c>
      <c r="R10" s="19">
        <f>IFERROR(tblRFM[[#This Row],[RecommendationLikelihood]],"")</f>
        <v>5</v>
      </c>
      <c r="S10" s="19">
        <f>COUNTIFS(tblTransactions[CustomerID],A10)</f>
        <v>1</v>
      </c>
      <c r="T10" s="18" t="str">
        <f>IFERROR(INDEX(tblClean[DiscountSensitivity],MATCH(A10,tblClean[CustomerID],0)),"")</f>
        <v>Low</v>
      </c>
    </row>
    <row r="11" spans="1:29" ht="15" customHeight="1" x14ac:dyDescent="0.3">
      <c r="A11" s="16" t="str">
        <f>tblRFM[[#This Row],[CustomerID]]</f>
        <v>C0009</v>
      </c>
      <c r="B11" s="16" t="str">
        <f>tblRFM[[#This Row],[Name]]</f>
        <v>Karan Kapoor</v>
      </c>
      <c r="C11" s="18" t="str">
        <f>IFERROR(INDEX(tblClean[Gender],MATCH(A11,tblClean[CustomerID],0)),"")</f>
        <v>Male</v>
      </c>
      <c r="D11" s="16" t="str">
        <f>tblRFM[[#This Row],[AgeGroup]]</f>
        <v>40-54</v>
      </c>
      <c r="E11" s="16" t="str">
        <f>tblRFM[[#This Row],[City/Region]]</f>
        <v>Ahmedabad</v>
      </c>
      <c r="F11" s="16" t="str">
        <f>tblRFM[[#This Row],[IncomeBracket]]</f>
        <v>High</v>
      </c>
      <c r="G11" s="16" t="str">
        <f>tblRFM[[#This Row],[CustomerType]]</f>
        <v>New</v>
      </c>
      <c r="H11" s="16" t="str">
        <f>tblRFM[[#This Row],[EngagementLevel]]</f>
        <v>High</v>
      </c>
      <c r="I11" s="16" t="str">
        <f ca="1">tblRFM[[#This Row],[CustomerSegment]]</f>
        <v>At Risk</v>
      </c>
      <c r="J11" s="16" t="str">
        <f>tblRFM[[#This Row],[ProductPreference]]</f>
        <v>Grocery</v>
      </c>
      <c r="K11" s="18" t="str">
        <f>IFERROR(INDEX(tblClean[PurchaseChannel],MATCH(A11,tblClean[CustomerID],0)),"")</f>
        <v>Online</v>
      </c>
      <c r="L11" s="22">
        <f ca="1">tblRFM[[#This Row],[RFM_Recency]]</f>
        <v>92</v>
      </c>
      <c r="M11" s="22">
        <f>tblRFM[[#This Row],[RFM_Frequency]]</f>
        <v>1</v>
      </c>
      <c r="N11" s="22">
        <f>tblRFM[[#This Row],[RFM_Monetary]]</f>
        <v>6730</v>
      </c>
      <c r="O11" s="16" t="str">
        <f ca="1">tblRFM[[#This Row],[RFM_Score]]</f>
        <v>212</v>
      </c>
      <c r="P11" s="16">
        <f>IFERROR(tblRFM[[#This Row],[SatisfactionIndex]],"")</f>
        <v>4.25</v>
      </c>
      <c r="Q11" s="16">
        <f>IFERROR(tblRFM[[#This Row],[Satisfaction]],"")</f>
        <v>4</v>
      </c>
      <c r="R11" s="16">
        <f>IFERROR(tblRFM[[#This Row],[RecommendationLikelihood]],"")</f>
        <v>9</v>
      </c>
      <c r="S11" s="16">
        <f>COUNTIFS(tblTransactions[CustomerID],A11)</f>
        <v>1</v>
      </c>
      <c r="T11" s="18" t="str">
        <f>IFERROR(INDEX(tblClean[DiscountSensitivity],MATCH(A11,tblClean[CustomerID],0)),"")</f>
        <v>Low</v>
      </c>
    </row>
    <row r="12" spans="1:29" ht="15" customHeight="1" x14ac:dyDescent="0.3">
      <c r="A12" s="19" t="str">
        <f>tblRFM[[#This Row],[CustomerID]]</f>
        <v>C0010</v>
      </c>
      <c r="B12" s="19" t="str">
        <f>tblRFM[[#This Row],[Name]]</f>
        <v>Deepak Nair</v>
      </c>
      <c r="C12" s="18" t="str">
        <f>IFERROR(INDEX(tblClean[Gender],MATCH(A12,tblClean[CustomerID],0)),"")</f>
        <v>Male</v>
      </c>
      <c r="D12" s="19" t="str">
        <f>tblRFM[[#This Row],[AgeGroup]]</f>
        <v>&lt;25</v>
      </c>
      <c r="E12" s="19" t="str">
        <f>tblRFM[[#This Row],[City/Region]]</f>
        <v>Jaipur</v>
      </c>
      <c r="F12" s="19" t="str">
        <f>tblRFM[[#This Row],[IncomeBracket]]</f>
        <v>Mid</v>
      </c>
      <c r="G12" s="19" t="str">
        <f>tblRFM[[#This Row],[CustomerType]]</f>
        <v>Returning</v>
      </c>
      <c r="H12" s="19" t="str">
        <f>tblRFM[[#This Row],[EngagementLevel]]</f>
        <v>High</v>
      </c>
      <c r="I12" s="19" t="str">
        <f ca="1">tblRFM[[#This Row],[CustomerSegment]]</f>
        <v>High Value</v>
      </c>
      <c r="J12" s="19" t="str">
        <f>tblRFM[[#This Row],[ProductPreference]]</f>
        <v>Sports</v>
      </c>
      <c r="K12" s="18" t="str">
        <f>IFERROR(INDEX(tblClean[PurchaseChannel],MATCH(A12,tblClean[CustomerID],0)),"")</f>
        <v>Online</v>
      </c>
      <c r="L12" s="23">
        <f ca="1">tblRFM[[#This Row],[RFM_Recency]]</f>
        <v>40</v>
      </c>
      <c r="M12" s="23">
        <f>tblRFM[[#This Row],[RFM_Frequency]]</f>
        <v>14</v>
      </c>
      <c r="N12" s="23">
        <f>tblRFM[[#This Row],[RFM_Monetary]]</f>
        <v>51230</v>
      </c>
      <c r="O12" s="19" t="str">
        <f ca="1">tblRFM[[#This Row],[RFM_Score]]</f>
        <v>455</v>
      </c>
      <c r="P12" s="19">
        <f>IFERROR(tblRFM[[#This Row],[SatisfactionIndex]],"")</f>
        <v>3</v>
      </c>
      <c r="Q12" s="19">
        <f>IFERROR(tblRFM[[#This Row],[Satisfaction]],"")</f>
        <v>3</v>
      </c>
      <c r="R12" s="19">
        <f>IFERROR(tblRFM[[#This Row],[RecommendationLikelihood]],"")</f>
        <v>6</v>
      </c>
      <c r="S12" s="19">
        <f>COUNTIFS(tblTransactions[CustomerID],A12)</f>
        <v>14</v>
      </c>
      <c r="T12" s="18" t="str">
        <f>IFERROR(INDEX(tblClean[DiscountSensitivity],MATCH(A12,tblClean[CustomerID],0)),"")</f>
        <v>Medium</v>
      </c>
    </row>
    <row r="13" spans="1:29" ht="15" customHeight="1" x14ac:dyDescent="0.3">
      <c r="A13" s="16" t="str">
        <f>tblRFM[[#This Row],[CustomerID]]</f>
        <v>C0011</v>
      </c>
      <c r="B13" s="16" t="str">
        <f>tblRFM[[#This Row],[Name]]</f>
        <v>Manish Tiwari</v>
      </c>
      <c r="C13" s="18" t="str">
        <f>IFERROR(INDEX(tblClean[Gender],MATCH(A13,tblClean[CustomerID],0)),"")</f>
        <v>Male</v>
      </c>
      <c r="D13" s="16" t="str">
        <f>tblRFM[[#This Row],[AgeGroup]]</f>
        <v>55+</v>
      </c>
      <c r="E13" s="16" t="str">
        <f>tblRFM[[#This Row],[City/Region]]</f>
        <v>Bhopal</v>
      </c>
      <c r="F13" s="16" t="str">
        <f>tblRFM[[#This Row],[IncomeBracket]]</f>
        <v>Mid</v>
      </c>
      <c r="G13" s="16" t="str">
        <f>tblRFM[[#This Row],[CustomerType]]</f>
        <v>New</v>
      </c>
      <c r="H13" s="16" t="str">
        <f>tblRFM[[#This Row],[EngagementLevel]]</f>
        <v>Medium</v>
      </c>
      <c r="I13" s="16" t="str">
        <f ca="1">tblRFM[[#This Row],[CustomerSegment]]</f>
        <v>General</v>
      </c>
      <c r="J13" s="16" t="str">
        <f>tblRFM[[#This Row],[ProductPreference]]</f>
        <v>Beauty</v>
      </c>
      <c r="K13" s="18" t="str">
        <f>IFERROR(INDEX(tblClean[PurchaseChannel],MATCH(A13,tblClean[CustomerID],0)),"")</f>
        <v>Online</v>
      </c>
      <c r="L13" s="22">
        <f ca="1">tblRFM[[#This Row],[RFM_Recency]]</f>
        <v>66</v>
      </c>
      <c r="M13" s="22">
        <f>tblRFM[[#This Row],[RFM_Frequency]]</f>
        <v>1</v>
      </c>
      <c r="N13" s="22">
        <f>tblRFM[[#This Row],[RFM_Monetary]]</f>
        <v>3660</v>
      </c>
      <c r="O13" s="16" t="str">
        <f ca="1">tblRFM[[#This Row],[RFM_Score]]</f>
        <v>311</v>
      </c>
      <c r="P13" s="16">
        <f>IFERROR(tblRFM[[#This Row],[SatisfactionIndex]],"")</f>
        <v>4</v>
      </c>
      <c r="Q13" s="16">
        <f>IFERROR(tblRFM[[#This Row],[Satisfaction]],"")</f>
        <v>4</v>
      </c>
      <c r="R13" s="16">
        <f>IFERROR(tblRFM[[#This Row],[RecommendationLikelihood]],"")</f>
        <v>8</v>
      </c>
      <c r="S13" s="16">
        <f>COUNTIFS(tblTransactions[CustomerID],A13)</f>
        <v>1</v>
      </c>
      <c r="T13" s="18" t="str">
        <f>IFERROR(INDEX(tblClean[DiscountSensitivity],MATCH(A13,tblClean[CustomerID],0)),"")</f>
        <v>Medium</v>
      </c>
    </row>
    <row r="14" spans="1:29" ht="15" customHeight="1" x14ac:dyDescent="0.3">
      <c r="A14" s="19" t="str">
        <f>tblRFM[[#This Row],[CustomerID]]</f>
        <v>C0012</v>
      </c>
      <c r="B14" s="19" t="str">
        <f>tblRFM[[#This Row],[Name]]</f>
        <v>Gaurav Saxena</v>
      </c>
      <c r="C14" s="18" t="str">
        <f>IFERROR(INDEX(tblClean[Gender],MATCH(A14,tblClean[CustomerID],0)),"")</f>
        <v>Male</v>
      </c>
      <c r="D14" s="19" t="str">
        <f>tblRFM[[#This Row],[AgeGroup]]</f>
        <v>55+</v>
      </c>
      <c r="E14" s="19" t="str">
        <f>tblRFM[[#This Row],[City/Region]]</f>
        <v>Lucknow</v>
      </c>
      <c r="F14" s="19" t="str">
        <f>tblRFM[[#This Row],[IncomeBracket]]</f>
        <v>High</v>
      </c>
      <c r="G14" s="19" t="str">
        <f>tblRFM[[#This Row],[CustomerType]]</f>
        <v>Returning</v>
      </c>
      <c r="H14" s="19" t="str">
        <f>tblRFM[[#This Row],[EngagementLevel]]</f>
        <v>Low</v>
      </c>
      <c r="I14" s="19" t="str">
        <f ca="1">tblRFM[[#This Row],[CustomerSegment]]</f>
        <v>At Risk</v>
      </c>
      <c r="J14" s="19" t="str">
        <f>tblRFM[[#This Row],[ProductPreference]]</f>
        <v>Grocery</v>
      </c>
      <c r="K14" s="18" t="str">
        <f>IFERROR(INDEX(tblClean[PurchaseChannel],MATCH(A14,tblClean[CustomerID],0)),"")</f>
        <v>Online</v>
      </c>
      <c r="L14" s="23">
        <f ca="1">tblRFM[[#This Row],[RFM_Recency]]</f>
        <v>160</v>
      </c>
      <c r="M14" s="23">
        <f>tblRFM[[#This Row],[RFM_Frequency]]</f>
        <v>2</v>
      </c>
      <c r="N14" s="23">
        <f>tblRFM[[#This Row],[RFM_Monetary]]</f>
        <v>5290</v>
      </c>
      <c r="O14" s="19" t="str">
        <f ca="1">tblRFM[[#This Row],[RFM_Score]]</f>
        <v>222</v>
      </c>
      <c r="P14" s="19">
        <f>IFERROR(tblRFM[[#This Row],[SatisfactionIndex]],"")</f>
        <v>4</v>
      </c>
      <c r="Q14" s="19">
        <f>IFERROR(tblRFM[[#This Row],[Satisfaction]],"")</f>
        <v>4</v>
      </c>
      <c r="R14" s="19">
        <f>IFERROR(tblRFM[[#This Row],[RecommendationLikelihood]],"")</f>
        <v>8</v>
      </c>
      <c r="S14" s="19">
        <f>COUNTIFS(tblTransactions[CustomerID],A14)</f>
        <v>2</v>
      </c>
      <c r="T14" s="18" t="str">
        <f>IFERROR(INDEX(tblClean[DiscountSensitivity],MATCH(A14,tblClean[CustomerID],0)),"")</f>
        <v>Medium</v>
      </c>
    </row>
    <row r="15" spans="1:29" ht="15" customHeight="1" x14ac:dyDescent="0.3">
      <c r="A15" s="16" t="str">
        <f>tblRFM[[#This Row],[CustomerID]]</f>
        <v>C0013</v>
      </c>
      <c r="B15" s="16" t="str">
        <f>tblRFM[[#This Row],[Name]]</f>
        <v>Sanjay Yadav</v>
      </c>
      <c r="C15" s="18" t="str">
        <f>IFERROR(INDEX(tblClean[Gender],MATCH(A15,tblClean[CustomerID],0)),"")</f>
        <v>Male</v>
      </c>
      <c r="D15" s="16" t="str">
        <f>tblRFM[[#This Row],[AgeGroup]]</f>
        <v>&lt;25</v>
      </c>
      <c r="E15" s="16" t="str">
        <f>tblRFM[[#This Row],[City/Region]]</f>
        <v>Noida</v>
      </c>
      <c r="F15" s="16" t="str">
        <f>tblRFM[[#This Row],[IncomeBracket]]</f>
        <v>Mid</v>
      </c>
      <c r="G15" s="16" t="str">
        <f>tblRFM[[#This Row],[CustomerType]]</f>
        <v>Returning</v>
      </c>
      <c r="H15" s="16" t="str">
        <f>tblRFM[[#This Row],[EngagementLevel]]</f>
        <v>Low</v>
      </c>
      <c r="I15" s="16" t="str">
        <f ca="1">tblRFM[[#This Row],[CustomerSegment]]</f>
        <v>Loyal</v>
      </c>
      <c r="J15" s="16" t="str">
        <f>tblRFM[[#This Row],[ProductPreference]]</f>
        <v>Sports</v>
      </c>
      <c r="K15" s="18" t="str">
        <f>IFERROR(INDEX(tblClean[PurchaseChannel],MATCH(A15,tblClean[CustomerID],0)),"")</f>
        <v>Offline</v>
      </c>
      <c r="L15" s="22">
        <f ca="1">tblRFM[[#This Row],[RFM_Recency]]</f>
        <v>29</v>
      </c>
      <c r="M15" s="22">
        <f>tblRFM[[#This Row],[RFM_Frequency]]</f>
        <v>14</v>
      </c>
      <c r="N15" s="22">
        <f>tblRFM[[#This Row],[RFM_Monetary]]</f>
        <v>93470</v>
      </c>
      <c r="O15" s="16" t="str">
        <f ca="1">tblRFM[[#This Row],[RFM_Score]]</f>
        <v>555</v>
      </c>
      <c r="P15" s="16">
        <f>IFERROR(tblRFM[[#This Row],[SatisfactionIndex]],"")</f>
        <v>3.5</v>
      </c>
      <c r="Q15" s="16">
        <f>IFERROR(tblRFM[[#This Row],[Satisfaction]],"")</f>
        <v>3</v>
      </c>
      <c r="R15" s="16">
        <f>IFERROR(tblRFM[[#This Row],[RecommendationLikelihood]],"")</f>
        <v>8</v>
      </c>
      <c r="S15" s="16">
        <f>COUNTIFS(tblTransactions[CustomerID],A15)</f>
        <v>14</v>
      </c>
      <c r="T15" s="18" t="str">
        <f>IFERROR(INDEX(tblClean[DiscountSensitivity],MATCH(A15,tblClean[CustomerID],0)),"")</f>
        <v>Medium</v>
      </c>
    </row>
    <row r="16" spans="1:29" ht="15" customHeight="1" x14ac:dyDescent="0.3">
      <c r="A16" s="19" t="str">
        <f>tblRFM[[#This Row],[CustomerID]]</f>
        <v>C0014</v>
      </c>
      <c r="B16" s="19" t="str">
        <f>tblRFM[[#This Row],[Name]]</f>
        <v>Rahul Mishra</v>
      </c>
      <c r="C16" s="18" t="str">
        <f>IFERROR(INDEX(tblClean[Gender],MATCH(A16,tblClean[CustomerID],0)),"")</f>
        <v>Male</v>
      </c>
      <c r="D16" s="19" t="str">
        <f>tblRFM[[#This Row],[AgeGroup]]</f>
        <v>40-54</v>
      </c>
      <c r="E16" s="19" t="str">
        <f>tblRFM[[#This Row],[City/Region]]</f>
        <v>Surat</v>
      </c>
      <c r="F16" s="19" t="str">
        <f>tblRFM[[#This Row],[IncomeBracket]]</f>
        <v>Mid</v>
      </c>
      <c r="G16" s="19" t="str">
        <f>tblRFM[[#This Row],[CustomerType]]</f>
        <v>New</v>
      </c>
      <c r="H16" s="19" t="str">
        <f>tblRFM[[#This Row],[EngagementLevel]]</f>
        <v>High</v>
      </c>
      <c r="I16" s="19" t="str">
        <f ca="1">tblRFM[[#This Row],[CustomerSegment]]</f>
        <v>General</v>
      </c>
      <c r="J16" s="19" t="str">
        <f>tblRFM[[#This Row],[ProductPreference]]</f>
        <v>Grocery</v>
      </c>
      <c r="K16" s="18" t="str">
        <f>IFERROR(INDEX(tblClean[PurchaseChannel],MATCH(A16,tblClean[CustomerID],0)),"")</f>
        <v>Offline</v>
      </c>
      <c r="L16" s="23">
        <f ca="1">tblRFM[[#This Row],[RFM_Recency]]</f>
        <v>81</v>
      </c>
      <c r="M16" s="23">
        <f>tblRFM[[#This Row],[RFM_Frequency]]</f>
        <v>1</v>
      </c>
      <c r="N16" s="23">
        <f>tblRFM[[#This Row],[RFM_Monetary]]</f>
        <v>17170</v>
      </c>
      <c r="O16" s="19" t="str">
        <f ca="1">tblRFM[[#This Row],[RFM_Score]]</f>
        <v>313</v>
      </c>
      <c r="P16" s="19">
        <f>IFERROR(tblRFM[[#This Row],[SatisfactionIndex]],"")</f>
        <v>3.25</v>
      </c>
      <c r="Q16" s="19">
        <f>IFERROR(tblRFM[[#This Row],[Satisfaction]],"")</f>
        <v>4</v>
      </c>
      <c r="R16" s="19">
        <f>IFERROR(tblRFM[[#This Row],[RecommendationLikelihood]],"")</f>
        <v>5</v>
      </c>
      <c r="S16" s="19">
        <f>COUNTIFS(tblTransactions[CustomerID],A16)</f>
        <v>1</v>
      </c>
      <c r="T16" s="18" t="str">
        <f>IFERROR(INDEX(tblClean[DiscountSensitivity],MATCH(A16,tblClean[CustomerID],0)),"")</f>
        <v>High</v>
      </c>
    </row>
    <row r="17" spans="1:20" ht="15" customHeight="1" x14ac:dyDescent="0.3">
      <c r="A17" s="16" t="str">
        <f>tblRFM[[#This Row],[CustomerID]]</f>
        <v>C0015</v>
      </c>
      <c r="B17" s="16" t="str">
        <f>tblRFM[[#This Row],[Name]]</f>
        <v>Varun Chopra</v>
      </c>
      <c r="C17" s="18" t="str">
        <f>IFERROR(INDEX(tblClean[Gender],MATCH(A17,tblClean[CustomerID],0)),"")</f>
        <v>Male</v>
      </c>
      <c r="D17" s="16" t="str">
        <f>tblRFM[[#This Row],[AgeGroup]]</f>
        <v>55+</v>
      </c>
      <c r="E17" s="16" t="str">
        <f>tblRFM[[#This Row],[City/Region]]</f>
        <v>Jaipur</v>
      </c>
      <c r="F17" s="16" t="str">
        <f>tblRFM[[#This Row],[IncomeBracket]]</f>
        <v>Mid</v>
      </c>
      <c r="G17" s="16" t="str">
        <f>tblRFM[[#This Row],[CustomerType]]</f>
        <v>New</v>
      </c>
      <c r="H17" s="16" t="str">
        <f>tblRFM[[#This Row],[EngagementLevel]]</f>
        <v>Medium</v>
      </c>
      <c r="I17" s="16" t="str">
        <f ca="1">tblRFM[[#This Row],[CustomerSegment]]</f>
        <v>General</v>
      </c>
      <c r="J17" s="16" t="str">
        <f>tblRFM[[#This Row],[ProductPreference]]</f>
        <v>Electronics</v>
      </c>
      <c r="K17" s="18" t="str">
        <f>IFERROR(INDEX(tblClean[PurchaseChannel],MATCH(A17,tblClean[CustomerID],0)),"")</f>
        <v>Online</v>
      </c>
      <c r="L17" s="22">
        <f ca="1">tblRFM[[#This Row],[RFM_Recency]]</f>
        <v>65</v>
      </c>
      <c r="M17" s="22">
        <f>tblRFM[[#This Row],[RFM_Frequency]]</f>
        <v>1</v>
      </c>
      <c r="N17" s="22">
        <f>tblRFM[[#This Row],[RFM_Monetary]]</f>
        <v>4430</v>
      </c>
      <c r="O17" s="16" t="str">
        <f ca="1">tblRFM[[#This Row],[RFM_Score]]</f>
        <v>311</v>
      </c>
      <c r="P17" s="16">
        <f>IFERROR(tblRFM[[#This Row],[SatisfactionIndex]],"")</f>
        <v>4</v>
      </c>
      <c r="Q17" s="16">
        <f>IFERROR(tblRFM[[#This Row],[Satisfaction]],"")</f>
        <v>5</v>
      </c>
      <c r="R17" s="16">
        <f>IFERROR(tblRFM[[#This Row],[RecommendationLikelihood]],"")</f>
        <v>6</v>
      </c>
      <c r="S17" s="16">
        <f>COUNTIFS(tblTransactions[CustomerID],A17)</f>
        <v>1</v>
      </c>
      <c r="T17" s="18" t="str">
        <f>IFERROR(INDEX(tblClean[DiscountSensitivity],MATCH(A17,tblClean[CustomerID],0)),"")</f>
        <v>High</v>
      </c>
    </row>
    <row r="18" spans="1:20" ht="15" customHeight="1" x14ac:dyDescent="0.3">
      <c r="A18" s="19" t="str">
        <f>tblRFM[[#This Row],[CustomerID]]</f>
        <v>C0016</v>
      </c>
      <c r="B18" s="19" t="str">
        <f>tblRFM[[#This Row],[Name]]</f>
        <v>Harish Reddy</v>
      </c>
      <c r="C18" s="18" t="str">
        <f>IFERROR(INDEX(tblClean[Gender],MATCH(A18,tblClean[CustomerID],0)),"")</f>
        <v>Male</v>
      </c>
      <c r="D18" s="19" t="str">
        <f>tblRFM[[#This Row],[AgeGroup]]</f>
        <v>40-54</v>
      </c>
      <c r="E18" s="19" t="str">
        <f>tblRFM[[#This Row],[City/Region]]</f>
        <v>Chennai</v>
      </c>
      <c r="F18" s="19" t="str">
        <f>tblRFM[[#This Row],[IncomeBracket]]</f>
        <v>High</v>
      </c>
      <c r="G18" s="19" t="str">
        <f>tblRFM[[#This Row],[CustomerType]]</f>
        <v>New</v>
      </c>
      <c r="H18" s="19" t="str">
        <f>tblRFM[[#This Row],[EngagementLevel]]</f>
        <v>Medium</v>
      </c>
      <c r="I18" s="19" t="str">
        <f ca="1">tblRFM[[#This Row],[CustomerSegment]]</f>
        <v>At Risk</v>
      </c>
      <c r="J18" s="19" t="str">
        <f>tblRFM[[#This Row],[ProductPreference]]</f>
        <v>Sports</v>
      </c>
      <c r="K18" s="18" t="str">
        <f>IFERROR(INDEX(tblClean[PurchaseChannel],MATCH(A18,tblClean[CustomerID],0)),"")</f>
        <v>Offline</v>
      </c>
      <c r="L18" s="23">
        <f ca="1">tblRFM[[#This Row],[RFM_Recency]]</f>
        <v>262</v>
      </c>
      <c r="M18" s="23">
        <f>tblRFM[[#This Row],[RFM_Frequency]]</f>
        <v>1</v>
      </c>
      <c r="N18" s="23">
        <f>tblRFM[[#This Row],[RFM_Monetary]]</f>
        <v>2170</v>
      </c>
      <c r="O18" s="19" t="str">
        <f ca="1">tblRFM[[#This Row],[RFM_Score]]</f>
        <v>111</v>
      </c>
      <c r="P18" s="19">
        <f>IFERROR(tblRFM[[#This Row],[SatisfactionIndex]],"")</f>
        <v>2.75</v>
      </c>
      <c r="Q18" s="19">
        <f>IFERROR(tblRFM[[#This Row],[Satisfaction]],"")</f>
        <v>2</v>
      </c>
      <c r="R18" s="19">
        <f>IFERROR(tblRFM[[#This Row],[RecommendationLikelihood]],"")</f>
        <v>7</v>
      </c>
      <c r="S18" s="19">
        <f>COUNTIFS(tblTransactions[CustomerID],A18)</f>
        <v>1</v>
      </c>
      <c r="T18" s="18" t="str">
        <f>IFERROR(INDEX(tblClean[DiscountSensitivity],MATCH(A18,tblClean[CustomerID],0)),"")</f>
        <v>Medium</v>
      </c>
    </row>
    <row r="19" spans="1:20" ht="15" customHeight="1" x14ac:dyDescent="0.3">
      <c r="A19" s="16" t="str">
        <f>tblRFM[[#This Row],[CustomerID]]</f>
        <v>C0017</v>
      </c>
      <c r="B19" s="16" t="str">
        <f>tblRFM[[#This Row],[Name]]</f>
        <v>Pradeep Iyer</v>
      </c>
      <c r="C19" s="18" t="str">
        <f>IFERROR(INDEX(tblClean[Gender],MATCH(A19,tblClean[CustomerID],0)),"")</f>
        <v>Male</v>
      </c>
      <c r="D19" s="16" t="str">
        <f>tblRFM[[#This Row],[AgeGroup]]</f>
        <v>25-39</v>
      </c>
      <c r="E19" s="16" t="str">
        <f>tblRFM[[#This Row],[City/Region]]</f>
        <v>Chandigarh</v>
      </c>
      <c r="F19" s="16" t="str">
        <f>tblRFM[[#This Row],[IncomeBracket]]</f>
        <v>High</v>
      </c>
      <c r="G19" s="16" t="str">
        <f>tblRFM[[#This Row],[CustomerType]]</f>
        <v>Returning</v>
      </c>
      <c r="H19" s="16" t="str">
        <f>tblRFM[[#This Row],[EngagementLevel]]</f>
        <v>High</v>
      </c>
      <c r="I19" s="16" t="str">
        <f ca="1">tblRFM[[#This Row],[CustomerSegment]]</f>
        <v>High Value</v>
      </c>
      <c r="J19" s="16" t="str">
        <f>tblRFM[[#This Row],[ProductPreference]]</f>
        <v>Home Decor</v>
      </c>
      <c r="K19" s="18" t="str">
        <f>IFERROR(INDEX(tblClean[PurchaseChannel],MATCH(A19,tblClean[CustomerID],0)),"")</f>
        <v>Offline</v>
      </c>
      <c r="L19" s="22">
        <f ca="1">tblRFM[[#This Row],[RFM_Recency]]</f>
        <v>56</v>
      </c>
      <c r="M19" s="22">
        <f>tblRFM[[#This Row],[RFM_Frequency]]</f>
        <v>12</v>
      </c>
      <c r="N19" s="22">
        <f>tblRFM[[#This Row],[RFM_Monetary]]</f>
        <v>57460</v>
      </c>
      <c r="O19" s="16" t="str">
        <f ca="1">tblRFM[[#This Row],[RFM_Score]]</f>
        <v>455</v>
      </c>
      <c r="P19" s="16">
        <f>IFERROR(tblRFM[[#This Row],[SatisfactionIndex]],"")</f>
        <v>3.25</v>
      </c>
      <c r="Q19" s="16">
        <f>IFERROR(tblRFM[[#This Row],[Satisfaction]],"")</f>
        <v>3</v>
      </c>
      <c r="R19" s="16">
        <f>IFERROR(tblRFM[[#This Row],[RecommendationLikelihood]],"")</f>
        <v>7</v>
      </c>
      <c r="S19" s="16">
        <f>COUNTIFS(tblTransactions[CustomerID],A19)</f>
        <v>12</v>
      </c>
      <c r="T19" s="18" t="str">
        <f>IFERROR(INDEX(tblClean[DiscountSensitivity],MATCH(A19,tblClean[CustomerID],0)),"")</f>
        <v>Medium</v>
      </c>
    </row>
    <row r="20" spans="1:20" ht="15" customHeight="1" x14ac:dyDescent="0.3">
      <c r="A20" s="19" t="str">
        <f>tblRFM[[#This Row],[CustomerID]]</f>
        <v>C0018</v>
      </c>
      <c r="B20" s="19" t="str">
        <f>tblRFM[[#This Row],[Name]]</f>
        <v>Ankit Dubey</v>
      </c>
      <c r="C20" s="18" t="str">
        <f>IFERROR(INDEX(tblClean[Gender],MATCH(A20,tblClean[CustomerID],0)),"")</f>
        <v>Male</v>
      </c>
      <c r="D20" s="19" t="str">
        <f>tblRFM[[#This Row],[AgeGroup]]</f>
        <v>40-54</v>
      </c>
      <c r="E20" s="19" t="str">
        <f>tblRFM[[#This Row],[City/Region]]</f>
        <v>Delhi</v>
      </c>
      <c r="F20" s="19" t="str">
        <f>tblRFM[[#This Row],[IncomeBracket]]</f>
        <v>Mid</v>
      </c>
      <c r="G20" s="19" t="str">
        <f>tblRFM[[#This Row],[CustomerType]]</f>
        <v>Returning</v>
      </c>
      <c r="H20" s="19" t="str">
        <f>tblRFM[[#This Row],[EngagementLevel]]</f>
        <v>Medium</v>
      </c>
      <c r="I20" s="19" t="str">
        <f ca="1">tblRFM[[#This Row],[CustomerSegment]]</f>
        <v>Bargain Seeker</v>
      </c>
      <c r="J20" s="19" t="str">
        <f>tblRFM[[#This Row],[ProductPreference]]</f>
        <v>Clothing</v>
      </c>
      <c r="K20" s="18" t="str">
        <f>IFERROR(INDEX(tblClean[PurchaseChannel],MATCH(A20,tblClean[CustomerID],0)),"")</f>
        <v>Offline</v>
      </c>
      <c r="L20" s="23">
        <f ca="1">tblRFM[[#This Row],[RFM_Recency]]</f>
        <v>13</v>
      </c>
      <c r="M20" s="23">
        <f>tblRFM[[#This Row],[RFM_Frequency]]</f>
        <v>5</v>
      </c>
      <c r="N20" s="23">
        <f>tblRFM[[#This Row],[RFM_Monetary]]</f>
        <v>22010</v>
      </c>
      <c r="O20" s="19" t="str">
        <f ca="1">tblRFM[[#This Row],[RFM_Score]]</f>
        <v>533</v>
      </c>
      <c r="P20" s="19">
        <f>IFERROR(tblRFM[[#This Row],[SatisfactionIndex]],"")</f>
        <v>3.75</v>
      </c>
      <c r="Q20" s="19">
        <f>IFERROR(tblRFM[[#This Row],[Satisfaction]],"")</f>
        <v>4</v>
      </c>
      <c r="R20" s="19">
        <f>IFERROR(tblRFM[[#This Row],[RecommendationLikelihood]],"")</f>
        <v>7</v>
      </c>
      <c r="S20" s="19">
        <f>COUNTIFS(tblTransactions[CustomerID],A20)</f>
        <v>5</v>
      </c>
      <c r="T20" s="18" t="str">
        <f>IFERROR(INDEX(tblClean[DiscountSensitivity],MATCH(A20,tblClean[CustomerID],0)),"")</f>
        <v>Low</v>
      </c>
    </row>
    <row r="21" spans="1:20" ht="15" customHeight="1" x14ac:dyDescent="0.3">
      <c r="A21" s="16" t="str">
        <f>tblRFM[[#This Row],[CustomerID]]</f>
        <v>C0019</v>
      </c>
      <c r="B21" s="16" t="str">
        <f>tblRFM[[#This Row],[Name]]</f>
        <v>Vivek Pandey</v>
      </c>
      <c r="C21" s="18" t="str">
        <f>IFERROR(INDEX(tblClean[Gender],MATCH(A21,tblClean[CustomerID],0)),"")</f>
        <v>Male</v>
      </c>
      <c r="D21" s="16" t="str">
        <f>tblRFM[[#This Row],[AgeGroup]]</f>
        <v>55+</v>
      </c>
      <c r="E21" s="16" t="str">
        <f>tblRFM[[#This Row],[City/Region]]</f>
        <v>Bangalore</v>
      </c>
      <c r="F21" s="16" t="str">
        <f>tblRFM[[#This Row],[IncomeBracket]]</f>
        <v>Mid</v>
      </c>
      <c r="G21" s="16" t="str">
        <f>tblRFM[[#This Row],[CustomerType]]</f>
        <v>Returning</v>
      </c>
      <c r="H21" s="16" t="str">
        <f>tblRFM[[#This Row],[EngagementLevel]]</f>
        <v>Medium</v>
      </c>
      <c r="I21" s="16" t="str">
        <f ca="1">tblRFM[[#This Row],[CustomerSegment]]</f>
        <v>Loyal</v>
      </c>
      <c r="J21" s="16" t="str">
        <f>tblRFM[[#This Row],[ProductPreference]]</f>
        <v>Electronics</v>
      </c>
      <c r="K21" s="18" t="str">
        <f>IFERROR(INDEX(tblClean[PurchaseChannel],MATCH(A21,tblClean[CustomerID],0)),"")</f>
        <v>Offline</v>
      </c>
      <c r="L21" s="22">
        <f ca="1">tblRFM[[#This Row],[RFM_Recency]]</f>
        <v>20</v>
      </c>
      <c r="M21" s="22">
        <f>tblRFM[[#This Row],[RFM_Frequency]]</f>
        <v>13</v>
      </c>
      <c r="N21" s="22">
        <f>tblRFM[[#This Row],[RFM_Monetary]]</f>
        <v>101320</v>
      </c>
      <c r="O21" s="16" t="str">
        <f ca="1">tblRFM[[#This Row],[RFM_Score]]</f>
        <v>555</v>
      </c>
      <c r="P21" s="16">
        <f>IFERROR(tblRFM[[#This Row],[SatisfactionIndex]],"")</f>
        <v>3.5</v>
      </c>
      <c r="Q21" s="16">
        <f>IFERROR(tblRFM[[#This Row],[Satisfaction]],"")</f>
        <v>4</v>
      </c>
      <c r="R21" s="16">
        <f>IFERROR(tblRFM[[#This Row],[RecommendationLikelihood]],"")</f>
        <v>6</v>
      </c>
      <c r="S21" s="16">
        <f>COUNTIFS(tblTransactions[CustomerID],A21)</f>
        <v>13</v>
      </c>
      <c r="T21" s="18" t="str">
        <f>IFERROR(INDEX(tblClean[DiscountSensitivity],MATCH(A21,tblClean[CustomerID],0)),"")</f>
        <v>Low</v>
      </c>
    </row>
    <row r="22" spans="1:20" ht="15" customHeight="1" x14ac:dyDescent="0.3">
      <c r="A22" s="19" t="str">
        <f>tblRFM[[#This Row],[CustomerID]]</f>
        <v>C0020</v>
      </c>
      <c r="B22" s="19" t="str">
        <f>tblRFM[[#This Row],[Name]]</f>
        <v>Mohit Bhatia</v>
      </c>
      <c r="C22" s="18" t="str">
        <f>IFERROR(INDEX(tblClean[Gender],MATCH(A22,tblClean[CustomerID],0)),"")</f>
        <v>Male</v>
      </c>
      <c r="D22" s="19" t="str">
        <f>tblRFM[[#This Row],[AgeGroup]]</f>
        <v>55+</v>
      </c>
      <c r="E22" s="19" t="str">
        <f>tblRFM[[#This Row],[City/Region]]</f>
        <v>Bhopal</v>
      </c>
      <c r="F22" s="19" t="str">
        <f>tblRFM[[#This Row],[IncomeBracket]]</f>
        <v>High</v>
      </c>
      <c r="G22" s="19" t="str">
        <f>tblRFM[[#This Row],[CustomerType]]</f>
        <v>Returning</v>
      </c>
      <c r="H22" s="19" t="str">
        <f>tblRFM[[#This Row],[EngagementLevel]]</f>
        <v>Medium</v>
      </c>
      <c r="I22" s="19" t="str">
        <f ca="1">tblRFM[[#This Row],[CustomerSegment]]</f>
        <v>General</v>
      </c>
      <c r="J22" s="19" t="str">
        <f>tblRFM[[#This Row],[ProductPreference]]</f>
        <v>Clothing</v>
      </c>
      <c r="K22" s="18" t="str">
        <f>IFERROR(INDEX(tblClean[PurchaseChannel],MATCH(A22,tblClean[CustomerID],0)),"")</f>
        <v>Online</v>
      </c>
      <c r="L22" s="23">
        <f ca="1">tblRFM[[#This Row],[RFM_Recency]]</f>
        <v>27</v>
      </c>
      <c r="M22" s="23">
        <f>tblRFM[[#This Row],[RFM_Frequency]]</f>
        <v>2</v>
      </c>
      <c r="N22" s="23">
        <f>tblRFM[[#This Row],[RFM_Monetary]]</f>
        <v>13200</v>
      </c>
      <c r="O22" s="19" t="str">
        <f ca="1">tblRFM[[#This Row],[RFM_Score]]</f>
        <v>522</v>
      </c>
      <c r="P22" s="19">
        <f>IFERROR(tblRFM[[#This Row],[SatisfactionIndex]],"")</f>
        <v>3.5</v>
      </c>
      <c r="Q22" s="19">
        <f>IFERROR(tblRFM[[#This Row],[Satisfaction]],"")</f>
        <v>4</v>
      </c>
      <c r="R22" s="19">
        <f>IFERROR(tblRFM[[#This Row],[RecommendationLikelihood]],"")</f>
        <v>6</v>
      </c>
      <c r="S22" s="19">
        <f>COUNTIFS(tblTransactions[CustomerID],A22)</f>
        <v>2</v>
      </c>
      <c r="T22" s="18" t="str">
        <f>IFERROR(INDEX(tblClean[DiscountSensitivity],MATCH(A22,tblClean[CustomerID],0)),"")</f>
        <v>Low</v>
      </c>
    </row>
    <row r="23" spans="1:20" ht="15" customHeight="1" x14ac:dyDescent="0.3">
      <c r="A23" s="16" t="str">
        <f>tblRFM[[#This Row],[CustomerID]]</f>
        <v>C0021</v>
      </c>
      <c r="B23" s="16" t="str">
        <f>tblRFM[[#This Row],[Name]]</f>
        <v>Sachin Rao</v>
      </c>
      <c r="C23" s="18" t="str">
        <f>IFERROR(INDEX(tblClean[Gender],MATCH(A23,tblClean[CustomerID],0)),"")</f>
        <v>Male</v>
      </c>
      <c r="D23" s="16" t="str">
        <f>tblRFM[[#This Row],[AgeGroup]]</f>
        <v>40-54</v>
      </c>
      <c r="E23" s="16" t="str">
        <f>tblRFM[[#This Row],[City/Region]]</f>
        <v>Hyderabad</v>
      </c>
      <c r="F23" s="16" t="str">
        <f>tblRFM[[#This Row],[IncomeBracket]]</f>
        <v>High</v>
      </c>
      <c r="G23" s="16" t="str">
        <f>tblRFM[[#This Row],[CustomerType]]</f>
        <v>Returning</v>
      </c>
      <c r="H23" s="16" t="str">
        <f>tblRFM[[#This Row],[EngagementLevel]]</f>
        <v>Medium</v>
      </c>
      <c r="I23" s="16" t="str">
        <f ca="1">tblRFM[[#This Row],[CustomerSegment]]</f>
        <v>Bargain Seeker</v>
      </c>
      <c r="J23" s="16" t="str">
        <f>tblRFM[[#This Row],[ProductPreference]]</f>
        <v>Electronics</v>
      </c>
      <c r="K23" s="18" t="str">
        <f>IFERROR(INDEX(tblClean[PurchaseChannel],MATCH(A23,tblClean[CustomerID],0)),"")</f>
        <v>Offline</v>
      </c>
      <c r="L23" s="22">
        <f ca="1">tblRFM[[#This Row],[RFM_Recency]]</f>
        <v>42</v>
      </c>
      <c r="M23" s="22">
        <f>tblRFM[[#This Row],[RFM_Frequency]]</f>
        <v>5</v>
      </c>
      <c r="N23" s="22">
        <f>tblRFM[[#This Row],[RFM_Monetary]]</f>
        <v>17460</v>
      </c>
      <c r="O23" s="16" t="str">
        <f ca="1">tblRFM[[#This Row],[RFM_Score]]</f>
        <v>433</v>
      </c>
      <c r="P23" s="16">
        <f>IFERROR(tblRFM[[#This Row],[SatisfactionIndex]],"")</f>
        <v>3</v>
      </c>
      <c r="Q23" s="16">
        <f>IFERROR(tblRFM[[#This Row],[Satisfaction]],"")</f>
        <v>2</v>
      </c>
      <c r="R23" s="16">
        <f>IFERROR(tblRFM[[#This Row],[RecommendationLikelihood]],"")</f>
        <v>8</v>
      </c>
      <c r="S23" s="16">
        <f>COUNTIFS(tblTransactions[CustomerID],A23)</f>
        <v>5</v>
      </c>
      <c r="T23" s="18" t="str">
        <f>IFERROR(INDEX(tblClean[DiscountSensitivity],MATCH(A23,tblClean[CustomerID],0)),"")</f>
        <v>Medium</v>
      </c>
    </row>
    <row r="24" spans="1:20" ht="15" customHeight="1" x14ac:dyDescent="0.3">
      <c r="A24" s="19" t="str">
        <f>tblRFM[[#This Row],[CustomerID]]</f>
        <v>C0022</v>
      </c>
      <c r="B24" s="19" t="str">
        <f>tblRFM[[#This Row],[Name]]</f>
        <v>Tarun Malhotra</v>
      </c>
      <c r="C24" s="18" t="str">
        <f>IFERROR(INDEX(tblClean[Gender],MATCH(A24,tblClean[CustomerID],0)),"")</f>
        <v>Male</v>
      </c>
      <c r="D24" s="19" t="str">
        <f>tblRFM[[#This Row],[AgeGroup]]</f>
        <v>25-39</v>
      </c>
      <c r="E24" s="19" t="str">
        <f>tblRFM[[#This Row],[City/Region]]</f>
        <v>Pune</v>
      </c>
      <c r="F24" s="19" t="str">
        <f>tblRFM[[#This Row],[IncomeBracket]]</f>
        <v>Mid</v>
      </c>
      <c r="G24" s="19" t="str">
        <f>tblRFM[[#This Row],[CustomerType]]</f>
        <v>Returning</v>
      </c>
      <c r="H24" s="19" t="str">
        <f>tblRFM[[#This Row],[EngagementLevel]]</f>
        <v>Medium</v>
      </c>
      <c r="I24" s="19" t="str">
        <f ca="1">tblRFM[[#This Row],[CustomerSegment]]</f>
        <v>General</v>
      </c>
      <c r="J24" s="19" t="str">
        <f>tblRFM[[#This Row],[ProductPreference]]</f>
        <v>Sports</v>
      </c>
      <c r="K24" s="18" t="str">
        <f>IFERROR(INDEX(tblClean[PurchaseChannel],MATCH(A24,tblClean[CustomerID],0)),"")</f>
        <v>Online</v>
      </c>
      <c r="L24" s="23">
        <f ca="1">tblRFM[[#This Row],[RFM_Recency]]</f>
        <v>89</v>
      </c>
      <c r="M24" s="23">
        <f>tblRFM[[#This Row],[RFM_Frequency]]</f>
        <v>5</v>
      </c>
      <c r="N24" s="23">
        <f>tblRFM[[#This Row],[RFM_Monetary]]</f>
        <v>36500</v>
      </c>
      <c r="O24" s="19" t="str">
        <f ca="1">tblRFM[[#This Row],[RFM_Score]]</f>
        <v>334</v>
      </c>
      <c r="P24" s="19">
        <f>IFERROR(tblRFM[[#This Row],[SatisfactionIndex]],"")</f>
        <v>2.75</v>
      </c>
      <c r="Q24" s="19">
        <f>IFERROR(tblRFM[[#This Row],[Satisfaction]],"")</f>
        <v>3</v>
      </c>
      <c r="R24" s="19">
        <f>IFERROR(tblRFM[[#This Row],[RecommendationLikelihood]],"")</f>
        <v>5</v>
      </c>
      <c r="S24" s="19">
        <f>COUNTIFS(tblTransactions[CustomerID],A24)</f>
        <v>5</v>
      </c>
      <c r="T24" s="18" t="str">
        <f>IFERROR(INDEX(tblClean[DiscountSensitivity],MATCH(A24,tblClean[CustomerID],0)),"")</f>
        <v>Low</v>
      </c>
    </row>
    <row r="25" spans="1:20" ht="15" customHeight="1" x14ac:dyDescent="0.3">
      <c r="A25" s="16" t="str">
        <f>tblRFM[[#This Row],[CustomerID]]</f>
        <v>C0023</v>
      </c>
      <c r="B25" s="16" t="str">
        <f>tblRFM[[#This Row],[Name]]</f>
        <v>Vijay Menon</v>
      </c>
      <c r="C25" s="18" t="str">
        <f>IFERROR(INDEX(tblClean[Gender],MATCH(A25,tblClean[CustomerID],0)),"")</f>
        <v>Male</v>
      </c>
      <c r="D25" s="16" t="str">
        <f>tblRFM[[#This Row],[AgeGroup]]</f>
        <v>55+</v>
      </c>
      <c r="E25" s="16" t="str">
        <f>tblRFM[[#This Row],[City/Region]]</f>
        <v>Mumbai</v>
      </c>
      <c r="F25" s="16" t="str">
        <f>tblRFM[[#This Row],[IncomeBracket]]</f>
        <v>Mid</v>
      </c>
      <c r="G25" s="16" t="str">
        <f>tblRFM[[#This Row],[CustomerType]]</f>
        <v>New</v>
      </c>
      <c r="H25" s="16" t="str">
        <f>tblRFM[[#This Row],[EngagementLevel]]</f>
        <v>Low</v>
      </c>
      <c r="I25" s="16" t="str">
        <f ca="1">tblRFM[[#This Row],[CustomerSegment]]</f>
        <v>General</v>
      </c>
      <c r="J25" s="16" t="str">
        <f>tblRFM[[#This Row],[ProductPreference]]</f>
        <v>Beauty</v>
      </c>
      <c r="K25" s="18" t="str">
        <f>IFERROR(INDEX(tblClean[PurchaseChannel],MATCH(A25,tblClean[CustomerID],0)),"")</f>
        <v>Offline</v>
      </c>
      <c r="L25" s="22">
        <f ca="1">tblRFM[[#This Row],[RFM_Recency]]</f>
        <v>35</v>
      </c>
      <c r="M25" s="22">
        <f>tblRFM[[#This Row],[RFM_Frequency]]</f>
        <v>1</v>
      </c>
      <c r="N25" s="22">
        <f>tblRFM[[#This Row],[RFM_Monetary]]</f>
        <v>3450</v>
      </c>
      <c r="O25" s="16" t="str">
        <f ca="1">tblRFM[[#This Row],[RFM_Score]]</f>
        <v>411</v>
      </c>
      <c r="P25" s="16">
        <f>IFERROR(tblRFM[[#This Row],[SatisfactionIndex]],"")</f>
        <v>3.75</v>
      </c>
      <c r="Q25" s="16">
        <f>IFERROR(tblRFM[[#This Row],[Satisfaction]],"")</f>
        <v>3</v>
      </c>
      <c r="R25" s="16">
        <f>IFERROR(tblRFM[[#This Row],[RecommendationLikelihood]],"")</f>
        <v>9</v>
      </c>
      <c r="S25" s="16">
        <f>COUNTIFS(tblTransactions[CustomerID],A25)</f>
        <v>1</v>
      </c>
      <c r="T25" s="18" t="str">
        <f>IFERROR(INDEX(tblClean[DiscountSensitivity],MATCH(A25,tblClean[CustomerID],0)),"")</f>
        <v>Medium</v>
      </c>
    </row>
    <row r="26" spans="1:20" ht="15" customHeight="1" x14ac:dyDescent="0.3">
      <c r="A26" s="19" t="str">
        <f>tblRFM[[#This Row],[CustomerID]]</f>
        <v>C0024</v>
      </c>
      <c r="B26" s="19" t="str">
        <f>tblRFM[[#This Row],[Name]]</f>
        <v>Naveen Pillai</v>
      </c>
      <c r="C26" s="18" t="str">
        <f>IFERROR(INDEX(tblClean[Gender],MATCH(A26,tblClean[CustomerID],0)),"")</f>
        <v>Male</v>
      </c>
      <c r="D26" s="19" t="str">
        <f>tblRFM[[#This Row],[AgeGroup]]</f>
        <v>25-39</v>
      </c>
      <c r="E26" s="19" t="str">
        <f>tblRFM[[#This Row],[City/Region]]</f>
        <v>Indore</v>
      </c>
      <c r="F26" s="19" t="str">
        <f>tblRFM[[#This Row],[IncomeBracket]]</f>
        <v>Mid</v>
      </c>
      <c r="G26" s="19" t="str">
        <f>tblRFM[[#This Row],[CustomerType]]</f>
        <v>New</v>
      </c>
      <c r="H26" s="19" t="str">
        <f>tblRFM[[#This Row],[EngagementLevel]]</f>
        <v>Medium</v>
      </c>
      <c r="I26" s="19" t="str">
        <f ca="1">tblRFM[[#This Row],[CustomerSegment]]</f>
        <v>General</v>
      </c>
      <c r="J26" s="19" t="str">
        <f>tblRFM[[#This Row],[ProductPreference]]</f>
        <v>Sports</v>
      </c>
      <c r="K26" s="18" t="str">
        <f>IFERROR(INDEX(tblClean[PurchaseChannel],MATCH(A26,tblClean[CustomerID],0)),"")</f>
        <v>Online</v>
      </c>
      <c r="L26" s="23">
        <f ca="1">tblRFM[[#This Row],[RFM_Recency]]</f>
        <v>19</v>
      </c>
      <c r="M26" s="23">
        <f>tblRFM[[#This Row],[RFM_Frequency]]</f>
        <v>1</v>
      </c>
      <c r="N26" s="23">
        <f>tblRFM[[#This Row],[RFM_Monetary]]</f>
        <v>11200</v>
      </c>
      <c r="O26" s="19" t="str">
        <f ca="1">tblRFM[[#This Row],[RFM_Score]]</f>
        <v>512</v>
      </c>
      <c r="P26" s="19">
        <f>IFERROR(tblRFM[[#This Row],[SatisfactionIndex]],"")</f>
        <v>2.75</v>
      </c>
      <c r="Q26" s="19">
        <f>IFERROR(tblRFM[[#This Row],[Satisfaction]],"")</f>
        <v>3</v>
      </c>
      <c r="R26" s="19">
        <f>IFERROR(tblRFM[[#This Row],[RecommendationLikelihood]],"")</f>
        <v>5</v>
      </c>
      <c r="S26" s="19">
        <f>COUNTIFS(tblTransactions[CustomerID],A26)</f>
        <v>1</v>
      </c>
      <c r="T26" s="18" t="str">
        <f>IFERROR(INDEX(tblClean[DiscountSensitivity],MATCH(A26,tblClean[CustomerID],0)),"")</f>
        <v>Medium</v>
      </c>
    </row>
    <row r="27" spans="1:20" ht="15" customHeight="1" x14ac:dyDescent="0.3">
      <c r="A27" s="16" t="str">
        <f>tblRFM[[#This Row],[CustomerID]]</f>
        <v>C0025</v>
      </c>
      <c r="B27" s="16" t="str">
        <f>tblRFM[[#This Row],[Name]]</f>
        <v>Akash Srivastava</v>
      </c>
      <c r="C27" s="18" t="str">
        <f>IFERROR(INDEX(tblClean[Gender],MATCH(A27,tblClean[CustomerID],0)),"")</f>
        <v>Male</v>
      </c>
      <c r="D27" s="16" t="str">
        <f>tblRFM[[#This Row],[AgeGroup]]</f>
        <v>25-39</v>
      </c>
      <c r="E27" s="16" t="str">
        <f>tblRFM[[#This Row],[City/Region]]</f>
        <v>Noida</v>
      </c>
      <c r="F27" s="16" t="str">
        <f>tblRFM[[#This Row],[IncomeBracket]]</f>
        <v>High</v>
      </c>
      <c r="G27" s="16" t="str">
        <f>tblRFM[[#This Row],[CustomerType]]</f>
        <v>Returning</v>
      </c>
      <c r="H27" s="16" t="str">
        <f>tblRFM[[#This Row],[EngagementLevel]]</f>
        <v>Medium</v>
      </c>
      <c r="I27" s="16" t="str">
        <f ca="1">tblRFM[[#This Row],[CustomerSegment]]</f>
        <v>General</v>
      </c>
      <c r="J27" s="16" t="str">
        <f>tblRFM[[#This Row],[ProductPreference]]</f>
        <v>Beauty</v>
      </c>
      <c r="K27" s="18" t="str">
        <f>IFERROR(INDEX(tblClean[PurchaseChannel],MATCH(A27,tblClean[CustomerID],0)),"")</f>
        <v>Online</v>
      </c>
      <c r="L27" s="22">
        <f ca="1">tblRFM[[#This Row],[RFM_Recency]]</f>
        <v>146</v>
      </c>
      <c r="M27" s="22">
        <f>tblRFM[[#This Row],[RFM_Frequency]]</f>
        <v>6</v>
      </c>
      <c r="N27" s="22">
        <f>tblRFM[[#This Row],[RFM_Monetary]]</f>
        <v>35610</v>
      </c>
      <c r="O27" s="16" t="str">
        <f ca="1">tblRFM[[#This Row],[RFM_Score]]</f>
        <v>244</v>
      </c>
      <c r="P27" s="16">
        <f>IFERROR(tblRFM[[#This Row],[SatisfactionIndex]],"")</f>
        <v>4</v>
      </c>
      <c r="Q27" s="16">
        <f>IFERROR(tblRFM[[#This Row],[Satisfaction]],"")</f>
        <v>4</v>
      </c>
      <c r="R27" s="16">
        <f>IFERROR(tblRFM[[#This Row],[RecommendationLikelihood]],"")</f>
        <v>8</v>
      </c>
      <c r="S27" s="16">
        <f>COUNTIFS(tblTransactions[CustomerID],A27)</f>
        <v>6</v>
      </c>
      <c r="T27" s="18" t="str">
        <f>IFERROR(INDEX(tblClean[DiscountSensitivity],MATCH(A27,tblClean[CustomerID],0)),"")</f>
        <v>Medium</v>
      </c>
    </row>
    <row r="28" spans="1:20" ht="15" customHeight="1" x14ac:dyDescent="0.3">
      <c r="A28" s="19" t="str">
        <f>tblRFM[[#This Row],[CustomerID]]</f>
        <v>C0026</v>
      </c>
      <c r="B28" s="19" t="str">
        <f>tblRFM[[#This Row],[Name]]</f>
        <v>Dinesh Thakur</v>
      </c>
      <c r="C28" s="18" t="str">
        <f>IFERROR(INDEX(tblClean[Gender],MATCH(A28,tblClean[CustomerID],0)),"")</f>
        <v>Male</v>
      </c>
      <c r="D28" s="19" t="str">
        <f>tblRFM[[#This Row],[AgeGroup]]</f>
        <v>55+</v>
      </c>
      <c r="E28" s="19" t="str">
        <f>tblRFM[[#This Row],[City/Region]]</f>
        <v>Noida</v>
      </c>
      <c r="F28" s="19" t="str">
        <f>tblRFM[[#This Row],[IncomeBracket]]</f>
        <v>Mid</v>
      </c>
      <c r="G28" s="19" t="str">
        <f>tblRFM[[#This Row],[CustomerType]]</f>
        <v>New</v>
      </c>
      <c r="H28" s="19" t="str">
        <f>tblRFM[[#This Row],[EngagementLevel]]</f>
        <v>Low</v>
      </c>
      <c r="I28" s="19" t="str">
        <f ca="1">tblRFM[[#This Row],[CustomerSegment]]</f>
        <v>At Risk</v>
      </c>
      <c r="J28" s="19" t="str">
        <f>tblRFM[[#This Row],[ProductPreference]]</f>
        <v>Home Decor</v>
      </c>
      <c r="K28" s="18" t="str">
        <f>IFERROR(INDEX(tblClean[PurchaseChannel],MATCH(A28,tblClean[CustomerID],0)),"")</f>
        <v>Offline</v>
      </c>
      <c r="L28" s="23">
        <f ca="1">tblRFM[[#This Row],[RFM_Recency]]</f>
        <v>187</v>
      </c>
      <c r="M28" s="23">
        <f>tblRFM[[#This Row],[RFM_Frequency]]</f>
        <v>1</v>
      </c>
      <c r="N28" s="23">
        <f>tblRFM[[#This Row],[RFM_Monetary]]</f>
        <v>6620</v>
      </c>
      <c r="O28" s="19" t="str">
        <f ca="1">tblRFM[[#This Row],[RFM_Score]]</f>
        <v>112</v>
      </c>
      <c r="P28" s="19">
        <f>IFERROR(tblRFM[[#This Row],[SatisfactionIndex]],"")</f>
        <v>3.75</v>
      </c>
      <c r="Q28" s="19">
        <f>IFERROR(tblRFM[[#This Row],[Satisfaction]],"")</f>
        <v>3</v>
      </c>
      <c r="R28" s="19">
        <f>IFERROR(tblRFM[[#This Row],[RecommendationLikelihood]],"")</f>
        <v>9</v>
      </c>
      <c r="S28" s="19">
        <f>COUNTIFS(tblTransactions[CustomerID],A28)</f>
        <v>1</v>
      </c>
      <c r="T28" s="18" t="str">
        <f>IFERROR(INDEX(tblClean[DiscountSensitivity],MATCH(A28,tblClean[CustomerID],0)),"")</f>
        <v>Medium</v>
      </c>
    </row>
    <row r="29" spans="1:20" ht="15" customHeight="1" x14ac:dyDescent="0.3">
      <c r="A29" s="16" t="str">
        <f>tblRFM[[#This Row],[CustomerID]]</f>
        <v>C0027</v>
      </c>
      <c r="B29" s="16" t="str">
        <f>tblRFM[[#This Row],[Name]]</f>
        <v>Rakesh Bansal</v>
      </c>
      <c r="C29" s="18" t="str">
        <f>IFERROR(INDEX(tblClean[Gender],MATCH(A29,tblClean[CustomerID],0)),"")</f>
        <v>Male</v>
      </c>
      <c r="D29" s="16" t="str">
        <f>tblRFM[[#This Row],[AgeGroup]]</f>
        <v>25-39</v>
      </c>
      <c r="E29" s="16" t="str">
        <f>tblRFM[[#This Row],[City/Region]]</f>
        <v>Lucknow</v>
      </c>
      <c r="F29" s="16" t="str">
        <f>tblRFM[[#This Row],[IncomeBracket]]</f>
        <v>Mid</v>
      </c>
      <c r="G29" s="16" t="str">
        <f>tblRFM[[#This Row],[CustomerType]]</f>
        <v>Returning</v>
      </c>
      <c r="H29" s="16" t="str">
        <f>tblRFM[[#This Row],[EngagementLevel]]</f>
        <v>Medium</v>
      </c>
      <c r="I29" s="16" t="str">
        <f ca="1">tblRFM[[#This Row],[CustomerSegment]]</f>
        <v>General</v>
      </c>
      <c r="J29" s="16" t="str">
        <f>tblRFM[[#This Row],[ProductPreference]]</f>
        <v>Sports</v>
      </c>
      <c r="K29" s="18" t="str">
        <f>IFERROR(INDEX(tblClean[PurchaseChannel],MATCH(A29,tblClean[CustomerID],0)),"")</f>
        <v>Online</v>
      </c>
      <c r="L29" s="22">
        <f ca="1">tblRFM[[#This Row],[RFM_Recency]]</f>
        <v>50</v>
      </c>
      <c r="M29" s="22">
        <f>tblRFM[[#This Row],[RFM_Frequency]]</f>
        <v>6</v>
      </c>
      <c r="N29" s="22">
        <f>tblRFM[[#This Row],[RFM_Monetary]]</f>
        <v>38680</v>
      </c>
      <c r="O29" s="16" t="str">
        <f ca="1">tblRFM[[#This Row],[RFM_Score]]</f>
        <v>444</v>
      </c>
      <c r="P29" s="16">
        <f>IFERROR(tblRFM[[#This Row],[SatisfactionIndex]],"")</f>
        <v>2</v>
      </c>
      <c r="Q29" s="16">
        <f>IFERROR(tblRFM[[#This Row],[Satisfaction]],"")</f>
        <v>2</v>
      </c>
      <c r="R29" s="16">
        <f>IFERROR(tblRFM[[#This Row],[RecommendationLikelihood]],"")</f>
        <v>4</v>
      </c>
      <c r="S29" s="16">
        <f>COUNTIFS(tblTransactions[CustomerID],A29)</f>
        <v>6</v>
      </c>
      <c r="T29" s="18" t="str">
        <f>IFERROR(INDEX(tblClean[DiscountSensitivity],MATCH(A29,tblClean[CustomerID],0)),"")</f>
        <v>High</v>
      </c>
    </row>
    <row r="30" spans="1:20" ht="15" customHeight="1" x14ac:dyDescent="0.3">
      <c r="A30" s="19" t="str">
        <f>tblRFM[[#This Row],[CustomerID]]</f>
        <v>C0028</v>
      </c>
      <c r="B30" s="19" t="str">
        <f>tblRFM[[#This Row],[Name]]</f>
        <v>Girish Agarwal</v>
      </c>
      <c r="C30" s="18" t="str">
        <f>IFERROR(INDEX(tblClean[Gender],MATCH(A30,tblClean[CustomerID],0)),"")</f>
        <v>Male</v>
      </c>
      <c r="D30" s="19" t="str">
        <f>tblRFM[[#This Row],[AgeGroup]]</f>
        <v>40-54</v>
      </c>
      <c r="E30" s="19" t="str">
        <f>tblRFM[[#This Row],[City/Region]]</f>
        <v>Noida</v>
      </c>
      <c r="F30" s="19" t="str">
        <f>tblRFM[[#This Row],[IncomeBracket]]</f>
        <v>Mid</v>
      </c>
      <c r="G30" s="19" t="str">
        <f>tblRFM[[#This Row],[CustomerType]]</f>
        <v>Returning</v>
      </c>
      <c r="H30" s="19" t="str">
        <f>tblRFM[[#This Row],[EngagementLevel]]</f>
        <v>High</v>
      </c>
      <c r="I30" s="19" t="str">
        <f ca="1">tblRFM[[#This Row],[CustomerSegment]]</f>
        <v>High Value</v>
      </c>
      <c r="J30" s="19" t="str">
        <f>tblRFM[[#This Row],[ProductPreference]]</f>
        <v>Home Decor</v>
      </c>
      <c r="K30" s="18" t="str">
        <f>IFERROR(INDEX(tblClean[PurchaseChannel],MATCH(A30,tblClean[CustomerID],0)),"")</f>
        <v>Offline</v>
      </c>
      <c r="L30" s="23">
        <f ca="1">tblRFM[[#This Row],[RFM_Recency]]</f>
        <v>48</v>
      </c>
      <c r="M30" s="23">
        <f>tblRFM[[#This Row],[RFM_Frequency]]</f>
        <v>12</v>
      </c>
      <c r="N30" s="23">
        <f>tblRFM[[#This Row],[RFM_Monetary]]</f>
        <v>60070</v>
      </c>
      <c r="O30" s="19" t="str">
        <f ca="1">tblRFM[[#This Row],[RFM_Score]]</f>
        <v>455</v>
      </c>
      <c r="P30" s="19">
        <f>IFERROR(tblRFM[[#This Row],[SatisfactionIndex]],"")</f>
        <v>3.25</v>
      </c>
      <c r="Q30" s="19">
        <f>IFERROR(tblRFM[[#This Row],[Satisfaction]],"")</f>
        <v>4</v>
      </c>
      <c r="R30" s="19">
        <f>IFERROR(tblRFM[[#This Row],[RecommendationLikelihood]],"")</f>
        <v>5</v>
      </c>
      <c r="S30" s="19">
        <f>COUNTIFS(tblTransactions[CustomerID],A30)</f>
        <v>12</v>
      </c>
      <c r="T30" s="18" t="str">
        <f>IFERROR(INDEX(tblClean[DiscountSensitivity],MATCH(A30,tblClean[CustomerID],0)),"")</f>
        <v>High</v>
      </c>
    </row>
    <row r="31" spans="1:20" ht="15" customHeight="1" x14ac:dyDescent="0.3">
      <c r="A31" s="16" t="str">
        <f>tblRFM[[#This Row],[CustomerID]]</f>
        <v>C0029</v>
      </c>
      <c r="B31" s="16" t="str">
        <f>tblRFM[[#This Row],[Name]]</f>
        <v>Sumit Dixit</v>
      </c>
      <c r="C31" s="18" t="str">
        <f>IFERROR(INDEX(tblClean[Gender],MATCH(A31,tblClean[CustomerID],0)),"")</f>
        <v>Male</v>
      </c>
      <c r="D31" s="16" t="str">
        <f>tblRFM[[#This Row],[AgeGroup]]</f>
        <v>25-39</v>
      </c>
      <c r="E31" s="16" t="str">
        <f>tblRFM[[#This Row],[City/Region]]</f>
        <v>Lucknow</v>
      </c>
      <c r="F31" s="16" t="str">
        <f>tblRFM[[#This Row],[IncomeBracket]]</f>
        <v>High</v>
      </c>
      <c r="G31" s="16" t="str">
        <f>tblRFM[[#This Row],[CustomerType]]</f>
        <v>Returning</v>
      </c>
      <c r="H31" s="16" t="str">
        <f>tblRFM[[#This Row],[EngagementLevel]]</f>
        <v>Low</v>
      </c>
      <c r="I31" s="16" t="str">
        <f ca="1">tblRFM[[#This Row],[CustomerSegment]]</f>
        <v>At Risk</v>
      </c>
      <c r="J31" s="16" t="str">
        <f>tblRFM[[#This Row],[ProductPreference]]</f>
        <v>Beauty</v>
      </c>
      <c r="K31" s="18" t="str">
        <f>IFERROR(INDEX(tblClean[PurchaseChannel],MATCH(A31,tblClean[CustomerID],0)),"")</f>
        <v>Offline</v>
      </c>
      <c r="L31" s="22">
        <f ca="1">tblRFM[[#This Row],[RFM_Recency]]</f>
        <v>160</v>
      </c>
      <c r="M31" s="22">
        <f>tblRFM[[#This Row],[RFM_Frequency]]</f>
        <v>1</v>
      </c>
      <c r="N31" s="22">
        <f>tblRFM[[#This Row],[RFM_Monetary]]</f>
        <v>3300</v>
      </c>
      <c r="O31" s="16" t="str">
        <f ca="1">tblRFM[[#This Row],[RFM_Score]]</f>
        <v>211</v>
      </c>
      <c r="P31" s="16">
        <f>IFERROR(tblRFM[[#This Row],[SatisfactionIndex]],"")</f>
        <v>3.75</v>
      </c>
      <c r="Q31" s="16">
        <f>IFERROR(tblRFM[[#This Row],[Satisfaction]],"")</f>
        <v>3</v>
      </c>
      <c r="R31" s="16">
        <f>IFERROR(tblRFM[[#This Row],[RecommendationLikelihood]],"")</f>
        <v>9</v>
      </c>
      <c r="S31" s="16">
        <f>COUNTIFS(tblTransactions[CustomerID],A31)</f>
        <v>1</v>
      </c>
      <c r="T31" s="18" t="str">
        <f>IFERROR(INDEX(tblClean[DiscountSensitivity],MATCH(A31,tblClean[CustomerID],0)),"")</f>
        <v>Low</v>
      </c>
    </row>
    <row r="32" spans="1:20" ht="15" customHeight="1" x14ac:dyDescent="0.3">
      <c r="A32" s="19" t="str">
        <f>tblRFM[[#This Row],[CustomerID]]</f>
        <v>C0030</v>
      </c>
      <c r="B32" s="19" t="str">
        <f>tblRFM[[#This Row],[Name]]</f>
        <v>Pranav Shah</v>
      </c>
      <c r="C32" s="18" t="str">
        <f>IFERROR(INDEX(tblClean[Gender],MATCH(A32,tblClean[CustomerID],0)),"")</f>
        <v>Male</v>
      </c>
      <c r="D32" s="19" t="str">
        <f>tblRFM[[#This Row],[AgeGroup]]</f>
        <v>40-54</v>
      </c>
      <c r="E32" s="19" t="str">
        <f>tblRFM[[#This Row],[City/Region]]</f>
        <v>Ahmedabad</v>
      </c>
      <c r="F32" s="19" t="str">
        <f>tblRFM[[#This Row],[IncomeBracket]]</f>
        <v>High</v>
      </c>
      <c r="G32" s="19" t="str">
        <f>tblRFM[[#This Row],[CustomerType]]</f>
        <v>Returning</v>
      </c>
      <c r="H32" s="19" t="str">
        <f>tblRFM[[#This Row],[EngagementLevel]]</f>
        <v>Medium</v>
      </c>
      <c r="I32" s="19" t="str">
        <f ca="1">tblRFM[[#This Row],[CustomerSegment]]</f>
        <v>General</v>
      </c>
      <c r="J32" s="19" t="str">
        <f>tblRFM[[#This Row],[ProductPreference]]</f>
        <v>Sports</v>
      </c>
      <c r="K32" s="18" t="str">
        <f>IFERROR(INDEX(tblClean[PurchaseChannel],MATCH(A32,tblClean[CustomerID],0)),"")</f>
        <v>Online</v>
      </c>
      <c r="L32" s="23">
        <f ca="1">tblRFM[[#This Row],[RFM_Recency]]</f>
        <v>115</v>
      </c>
      <c r="M32" s="23">
        <f>tblRFM[[#This Row],[RFM_Frequency]]</f>
        <v>6</v>
      </c>
      <c r="N32" s="23">
        <f>tblRFM[[#This Row],[RFM_Monetary]]</f>
        <v>36550</v>
      </c>
      <c r="O32" s="19" t="str">
        <f ca="1">tblRFM[[#This Row],[RFM_Score]]</f>
        <v>244</v>
      </c>
      <c r="P32" s="19">
        <f>IFERROR(tblRFM[[#This Row],[SatisfactionIndex]],"")</f>
        <v>3.25</v>
      </c>
      <c r="Q32" s="19">
        <f>IFERROR(tblRFM[[#This Row],[Satisfaction]],"")</f>
        <v>2</v>
      </c>
      <c r="R32" s="19">
        <f>IFERROR(tblRFM[[#This Row],[RecommendationLikelihood]],"")</f>
        <v>9</v>
      </c>
      <c r="S32" s="19">
        <f>COUNTIFS(tblTransactions[CustomerID],A32)</f>
        <v>6</v>
      </c>
      <c r="T32" s="18" t="str">
        <f>IFERROR(INDEX(tblClean[DiscountSensitivity],MATCH(A32,tblClean[CustomerID],0)),"")</f>
        <v>High</v>
      </c>
    </row>
    <row r="33" spans="1:20" ht="15" customHeight="1" x14ac:dyDescent="0.3">
      <c r="A33" s="16" t="str">
        <f>tblRFM[[#This Row],[CustomerID]]</f>
        <v>C0031</v>
      </c>
      <c r="B33" s="16" t="str">
        <f>tblRFM[[#This Row],[Name]]</f>
        <v>Himanshu Jain</v>
      </c>
      <c r="C33" s="18" t="str">
        <f>IFERROR(INDEX(tblClean[Gender],MATCH(A33,tblClean[CustomerID],0)),"")</f>
        <v>Male</v>
      </c>
      <c r="D33" s="16" t="str">
        <f>tblRFM[[#This Row],[AgeGroup]]</f>
        <v>55+</v>
      </c>
      <c r="E33" s="16" t="str">
        <f>tblRFM[[#This Row],[City/Region]]</f>
        <v>Bhopal</v>
      </c>
      <c r="F33" s="16" t="str">
        <f>tblRFM[[#This Row],[IncomeBracket]]</f>
        <v>Mid</v>
      </c>
      <c r="G33" s="16" t="str">
        <f>tblRFM[[#This Row],[CustomerType]]</f>
        <v>New</v>
      </c>
      <c r="H33" s="16" t="str">
        <f>tblRFM[[#This Row],[EngagementLevel]]</f>
        <v>Medium</v>
      </c>
      <c r="I33" s="16" t="str">
        <f ca="1">tblRFM[[#This Row],[CustomerSegment]]</f>
        <v>At Risk</v>
      </c>
      <c r="J33" s="16" t="str">
        <f>tblRFM[[#This Row],[ProductPreference]]</f>
        <v>Beauty</v>
      </c>
      <c r="K33" s="18" t="str">
        <f>IFERROR(INDEX(tblClean[PurchaseChannel],MATCH(A33,tblClean[CustomerID],0)),"")</f>
        <v>Online</v>
      </c>
      <c r="L33" s="22">
        <f ca="1">tblRFM[[#This Row],[RFM_Recency]]</f>
        <v>123</v>
      </c>
      <c r="M33" s="22">
        <f>tblRFM[[#This Row],[RFM_Frequency]]</f>
        <v>1</v>
      </c>
      <c r="N33" s="22">
        <f>tblRFM[[#This Row],[RFM_Monetary]]</f>
        <v>4460</v>
      </c>
      <c r="O33" s="16" t="str">
        <f ca="1">tblRFM[[#This Row],[RFM_Score]]</f>
        <v>211</v>
      </c>
      <c r="P33" s="16">
        <f>IFERROR(tblRFM[[#This Row],[SatisfactionIndex]],"")</f>
        <v>4.5</v>
      </c>
      <c r="Q33" s="16">
        <f>IFERROR(tblRFM[[#This Row],[Satisfaction]],"")</f>
        <v>4</v>
      </c>
      <c r="R33" s="16">
        <f>IFERROR(tblRFM[[#This Row],[RecommendationLikelihood]],"")</f>
        <v>10</v>
      </c>
      <c r="S33" s="16">
        <f>COUNTIFS(tblTransactions[CustomerID],A33)</f>
        <v>1</v>
      </c>
      <c r="T33" s="18" t="str">
        <f>IFERROR(INDEX(tblClean[DiscountSensitivity],MATCH(A33,tblClean[CustomerID],0)),"")</f>
        <v>Low</v>
      </c>
    </row>
    <row r="34" spans="1:20" ht="15" customHeight="1" x14ac:dyDescent="0.3">
      <c r="A34" s="19" t="str">
        <f>tblRFM[[#This Row],[CustomerID]]</f>
        <v>C0032</v>
      </c>
      <c r="B34" s="19" t="str">
        <f>tblRFM[[#This Row],[Name]]</f>
        <v>Lokesh Negi</v>
      </c>
      <c r="C34" s="18" t="str">
        <f>IFERROR(INDEX(tblClean[Gender],MATCH(A34,tblClean[CustomerID],0)),"")</f>
        <v>Male</v>
      </c>
      <c r="D34" s="19" t="str">
        <f>tblRFM[[#This Row],[AgeGroup]]</f>
        <v>25-39</v>
      </c>
      <c r="E34" s="19" t="str">
        <f>tblRFM[[#This Row],[City/Region]]</f>
        <v>Mumbai</v>
      </c>
      <c r="F34" s="19" t="str">
        <f>tblRFM[[#This Row],[IncomeBracket]]</f>
        <v>Mid</v>
      </c>
      <c r="G34" s="19" t="str">
        <f>tblRFM[[#This Row],[CustomerType]]</f>
        <v>Returning</v>
      </c>
      <c r="H34" s="19" t="str">
        <f>tblRFM[[#This Row],[EngagementLevel]]</f>
        <v>Low</v>
      </c>
      <c r="I34" s="19" t="str">
        <f ca="1">tblRFM[[#This Row],[CustomerSegment]]</f>
        <v>General</v>
      </c>
      <c r="J34" s="19" t="str">
        <f>tblRFM[[#This Row],[ProductPreference]]</f>
        <v>Electronics</v>
      </c>
      <c r="K34" s="18" t="str">
        <f>IFERROR(INDEX(tblClean[PurchaseChannel],MATCH(A34,tblClean[CustomerID],0)),"")</f>
        <v>Online</v>
      </c>
      <c r="L34" s="23">
        <f ca="1">tblRFM[[#This Row],[RFM_Recency]]</f>
        <v>17</v>
      </c>
      <c r="M34" s="23">
        <f>tblRFM[[#This Row],[RFM_Frequency]]</f>
        <v>3</v>
      </c>
      <c r="N34" s="23">
        <f>tblRFM[[#This Row],[RFM_Monetary]]</f>
        <v>11740</v>
      </c>
      <c r="O34" s="19" t="str">
        <f ca="1">tblRFM[[#This Row],[RFM_Score]]</f>
        <v>522</v>
      </c>
      <c r="P34" s="19">
        <f>IFERROR(tblRFM[[#This Row],[SatisfactionIndex]],"")</f>
        <v>4.25</v>
      </c>
      <c r="Q34" s="19">
        <f>IFERROR(tblRFM[[#This Row],[Satisfaction]],"")</f>
        <v>4</v>
      </c>
      <c r="R34" s="19">
        <f>IFERROR(tblRFM[[#This Row],[RecommendationLikelihood]],"")</f>
        <v>9</v>
      </c>
      <c r="S34" s="19">
        <f>COUNTIFS(tblTransactions[CustomerID],A34)</f>
        <v>3</v>
      </c>
      <c r="T34" s="18" t="str">
        <f>IFERROR(INDEX(tblClean[DiscountSensitivity],MATCH(A34,tblClean[CustomerID],0)),"")</f>
        <v>High</v>
      </c>
    </row>
    <row r="35" spans="1:20" ht="15" customHeight="1" x14ac:dyDescent="0.3">
      <c r="A35" s="16" t="str">
        <f>tblRFM[[#This Row],[CustomerID]]</f>
        <v>C0033</v>
      </c>
      <c r="B35" s="16" t="str">
        <f>tblRFM[[#This Row],[Name]]</f>
        <v>Rishabh Bhatt</v>
      </c>
      <c r="C35" s="18" t="str">
        <f>IFERROR(INDEX(tblClean[Gender],MATCH(A35,tblClean[CustomerID],0)),"")</f>
        <v>Male</v>
      </c>
      <c r="D35" s="16" t="str">
        <f>tblRFM[[#This Row],[AgeGroup]]</f>
        <v>&lt;25</v>
      </c>
      <c r="E35" s="16" t="str">
        <f>tblRFM[[#This Row],[City/Region]]</f>
        <v>Chennai</v>
      </c>
      <c r="F35" s="16" t="str">
        <f>tblRFM[[#This Row],[IncomeBracket]]</f>
        <v>Mid</v>
      </c>
      <c r="G35" s="16" t="str">
        <f>tblRFM[[#This Row],[CustomerType]]</f>
        <v>New</v>
      </c>
      <c r="H35" s="16" t="str">
        <f>tblRFM[[#This Row],[EngagementLevel]]</f>
        <v>Low</v>
      </c>
      <c r="I35" s="16" t="str">
        <f ca="1">tblRFM[[#This Row],[CustomerSegment]]</f>
        <v>General</v>
      </c>
      <c r="J35" s="16" t="str">
        <f>tblRFM[[#This Row],[ProductPreference]]</f>
        <v>Sports</v>
      </c>
      <c r="K35" s="18" t="str">
        <f>IFERROR(INDEX(tblClean[PurchaseChannel],MATCH(A35,tblClean[CustomerID],0)),"")</f>
        <v>Offline</v>
      </c>
      <c r="L35" s="22">
        <f ca="1">tblRFM[[#This Row],[RFM_Recency]]</f>
        <v>29</v>
      </c>
      <c r="M35" s="22">
        <f>tblRFM[[#This Row],[RFM_Frequency]]</f>
        <v>1</v>
      </c>
      <c r="N35" s="22">
        <f>tblRFM[[#This Row],[RFM_Monetary]]</f>
        <v>2160</v>
      </c>
      <c r="O35" s="16" t="str">
        <f ca="1">tblRFM[[#This Row],[RFM_Score]]</f>
        <v>511</v>
      </c>
      <c r="P35" s="16">
        <f>IFERROR(tblRFM[[#This Row],[SatisfactionIndex]],"")</f>
        <v>4.25</v>
      </c>
      <c r="Q35" s="16">
        <f>IFERROR(tblRFM[[#This Row],[Satisfaction]],"")</f>
        <v>5</v>
      </c>
      <c r="R35" s="16">
        <f>IFERROR(tblRFM[[#This Row],[RecommendationLikelihood]],"")</f>
        <v>7</v>
      </c>
      <c r="S35" s="16">
        <f>COUNTIFS(tblTransactions[CustomerID],A35)</f>
        <v>1</v>
      </c>
      <c r="T35" s="18" t="str">
        <f>IFERROR(INDEX(tblClean[DiscountSensitivity],MATCH(A35,tblClean[CustomerID],0)),"")</f>
        <v>High</v>
      </c>
    </row>
    <row r="36" spans="1:20" ht="15" customHeight="1" x14ac:dyDescent="0.3">
      <c r="A36" s="19" t="str">
        <f>tblRFM[[#This Row],[CustomerID]]</f>
        <v>C0034</v>
      </c>
      <c r="B36" s="19" t="str">
        <f>tblRFM[[#This Row],[Name]]</f>
        <v>Abhishek Goyal</v>
      </c>
      <c r="C36" s="18" t="str">
        <f>IFERROR(INDEX(tblClean[Gender],MATCH(A36,tblClean[CustomerID],0)),"")</f>
        <v>Male</v>
      </c>
      <c r="D36" s="19" t="str">
        <f>tblRFM[[#This Row],[AgeGroup]]</f>
        <v>25-39</v>
      </c>
      <c r="E36" s="19" t="str">
        <f>tblRFM[[#This Row],[City/Region]]</f>
        <v>Nagpur</v>
      </c>
      <c r="F36" s="19" t="str">
        <f>tblRFM[[#This Row],[IncomeBracket]]</f>
        <v>High</v>
      </c>
      <c r="G36" s="19" t="str">
        <f>tblRFM[[#This Row],[CustomerType]]</f>
        <v>Returning</v>
      </c>
      <c r="H36" s="19" t="str">
        <f>tblRFM[[#This Row],[EngagementLevel]]</f>
        <v>Medium</v>
      </c>
      <c r="I36" s="19" t="str">
        <f ca="1">tblRFM[[#This Row],[CustomerSegment]]</f>
        <v>Bargain Seeker</v>
      </c>
      <c r="J36" s="19" t="str">
        <f>tblRFM[[#This Row],[ProductPreference]]</f>
        <v>Home Decor</v>
      </c>
      <c r="K36" s="18" t="str">
        <f>IFERROR(INDEX(tblClean[PurchaseChannel],MATCH(A36,tblClean[CustomerID],0)),"")</f>
        <v>Online</v>
      </c>
      <c r="L36" s="23">
        <f ca="1">tblRFM[[#This Row],[RFM_Recency]]</f>
        <v>61</v>
      </c>
      <c r="M36" s="23">
        <f>tblRFM[[#This Row],[RFM_Frequency]]</f>
        <v>5</v>
      </c>
      <c r="N36" s="23">
        <f>tblRFM[[#This Row],[RFM_Monetary]]</f>
        <v>26570</v>
      </c>
      <c r="O36" s="19" t="str">
        <f ca="1">tblRFM[[#This Row],[RFM_Score]]</f>
        <v>333</v>
      </c>
      <c r="P36" s="19">
        <f>IFERROR(tblRFM[[#This Row],[SatisfactionIndex]],"")</f>
        <v>3.5</v>
      </c>
      <c r="Q36" s="19">
        <f>IFERROR(tblRFM[[#This Row],[Satisfaction]],"")</f>
        <v>4</v>
      </c>
      <c r="R36" s="19">
        <f>IFERROR(tblRFM[[#This Row],[RecommendationLikelihood]],"")</f>
        <v>6</v>
      </c>
      <c r="S36" s="19">
        <f>COUNTIFS(tblTransactions[CustomerID],A36)</f>
        <v>5</v>
      </c>
      <c r="T36" s="18" t="str">
        <f>IFERROR(INDEX(tblClean[DiscountSensitivity],MATCH(A36,tblClean[CustomerID],0)),"")</f>
        <v>High</v>
      </c>
    </row>
    <row r="37" spans="1:20" ht="15" customHeight="1" x14ac:dyDescent="0.3">
      <c r="A37" s="16" t="str">
        <f>tblRFM[[#This Row],[CustomerID]]</f>
        <v>C0035</v>
      </c>
      <c r="B37" s="16" t="str">
        <f>tblRFM[[#This Row],[Name]]</f>
        <v>Kunal Bajaj</v>
      </c>
      <c r="C37" s="18" t="str">
        <f>IFERROR(INDEX(tblClean[Gender],MATCH(A37,tblClean[CustomerID],0)),"")</f>
        <v>Male</v>
      </c>
      <c r="D37" s="16" t="str">
        <f>tblRFM[[#This Row],[AgeGroup]]</f>
        <v>25-39</v>
      </c>
      <c r="E37" s="16" t="str">
        <f>tblRFM[[#This Row],[City/Region]]</f>
        <v>Jaipur</v>
      </c>
      <c r="F37" s="16" t="str">
        <f>tblRFM[[#This Row],[IncomeBracket]]</f>
        <v>Mid</v>
      </c>
      <c r="G37" s="16" t="str">
        <f>tblRFM[[#This Row],[CustomerType]]</f>
        <v>Returning</v>
      </c>
      <c r="H37" s="16" t="str">
        <f>tblRFM[[#This Row],[EngagementLevel]]</f>
        <v>Medium</v>
      </c>
      <c r="I37" s="16" t="str">
        <f ca="1">tblRFM[[#This Row],[CustomerSegment]]</f>
        <v>General</v>
      </c>
      <c r="J37" s="16" t="str">
        <f>tblRFM[[#This Row],[ProductPreference]]</f>
        <v>Home Decor</v>
      </c>
      <c r="K37" s="18" t="str">
        <f>IFERROR(INDEX(tblClean[PurchaseChannel],MATCH(A37,tblClean[CustomerID],0)),"")</f>
        <v>Online</v>
      </c>
      <c r="L37" s="22">
        <f ca="1">tblRFM[[#This Row],[RFM_Recency]]</f>
        <v>291</v>
      </c>
      <c r="M37" s="22">
        <f>tblRFM[[#This Row],[RFM_Frequency]]</f>
        <v>4</v>
      </c>
      <c r="N37" s="22">
        <f>tblRFM[[#This Row],[RFM_Monetary]]</f>
        <v>12110</v>
      </c>
      <c r="O37" s="16" t="str">
        <f ca="1">tblRFM[[#This Row],[RFM_Score]]</f>
        <v>132</v>
      </c>
      <c r="P37" s="16">
        <f>IFERROR(tblRFM[[#This Row],[SatisfactionIndex]],"")</f>
        <v>3</v>
      </c>
      <c r="Q37" s="16">
        <f>IFERROR(tblRFM[[#This Row],[Satisfaction]],"")</f>
        <v>4</v>
      </c>
      <c r="R37" s="16">
        <f>IFERROR(tblRFM[[#This Row],[RecommendationLikelihood]],"")</f>
        <v>4</v>
      </c>
      <c r="S37" s="16">
        <f>COUNTIFS(tblTransactions[CustomerID],A37)</f>
        <v>4</v>
      </c>
      <c r="T37" s="18" t="str">
        <f>IFERROR(INDEX(tblClean[DiscountSensitivity],MATCH(A37,tblClean[CustomerID],0)),"")</f>
        <v>High</v>
      </c>
    </row>
    <row r="38" spans="1:20" ht="15" customHeight="1" x14ac:dyDescent="0.3">
      <c r="A38" s="19" t="str">
        <f>tblRFM[[#This Row],[CustomerID]]</f>
        <v>C0036</v>
      </c>
      <c r="B38" s="19" t="str">
        <f>tblRFM[[#This Row],[Name]]</f>
        <v>Ravi Choudhury</v>
      </c>
      <c r="C38" s="18" t="str">
        <f>IFERROR(INDEX(tblClean[Gender],MATCH(A38,tblClean[CustomerID],0)),"")</f>
        <v>Male</v>
      </c>
      <c r="D38" s="19" t="str">
        <f>tblRFM[[#This Row],[AgeGroup]]</f>
        <v>&lt;25</v>
      </c>
      <c r="E38" s="19" t="str">
        <f>tblRFM[[#This Row],[City/Region]]</f>
        <v>Delhi</v>
      </c>
      <c r="F38" s="19" t="str">
        <f>tblRFM[[#This Row],[IncomeBracket]]</f>
        <v>High</v>
      </c>
      <c r="G38" s="19" t="str">
        <f>tblRFM[[#This Row],[CustomerType]]</f>
        <v>New</v>
      </c>
      <c r="H38" s="19" t="str">
        <f>tblRFM[[#This Row],[EngagementLevel]]</f>
        <v>Low</v>
      </c>
      <c r="I38" s="19" t="str">
        <f ca="1">tblRFM[[#This Row],[CustomerSegment]]</f>
        <v>At Risk</v>
      </c>
      <c r="J38" s="19" t="str">
        <f>tblRFM[[#This Row],[ProductPreference]]</f>
        <v>Sports</v>
      </c>
      <c r="K38" s="18" t="str">
        <f>IFERROR(INDEX(tblClean[PurchaseChannel],MATCH(A38,tblClean[CustomerID],0)),"")</f>
        <v>Offline</v>
      </c>
      <c r="L38" s="23">
        <f ca="1">tblRFM[[#This Row],[RFM_Recency]]</f>
        <v>289</v>
      </c>
      <c r="M38" s="23">
        <f>tblRFM[[#This Row],[RFM_Frequency]]</f>
        <v>1</v>
      </c>
      <c r="N38" s="23">
        <f>tblRFM[[#This Row],[RFM_Monetary]]</f>
        <v>1530</v>
      </c>
      <c r="O38" s="19" t="str">
        <f ca="1">tblRFM[[#This Row],[RFM_Score]]</f>
        <v>111</v>
      </c>
      <c r="P38" s="19">
        <f>IFERROR(tblRFM[[#This Row],[SatisfactionIndex]],"")</f>
        <v>4.5</v>
      </c>
      <c r="Q38" s="19">
        <f>IFERROR(tblRFM[[#This Row],[Satisfaction]],"")</f>
        <v>5</v>
      </c>
      <c r="R38" s="19">
        <f>IFERROR(tblRFM[[#This Row],[RecommendationLikelihood]],"")</f>
        <v>8</v>
      </c>
      <c r="S38" s="19">
        <f>COUNTIFS(tblTransactions[CustomerID],A38)</f>
        <v>1</v>
      </c>
      <c r="T38" s="18" t="str">
        <f>IFERROR(INDEX(tblClean[DiscountSensitivity],MATCH(A38,tblClean[CustomerID],0)),"")</f>
        <v>Medium</v>
      </c>
    </row>
    <row r="39" spans="1:20" ht="15" customHeight="1" x14ac:dyDescent="0.3">
      <c r="A39" s="16" t="str">
        <f>tblRFM[[#This Row],[CustomerID]]</f>
        <v>C0037</v>
      </c>
      <c r="B39" s="16" t="str">
        <f>tblRFM[[#This Row],[Name]]</f>
        <v>Nitin Wagh</v>
      </c>
      <c r="C39" s="18" t="str">
        <f>IFERROR(INDEX(tblClean[Gender],MATCH(A39,tblClean[CustomerID],0)),"")</f>
        <v>Male</v>
      </c>
      <c r="D39" s="16" t="str">
        <f>tblRFM[[#This Row],[AgeGroup]]</f>
        <v>40-54</v>
      </c>
      <c r="E39" s="16" t="str">
        <f>tblRFM[[#This Row],[City/Region]]</f>
        <v>Bangalore</v>
      </c>
      <c r="F39" s="16" t="str">
        <f>tblRFM[[#This Row],[IncomeBracket]]</f>
        <v>High</v>
      </c>
      <c r="G39" s="16" t="str">
        <f>tblRFM[[#This Row],[CustomerType]]</f>
        <v>Returning</v>
      </c>
      <c r="H39" s="16" t="str">
        <f>tblRFM[[#This Row],[EngagementLevel]]</f>
        <v>Medium</v>
      </c>
      <c r="I39" s="16" t="str">
        <f ca="1">tblRFM[[#This Row],[CustomerSegment]]</f>
        <v>Loyal</v>
      </c>
      <c r="J39" s="16" t="str">
        <f>tblRFM[[#This Row],[ProductPreference]]</f>
        <v>Beauty</v>
      </c>
      <c r="K39" s="18" t="str">
        <f>IFERROR(INDEX(tblClean[PurchaseChannel],MATCH(A39,tblClean[CustomerID],0)),"")</f>
        <v>Online</v>
      </c>
      <c r="L39" s="22">
        <f ca="1">tblRFM[[#This Row],[RFM_Recency]]</f>
        <v>30</v>
      </c>
      <c r="M39" s="22">
        <f>tblRFM[[#This Row],[RFM_Frequency]]</f>
        <v>15</v>
      </c>
      <c r="N39" s="22">
        <f>tblRFM[[#This Row],[RFM_Monetary]]</f>
        <v>76520</v>
      </c>
      <c r="O39" s="16" t="str">
        <f ca="1">tblRFM[[#This Row],[RFM_Score]]</f>
        <v>555</v>
      </c>
      <c r="P39" s="16">
        <f>IFERROR(tblRFM[[#This Row],[SatisfactionIndex]],"")</f>
        <v>3.25</v>
      </c>
      <c r="Q39" s="16">
        <f>IFERROR(tblRFM[[#This Row],[Satisfaction]],"")</f>
        <v>4</v>
      </c>
      <c r="R39" s="16">
        <f>IFERROR(tblRFM[[#This Row],[RecommendationLikelihood]],"")</f>
        <v>5</v>
      </c>
      <c r="S39" s="16">
        <f>COUNTIFS(tblTransactions[CustomerID],A39)</f>
        <v>15</v>
      </c>
      <c r="T39" s="18" t="str">
        <f>IFERROR(INDEX(tblClean[DiscountSensitivity],MATCH(A39,tblClean[CustomerID],0)),"")</f>
        <v>Medium</v>
      </c>
    </row>
    <row r="40" spans="1:20" ht="15" customHeight="1" x14ac:dyDescent="0.3">
      <c r="A40" s="19" t="str">
        <f>tblRFM[[#This Row],[CustomerID]]</f>
        <v>C0038</v>
      </c>
      <c r="B40" s="19" t="str">
        <f>tblRFM[[#This Row],[Name]]</f>
        <v>Paras Mahajan</v>
      </c>
      <c r="C40" s="18" t="str">
        <f>IFERROR(INDEX(tblClean[Gender],MATCH(A40,tblClean[CustomerID],0)),"")</f>
        <v>Male</v>
      </c>
      <c r="D40" s="19" t="str">
        <f>tblRFM[[#This Row],[AgeGroup]]</f>
        <v>55+</v>
      </c>
      <c r="E40" s="19" t="str">
        <f>tblRFM[[#This Row],[City/Region]]</f>
        <v>Surat</v>
      </c>
      <c r="F40" s="19" t="str">
        <f>tblRFM[[#This Row],[IncomeBracket]]</f>
        <v>Low</v>
      </c>
      <c r="G40" s="19" t="str">
        <f>tblRFM[[#This Row],[CustomerType]]</f>
        <v>Returning</v>
      </c>
      <c r="H40" s="19" t="str">
        <f>tblRFM[[#This Row],[EngagementLevel]]</f>
        <v>High</v>
      </c>
      <c r="I40" s="19" t="str">
        <f ca="1">tblRFM[[#This Row],[CustomerSegment]]</f>
        <v>Bargain Seeker</v>
      </c>
      <c r="J40" s="19" t="str">
        <f>tblRFM[[#This Row],[ProductPreference]]</f>
        <v>Sports</v>
      </c>
      <c r="K40" s="18" t="str">
        <f>IFERROR(INDEX(tblClean[PurchaseChannel],MATCH(A40,tblClean[CustomerID],0)),"")</f>
        <v>Online</v>
      </c>
      <c r="L40" s="23">
        <f ca="1">tblRFM[[#This Row],[RFM_Recency]]</f>
        <v>92</v>
      </c>
      <c r="M40" s="23">
        <f>tblRFM[[#This Row],[RFM_Frequency]]</f>
        <v>7</v>
      </c>
      <c r="N40" s="23">
        <f>tblRFM[[#This Row],[RFM_Monetary]]</f>
        <v>24240</v>
      </c>
      <c r="O40" s="19" t="str">
        <f ca="1">tblRFM[[#This Row],[RFM_Score]]</f>
        <v>243</v>
      </c>
      <c r="P40" s="19">
        <f>IFERROR(tblRFM[[#This Row],[SatisfactionIndex]],"")</f>
        <v>4</v>
      </c>
      <c r="Q40" s="19">
        <f>IFERROR(tblRFM[[#This Row],[Satisfaction]],"")</f>
        <v>4</v>
      </c>
      <c r="R40" s="19">
        <f>IFERROR(tblRFM[[#This Row],[RecommendationLikelihood]],"")</f>
        <v>8</v>
      </c>
      <c r="S40" s="19">
        <f>COUNTIFS(tblTransactions[CustomerID],A40)</f>
        <v>7</v>
      </c>
      <c r="T40" s="18" t="str">
        <f>IFERROR(INDEX(tblClean[DiscountSensitivity],MATCH(A40,tblClean[CustomerID],0)),"")</f>
        <v>Low</v>
      </c>
    </row>
    <row r="41" spans="1:20" ht="15" customHeight="1" x14ac:dyDescent="0.3">
      <c r="A41" s="16" t="str">
        <f>tblRFM[[#This Row],[CustomerID]]</f>
        <v>C0039</v>
      </c>
      <c r="B41" s="16" t="str">
        <f>tblRFM[[#This Row],[Name]]</f>
        <v>Shreyas Deshpande</v>
      </c>
      <c r="C41" s="18" t="str">
        <f>IFERROR(INDEX(tblClean[Gender],MATCH(A41,tblClean[CustomerID],0)),"")</f>
        <v>Male</v>
      </c>
      <c r="D41" s="16" t="str">
        <f>tblRFM[[#This Row],[AgeGroup]]</f>
        <v>25-39</v>
      </c>
      <c r="E41" s="16" t="str">
        <f>tblRFM[[#This Row],[City/Region]]</f>
        <v>Noida</v>
      </c>
      <c r="F41" s="16" t="str">
        <f>tblRFM[[#This Row],[IncomeBracket]]</f>
        <v>High</v>
      </c>
      <c r="G41" s="16" t="str">
        <f>tblRFM[[#This Row],[CustomerType]]</f>
        <v>Returning</v>
      </c>
      <c r="H41" s="16" t="str">
        <f>tblRFM[[#This Row],[EngagementLevel]]</f>
        <v>Medium</v>
      </c>
      <c r="I41" s="16" t="str">
        <f ca="1">tblRFM[[#This Row],[CustomerSegment]]</f>
        <v>General</v>
      </c>
      <c r="J41" s="16" t="str">
        <f>tblRFM[[#This Row],[ProductPreference]]</f>
        <v>Grocery</v>
      </c>
      <c r="K41" s="18" t="str">
        <f>IFERROR(INDEX(tblClean[PurchaseChannel],MATCH(A41,tblClean[CustomerID],0)),"")</f>
        <v>Online</v>
      </c>
      <c r="L41" s="22">
        <f ca="1">tblRFM[[#This Row],[RFM_Recency]]</f>
        <v>25</v>
      </c>
      <c r="M41" s="22">
        <f>tblRFM[[#This Row],[RFM_Frequency]]</f>
        <v>4</v>
      </c>
      <c r="N41" s="22">
        <f>tblRFM[[#This Row],[RFM_Monetary]]</f>
        <v>21200</v>
      </c>
      <c r="O41" s="16" t="str">
        <f ca="1">tblRFM[[#This Row],[RFM_Score]]</f>
        <v>533</v>
      </c>
      <c r="P41" s="16">
        <f>IFERROR(tblRFM[[#This Row],[SatisfactionIndex]],"")</f>
        <v>4</v>
      </c>
      <c r="Q41" s="16">
        <f>IFERROR(tblRFM[[#This Row],[Satisfaction]],"")</f>
        <v>4</v>
      </c>
      <c r="R41" s="16">
        <f>IFERROR(tblRFM[[#This Row],[RecommendationLikelihood]],"")</f>
        <v>8</v>
      </c>
      <c r="S41" s="16">
        <f>COUNTIFS(tblTransactions[CustomerID],A41)</f>
        <v>4</v>
      </c>
      <c r="T41" s="18" t="str">
        <f>IFERROR(INDEX(tblClean[DiscountSensitivity],MATCH(A41,tblClean[CustomerID],0)),"")</f>
        <v>Low</v>
      </c>
    </row>
    <row r="42" spans="1:20" ht="15" customHeight="1" x14ac:dyDescent="0.3">
      <c r="A42" s="19" t="str">
        <f>tblRFM[[#This Row],[CustomerID]]</f>
        <v>C0040</v>
      </c>
      <c r="B42" s="19" t="str">
        <f>tblRFM[[#This Row],[Name]]</f>
        <v>Ashish Kulkarni</v>
      </c>
      <c r="C42" s="18" t="str">
        <f>IFERROR(INDEX(tblClean[Gender],MATCH(A42,tblClean[CustomerID],0)),"")</f>
        <v>Male</v>
      </c>
      <c r="D42" s="19" t="str">
        <f>tblRFM[[#This Row],[AgeGroup]]</f>
        <v>55+</v>
      </c>
      <c r="E42" s="19" t="str">
        <f>tblRFM[[#This Row],[City/Region]]</f>
        <v>Ahmedabad</v>
      </c>
      <c r="F42" s="19" t="str">
        <f>tblRFM[[#This Row],[IncomeBracket]]</f>
        <v>High</v>
      </c>
      <c r="G42" s="19" t="str">
        <f>tblRFM[[#This Row],[CustomerType]]</f>
        <v>Returning</v>
      </c>
      <c r="H42" s="19" t="str">
        <f>tblRFM[[#This Row],[EngagementLevel]]</f>
        <v>Low</v>
      </c>
      <c r="I42" s="19" t="str">
        <f ca="1">tblRFM[[#This Row],[CustomerSegment]]</f>
        <v>General</v>
      </c>
      <c r="J42" s="19" t="str">
        <f>tblRFM[[#This Row],[ProductPreference]]</f>
        <v>Clothing</v>
      </c>
      <c r="K42" s="18" t="str">
        <f>IFERROR(INDEX(tblClean[PurchaseChannel],MATCH(A42,tblClean[CustomerID],0)),"")</f>
        <v>Offline</v>
      </c>
      <c r="L42" s="23">
        <f ca="1">tblRFM[[#This Row],[RFM_Recency]]</f>
        <v>54</v>
      </c>
      <c r="M42" s="23">
        <f>tblRFM[[#This Row],[RFM_Frequency]]</f>
        <v>3</v>
      </c>
      <c r="N42" s="23">
        <f>tblRFM[[#This Row],[RFM_Monetary]]</f>
        <v>22960</v>
      </c>
      <c r="O42" s="19" t="str">
        <f ca="1">tblRFM[[#This Row],[RFM_Score]]</f>
        <v>423</v>
      </c>
      <c r="P42" s="19">
        <f>IFERROR(tblRFM[[#This Row],[SatisfactionIndex]],"")</f>
        <v>3.25</v>
      </c>
      <c r="Q42" s="19">
        <f>IFERROR(tblRFM[[#This Row],[Satisfaction]],"")</f>
        <v>3</v>
      </c>
      <c r="R42" s="19">
        <f>IFERROR(tblRFM[[#This Row],[RecommendationLikelihood]],"")</f>
        <v>7</v>
      </c>
      <c r="S42" s="19">
        <f>COUNTIFS(tblTransactions[CustomerID],A42)</f>
        <v>3</v>
      </c>
      <c r="T42" s="18" t="str">
        <f>IFERROR(INDEX(tblClean[DiscountSensitivity],MATCH(A42,tblClean[CustomerID],0)),"")</f>
        <v>Medium</v>
      </c>
    </row>
    <row r="43" spans="1:20" ht="15" customHeight="1" x14ac:dyDescent="0.3">
      <c r="A43" s="16" t="str">
        <f>tblRFM[[#This Row],[CustomerID]]</f>
        <v>C0041</v>
      </c>
      <c r="B43" s="16" t="str">
        <f>tblRFM[[#This Row],[Name]]</f>
        <v>Manoj Garg</v>
      </c>
      <c r="C43" s="18" t="str">
        <f>IFERROR(INDEX(tblClean[Gender],MATCH(A43,tblClean[CustomerID],0)),"")</f>
        <v>Male</v>
      </c>
      <c r="D43" s="16" t="str">
        <f>tblRFM[[#This Row],[AgeGroup]]</f>
        <v>25-39</v>
      </c>
      <c r="E43" s="16" t="str">
        <f>tblRFM[[#This Row],[City/Region]]</f>
        <v>Mumbai</v>
      </c>
      <c r="F43" s="16" t="str">
        <f>tblRFM[[#This Row],[IncomeBracket]]</f>
        <v>Low</v>
      </c>
      <c r="G43" s="16" t="str">
        <f>tblRFM[[#This Row],[CustomerType]]</f>
        <v>New</v>
      </c>
      <c r="H43" s="16" t="str">
        <f>tblRFM[[#This Row],[EngagementLevel]]</f>
        <v>Medium</v>
      </c>
      <c r="I43" s="16" t="str">
        <f ca="1">tblRFM[[#This Row],[CustomerSegment]]</f>
        <v>General</v>
      </c>
      <c r="J43" s="16" t="str">
        <f>tblRFM[[#This Row],[ProductPreference]]</f>
        <v>Clothing</v>
      </c>
      <c r="K43" s="18" t="str">
        <f>IFERROR(INDEX(tblClean[PurchaseChannel],MATCH(A43,tblClean[CustomerID],0)),"")</f>
        <v>Offline</v>
      </c>
      <c r="L43" s="22">
        <f ca="1">tblRFM[[#This Row],[RFM_Recency]]</f>
        <v>75</v>
      </c>
      <c r="M43" s="22">
        <f>tblRFM[[#This Row],[RFM_Frequency]]</f>
        <v>1</v>
      </c>
      <c r="N43" s="22">
        <f>tblRFM[[#This Row],[RFM_Monetary]]</f>
        <v>2140</v>
      </c>
      <c r="O43" s="16" t="str">
        <f ca="1">tblRFM[[#This Row],[RFM_Score]]</f>
        <v>311</v>
      </c>
      <c r="P43" s="16">
        <f>IFERROR(tblRFM[[#This Row],[SatisfactionIndex]],"")</f>
        <v>3.25</v>
      </c>
      <c r="Q43" s="16">
        <f>IFERROR(tblRFM[[#This Row],[Satisfaction]],"")</f>
        <v>3</v>
      </c>
      <c r="R43" s="16">
        <f>IFERROR(tblRFM[[#This Row],[RecommendationLikelihood]],"")</f>
        <v>7</v>
      </c>
      <c r="S43" s="16">
        <f>COUNTIFS(tblTransactions[CustomerID],A43)</f>
        <v>1</v>
      </c>
      <c r="T43" s="18" t="str">
        <f>IFERROR(INDEX(tblClean[DiscountSensitivity],MATCH(A43,tblClean[CustomerID],0)),"")</f>
        <v>Medium</v>
      </c>
    </row>
    <row r="44" spans="1:20" ht="15" customHeight="1" x14ac:dyDescent="0.3">
      <c r="A44" s="19" t="str">
        <f>tblRFM[[#This Row],[CustomerID]]</f>
        <v>C0042</v>
      </c>
      <c r="B44" s="19" t="str">
        <f>tblRFM[[#This Row],[Name]]</f>
        <v>Yogesh Shukla</v>
      </c>
      <c r="C44" s="18" t="str">
        <f>IFERROR(INDEX(tblClean[Gender],MATCH(A44,tblClean[CustomerID],0)),"")</f>
        <v>Male</v>
      </c>
      <c r="D44" s="19" t="str">
        <f>tblRFM[[#This Row],[AgeGroup]]</f>
        <v>40-54</v>
      </c>
      <c r="E44" s="19" t="str">
        <f>tblRFM[[#This Row],[City/Region]]</f>
        <v>Indore</v>
      </c>
      <c r="F44" s="19" t="str">
        <f>tblRFM[[#This Row],[IncomeBracket]]</f>
        <v>Low</v>
      </c>
      <c r="G44" s="19" t="str">
        <f>tblRFM[[#This Row],[CustomerType]]</f>
        <v>Returning</v>
      </c>
      <c r="H44" s="19" t="str">
        <f>tblRFM[[#This Row],[EngagementLevel]]</f>
        <v>Low</v>
      </c>
      <c r="I44" s="19" t="str">
        <f ca="1">tblRFM[[#This Row],[CustomerSegment]]</f>
        <v>At Risk</v>
      </c>
      <c r="J44" s="19" t="str">
        <f>tblRFM[[#This Row],[ProductPreference]]</f>
        <v>Electronics</v>
      </c>
      <c r="K44" s="18" t="str">
        <f>IFERROR(INDEX(tblClean[PurchaseChannel],MATCH(A44,tblClean[CustomerID],0)),"")</f>
        <v>Offline</v>
      </c>
      <c r="L44" s="23">
        <f ca="1">tblRFM[[#This Row],[RFM_Recency]]</f>
        <v>226</v>
      </c>
      <c r="M44" s="23">
        <f>tblRFM[[#This Row],[RFM_Frequency]]</f>
        <v>1</v>
      </c>
      <c r="N44" s="23">
        <f>tblRFM[[#This Row],[RFM_Monetary]]</f>
        <v>14120</v>
      </c>
      <c r="O44" s="19" t="str">
        <f ca="1">tblRFM[[#This Row],[RFM_Score]]</f>
        <v>112</v>
      </c>
      <c r="P44" s="19">
        <f>IFERROR(tblRFM[[#This Row],[SatisfactionIndex]],"")</f>
        <v>3</v>
      </c>
      <c r="Q44" s="19">
        <f>IFERROR(tblRFM[[#This Row],[Satisfaction]],"")</f>
        <v>3</v>
      </c>
      <c r="R44" s="19">
        <f>IFERROR(tblRFM[[#This Row],[RecommendationLikelihood]],"")</f>
        <v>6</v>
      </c>
      <c r="S44" s="19">
        <f>COUNTIFS(tblTransactions[CustomerID],A44)</f>
        <v>1</v>
      </c>
      <c r="T44" s="18" t="str">
        <f>IFERROR(INDEX(tblClean[DiscountSensitivity],MATCH(A44,tblClean[CustomerID],0)),"")</f>
        <v>Low</v>
      </c>
    </row>
    <row r="45" spans="1:20" ht="15" customHeight="1" x14ac:dyDescent="0.3">
      <c r="A45" s="16" t="str">
        <f>tblRFM[[#This Row],[CustomerID]]</f>
        <v>C0043</v>
      </c>
      <c r="B45" s="16" t="str">
        <f>tblRFM[[#This Row],[Name]]</f>
        <v>Tushar Patil</v>
      </c>
      <c r="C45" s="18" t="str">
        <f>IFERROR(INDEX(tblClean[Gender],MATCH(A45,tblClean[CustomerID],0)),"")</f>
        <v>Male</v>
      </c>
      <c r="D45" s="16" t="str">
        <f>tblRFM[[#This Row],[AgeGroup]]</f>
        <v>40-54</v>
      </c>
      <c r="E45" s="16" t="str">
        <f>tblRFM[[#This Row],[City/Region]]</f>
        <v>Nagpur</v>
      </c>
      <c r="F45" s="16" t="str">
        <f>tblRFM[[#This Row],[IncomeBracket]]</f>
        <v>High</v>
      </c>
      <c r="G45" s="16" t="str">
        <f>tblRFM[[#This Row],[CustomerType]]</f>
        <v>New</v>
      </c>
      <c r="H45" s="16" t="str">
        <f>tblRFM[[#This Row],[EngagementLevel]]</f>
        <v>High</v>
      </c>
      <c r="I45" s="16" t="str">
        <f ca="1">tblRFM[[#This Row],[CustomerSegment]]</f>
        <v>General</v>
      </c>
      <c r="J45" s="16" t="str">
        <f>tblRFM[[#This Row],[ProductPreference]]</f>
        <v>Home Decor</v>
      </c>
      <c r="K45" s="18" t="str">
        <f>IFERROR(INDEX(tblClean[PurchaseChannel],MATCH(A45,tblClean[CustomerID],0)),"")</f>
        <v>Online</v>
      </c>
      <c r="L45" s="22">
        <f ca="1">tblRFM[[#This Row],[RFM_Recency]]</f>
        <v>35</v>
      </c>
      <c r="M45" s="22">
        <f>tblRFM[[#This Row],[RFM_Frequency]]</f>
        <v>1</v>
      </c>
      <c r="N45" s="22">
        <f>tblRFM[[#This Row],[RFM_Monetary]]</f>
        <v>9100</v>
      </c>
      <c r="O45" s="16" t="str">
        <f ca="1">tblRFM[[#This Row],[RFM_Score]]</f>
        <v>412</v>
      </c>
      <c r="P45" s="16">
        <f>IFERROR(tblRFM[[#This Row],[SatisfactionIndex]],"")</f>
        <v>3.75</v>
      </c>
      <c r="Q45" s="16">
        <f>IFERROR(tblRFM[[#This Row],[Satisfaction]],"")</f>
        <v>5</v>
      </c>
      <c r="R45" s="16">
        <f>IFERROR(tblRFM[[#This Row],[RecommendationLikelihood]],"")</f>
        <v>5</v>
      </c>
      <c r="S45" s="16">
        <f>COUNTIFS(tblTransactions[CustomerID],A45)</f>
        <v>1</v>
      </c>
      <c r="T45" s="18" t="str">
        <f>IFERROR(INDEX(tblClean[DiscountSensitivity],MATCH(A45,tblClean[CustomerID],0)),"")</f>
        <v>High</v>
      </c>
    </row>
    <row r="46" spans="1:20" ht="15" customHeight="1" x14ac:dyDescent="0.3">
      <c r="A46" s="19" t="str">
        <f>tblRFM[[#This Row],[CustomerID]]</f>
        <v>C0044</v>
      </c>
      <c r="B46" s="19" t="str">
        <f>tblRFM[[#This Row],[Name]]</f>
        <v>Chirag Parekh</v>
      </c>
      <c r="C46" s="18" t="str">
        <f>IFERROR(INDEX(tblClean[Gender],MATCH(A46,tblClean[CustomerID],0)),"")</f>
        <v>Male</v>
      </c>
      <c r="D46" s="19" t="str">
        <f>tblRFM[[#This Row],[AgeGroup]]</f>
        <v>&lt;25</v>
      </c>
      <c r="E46" s="19" t="str">
        <f>tblRFM[[#This Row],[City/Region]]</f>
        <v>Chandigarh</v>
      </c>
      <c r="F46" s="19" t="str">
        <f>tblRFM[[#This Row],[IncomeBracket]]</f>
        <v>Mid</v>
      </c>
      <c r="G46" s="19" t="str">
        <f>tblRFM[[#This Row],[CustomerType]]</f>
        <v>Returning</v>
      </c>
      <c r="H46" s="19" t="str">
        <f>tblRFM[[#This Row],[EngagementLevel]]</f>
        <v>Medium</v>
      </c>
      <c r="I46" s="19" t="str">
        <f ca="1">tblRFM[[#This Row],[CustomerSegment]]</f>
        <v>General</v>
      </c>
      <c r="J46" s="19" t="str">
        <f>tblRFM[[#This Row],[ProductPreference]]</f>
        <v>Home Decor</v>
      </c>
      <c r="K46" s="18" t="str">
        <f>IFERROR(INDEX(tblClean[PurchaseChannel],MATCH(A46,tblClean[CustomerID],0)),"")</f>
        <v>Offline</v>
      </c>
      <c r="L46" s="23">
        <f ca="1">tblRFM[[#This Row],[RFM_Recency]]</f>
        <v>285</v>
      </c>
      <c r="M46" s="23">
        <f>tblRFM[[#This Row],[RFM_Frequency]]</f>
        <v>3</v>
      </c>
      <c r="N46" s="23">
        <f>tblRFM[[#This Row],[RFM_Monetary]]</f>
        <v>13210</v>
      </c>
      <c r="O46" s="19" t="str">
        <f ca="1">tblRFM[[#This Row],[RFM_Score]]</f>
        <v>122</v>
      </c>
      <c r="P46" s="19">
        <f>IFERROR(tblRFM[[#This Row],[SatisfactionIndex]],"")</f>
        <v>3.25</v>
      </c>
      <c r="Q46" s="19">
        <f>IFERROR(tblRFM[[#This Row],[Satisfaction]],"")</f>
        <v>3</v>
      </c>
      <c r="R46" s="19">
        <f>IFERROR(tblRFM[[#This Row],[RecommendationLikelihood]],"")</f>
        <v>7</v>
      </c>
      <c r="S46" s="19">
        <f>COUNTIFS(tblTransactions[CustomerID],A46)</f>
        <v>3</v>
      </c>
      <c r="T46" s="18" t="str">
        <f>IFERROR(INDEX(tblClean[DiscountSensitivity],MATCH(A46,tblClean[CustomerID],0)),"")</f>
        <v>High</v>
      </c>
    </row>
    <row r="47" spans="1:20" ht="15" customHeight="1" x14ac:dyDescent="0.3">
      <c r="A47" s="16" t="str">
        <f>tblRFM[[#This Row],[CustomerID]]</f>
        <v>C0045</v>
      </c>
      <c r="B47" s="16" t="str">
        <f>tblRFM[[#This Row],[Name]]</f>
        <v>Sahil Oberoi</v>
      </c>
      <c r="C47" s="18" t="str">
        <f>IFERROR(INDEX(tblClean[Gender],MATCH(A47,tblClean[CustomerID],0)),"")</f>
        <v>Male</v>
      </c>
      <c r="D47" s="16" t="str">
        <f>tblRFM[[#This Row],[AgeGroup]]</f>
        <v>55+</v>
      </c>
      <c r="E47" s="16" t="str">
        <f>tblRFM[[#This Row],[City/Region]]</f>
        <v>Gurgaon</v>
      </c>
      <c r="F47" s="16" t="str">
        <f>tblRFM[[#This Row],[IncomeBracket]]</f>
        <v>High</v>
      </c>
      <c r="G47" s="16" t="str">
        <f>tblRFM[[#This Row],[CustomerType]]</f>
        <v>Returning</v>
      </c>
      <c r="H47" s="16" t="str">
        <f>tblRFM[[#This Row],[EngagementLevel]]</f>
        <v>High</v>
      </c>
      <c r="I47" s="16" t="str">
        <f ca="1">tblRFM[[#This Row],[CustomerSegment]]</f>
        <v>High Value</v>
      </c>
      <c r="J47" s="16" t="str">
        <f>tblRFM[[#This Row],[ProductPreference]]</f>
        <v>Beauty</v>
      </c>
      <c r="K47" s="18" t="str">
        <f>IFERROR(INDEX(tblClean[PurchaseChannel],MATCH(A47,tblClean[CustomerID],0)),"")</f>
        <v>Offline</v>
      </c>
      <c r="L47" s="22">
        <f ca="1">tblRFM[[#This Row],[RFM_Recency]]</f>
        <v>45</v>
      </c>
      <c r="M47" s="22">
        <f>tblRFM[[#This Row],[RFM_Frequency]]</f>
        <v>9</v>
      </c>
      <c r="N47" s="22">
        <f>tblRFM[[#This Row],[RFM_Monetary]]</f>
        <v>50210</v>
      </c>
      <c r="O47" s="16" t="str">
        <f ca="1">tblRFM[[#This Row],[RFM_Score]]</f>
        <v>455</v>
      </c>
      <c r="P47" s="16">
        <f>IFERROR(tblRFM[[#This Row],[SatisfactionIndex]],"")</f>
        <v>4</v>
      </c>
      <c r="Q47" s="16">
        <f>IFERROR(tblRFM[[#This Row],[Satisfaction]],"")</f>
        <v>5</v>
      </c>
      <c r="R47" s="16">
        <f>IFERROR(tblRFM[[#This Row],[RecommendationLikelihood]],"")</f>
        <v>6</v>
      </c>
      <c r="S47" s="16">
        <f>COUNTIFS(tblTransactions[CustomerID],A47)</f>
        <v>9</v>
      </c>
      <c r="T47" s="18" t="str">
        <f>IFERROR(INDEX(tblClean[DiscountSensitivity],MATCH(A47,tblClean[CustomerID],0)),"")</f>
        <v>High</v>
      </c>
    </row>
    <row r="48" spans="1:20" ht="15" customHeight="1" x14ac:dyDescent="0.3">
      <c r="A48" s="19" t="str">
        <f>tblRFM[[#This Row],[CustomerID]]</f>
        <v>C0046</v>
      </c>
      <c r="B48" s="19" t="str">
        <f>tblRFM[[#This Row],[Name]]</f>
        <v>Kartik Mitra</v>
      </c>
      <c r="C48" s="18" t="str">
        <f>IFERROR(INDEX(tblClean[Gender],MATCH(A48,tblClean[CustomerID],0)),"")</f>
        <v>Male</v>
      </c>
      <c r="D48" s="19" t="str">
        <f>tblRFM[[#This Row],[AgeGroup]]</f>
        <v>&lt;25</v>
      </c>
      <c r="E48" s="19" t="str">
        <f>tblRFM[[#This Row],[City/Region]]</f>
        <v>Chennai</v>
      </c>
      <c r="F48" s="19" t="str">
        <f>tblRFM[[#This Row],[IncomeBracket]]</f>
        <v>High</v>
      </c>
      <c r="G48" s="19" t="str">
        <f>tblRFM[[#This Row],[CustomerType]]</f>
        <v>Returning</v>
      </c>
      <c r="H48" s="19" t="str">
        <f>tblRFM[[#This Row],[EngagementLevel]]</f>
        <v>Medium</v>
      </c>
      <c r="I48" s="19" t="str">
        <f ca="1">tblRFM[[#This Row],[CustomerSegment]]</f>
        <v>High Value</v>
      </c>
      <c r="J48" s="19" t="str">
        <f>tblRFM[[#This Row],[ProductPreference]]</f>
        <v>Beauty</v>
      </c>
      <c r="K48" s="18" t="str">
        <f>IFERROR(INDEX(tblClean[PurchaseChannel],MATCH(A48,tblClean[CustomerID],0)),"")</f>
        <v>Offline</v>
      </c>
      <c r="L48" s="23">
        <f ca="1">tblRFM[[#This Row],[RFM_Recency]]</f>
        <v>115</v>
      </c>
      <c r="M48" s="23">
        <f>tblRFM[[#This Row],[RFM_Frequency]]</f>
        <v>10</v>
      </c>
      <c r="N48" s="23">
        <f>tblRFM[[#This Row],[RFM_Monetary]]</f>
        <v>77730</v>
      </c>
      <c r="O48" s="19" t="str">
        <f ca="1">tblRFM[[#This Row],[RFM_Score]]</f>
        <v>255</v>
      </c>
      <c r="P48" s="19">
        <f>IFERROR(tblRFM[[#This Row],[SatisfactionIndex]],"")</f>
        <v>3.25</v>
      </c>
      <c r="Q48" s="19">
        <f>IFERROR(tblRFM[[#This Row],[Satisfaction]],"")</f>
        <v>4</v>
      </c>
      <c r="R48" s="19">
        <f>IFERROR(tblRFM[[#This Row],[RecommendationLikelihood]],"")</f>
        <v>5</v>
      </c>
      <c r="S48" s="19">
        <f>COUNTIFS(tblTransactions[CustomerID],A48)</f>
        <v>10</v>
      </c>
      <c r="T48" s="18" t="str">
        <f>IFERROR(INDEX(tblClean[DiscountSensitivity],MATCH(A48,tblClean[CustomerID],0)),"")</f>
        <v>High</v>
      </c>
    </row>
    <row r="49" spans="1:20" ht="15" customHeight="1" x14ac:dyDescent="0.3">
      <c r="A49" s="16" t="str">
        <f>tblRFM[[#This Row],[CustomerID]]</f>
        <v>C0047</v>
      </c>
      <c r="B49" s="16" t="str">
        <f>tblRFM[[#This Row],[Name]]</f>
        <v>Alok Sinha</v>
      </c>
      <c r="C49" s="18" t="str">
        <f>IFERROR(INDEX(tblClean[Gender],MATCH(A49,tblClean[CustomerID],0)),"")</f>
        <v>Male</v>
      </c>
      <c r="D49" s="16" t="str">
        <f>tblRFM[[#This Row],[AgeGroup]]</f>
        <v>25-39</v>
      </c>
      <c r="E49" s="16" t="str">
        <f>tblRFM[[#This Row],[City/Region]]</f>
        <v>Ahmedabad</v>
      </c>
      <c r="F49" s="16" t="str">
        <f>tblRFM[[#This Row],[IncomeBracket]]</f>
        <v>Mid</v>
      </c>
      <c r="G49" s="16" t="str">
        <f>tblRFM[[#This Row],[CustomerType]]</f>
        <v>New</v>
      </c>
      <c r="H49" s="16" t="str">
        <f>tblRFM[[#This Row],[EngagementLevel]]</f>
        <v>Medium</v>
      </c>
      <c r="I49" s="16" t="str">
        <f ca="1">tblRFM[[#This Row],[CustomerSegment]]</f>
        <v>At Risk</v>
      </c>
      <c r="J49" s="16" t="str">
        <f>tblRFM[[#This Row],[ProductPreference]]</f>
        <v>Home Decor</v>
      </c>
      <c r="K49" s="18" t="str">
        <f>IFERROR(INDEX(tblClean[PurchaseChannel],MATCH(A49,tblClean[CustomerID],0)),"")</f>
        <v>Online</v>
      </c>
      <c r="L49" s="22">
        <f ca="1">tblRFM[[#This Row],[RFM_Recency]]</f>
        <v>301</v>
      </c>
      <c r="M49" s="22">
        <f>tblRFM[[#This Row],[RFM_Frequency]]</f>
        <v>1</v>
      </c>
      <c r="N49" s="22">
        <f>tblRFM[[#This Row],[RFM_Monetary]]</f>
        <v>5570</v>
      </c>
      <c r="O49" s="16" t="str">
        <f ca="1">tblRFM[[#This Row],[RFM_Score]]</f>
        <v>112</v>
      </c>
      <c r="P49" s="16">
        <f>IFERROR(tblRFM[[#This Row],[SatisfactionIndex]],"")</f>
        <v>3.5</v>
      </c>
      <c r="Q49" s="16">
        <f>IFERROR(tblRFM[[#This Row],[Satisfaction]],"")</f>
        <v>4</v>
      </c>
      <c r="R49" s="16">
        <f>IFERROR(tblRFM[[#This Row],[RecommendationLikelihood]],"")</f>
        <v>6</v>
      </c>
      <c r="S49" s="16">
        <f>COUNTIFS(tblTransactions[CustomerID],A49)</f>
        <v>1</v>
      </c>
      <c r="T49" s="18" t="str">
        <f>IFERROR(INDEX(tblClean[DiscountSensitivity],MATCH(A49,tblClean[CustomerID],0)),"")</f>
        <v>Low</v>
      </c>
    </row>
    <row r="50" spans="1:20" ht="15" customHeight="1" x14ac:dyDescent="0.3">
      <c r="A50" s="19" t="str">
        <f>tblRFM[[#This Row],[CustomerID]]</f>
        <v>C0048</v>
      </c>
      <c r="B50" s="19" t="str">
        <f>tblRFM[[#This Row],[Name]]</f>
        <v>Piyush Rastogi</v>
      </c>
      <c r="C50" s="18" t="str">
        <f>IFERROR(INDEX(tblClean[Gender],MATCH(A50,tblClean[CustomerID],0)),"")</f>
        <v>Male</v>
      </c>
      <c r="D50" s="19" t="str">
        <f>tblRFM[[#This Row],[AgeGroup]]</f>
        <v>40-54</v>
      </c>
      <c r="E50" s="19" t="str">
        <f>tblRFM[[#This Row],[City/Region]]</f>
        <v>Chandigarh</v>
      </c>
      <c r="F50" s="19" t="str">
        <f>tblRFM[[#This Row],[IncomeBracket]]</f>
        <v>Mid</v>
      </c>
      <c r="G50" s="19" t="str">
        <f>tblRFM[[#This Row],[CustomerType]]</f>
        <v>Returning</v>
      </c>
      <c r="H50" s="19" t="str">
        <f>tblRFM[[#This Row],[EngagementLevel]]</f>
        <v>Medium</v>
      </c>
      <c r="I50" s="19" t="str">
        <f ca="1">tblRFM[[#This Row],[CustomerSegment]]</f>
        <v>Bargain Seeker</v>
      </c>
      <c r="J50" s="19" t="str">
        <f>tblRFM[[#This Row],[ProductPreference]]</f>
        <v>Beauty</v>
      </c>
      <c r="K50" s="18" t="str">
        <f>IFERROR(INDEX(tblClean[PurchaseChannel],MATCH(A50,tblClean[CustomerID],0)),"")</f>
        <v>Online</v>
      </c>
      <c r="L50" s="23">
        <f ca="1">tblRFM[[#This Row],[RFM_Recency]]</f>
        <v>66</v>
      </c>
      <c r="M50" s="23">
        <f>tblRFM[[#This Row],[RFM_Frequency]]</f>
        <v>7</v>
      </c>
      <c r="N50" s="23">
        <f>tblRFM[[#This Row],[RFM_Monetary]]</f>
        <v>26060</v>
      </c>
      <c r="O50" s="19" t="str">
        <f ca="1">tblRFM[[#This Row],[RFM_Score]]</f>
        <v>343</v>
      </c>
      <c r="P50" s="19">
        <f>IFERROR(tblRFM[[#This Row],[SatisfactionIndex]],"")</f>
        <v>4.25</v>
      </c>
      <c r="Q50" s="19">
        <f>IFERROR(tblRFM[[#This Row],[Satisfaction]],"")</f>
        <v>4</v>
      </c>
      <c r="R50" s="19">
        <f>IFERROR(tblRFM[[#This Row],[RecommendationLikelihood]],"")</f>
        <v>9</v>
      </c>
      <c r="S50" s="19">
        <f>COUNTIFS(tblTransactions[CustomerID],A50)</f>
        <v>7</v>
      </c>
      <c r="T50" s="18" t="str">
        <f>IFERROR(INDEX(tblClean[DiscountSensitivity],MATCH(A50,tblClean[CustomerID],0)),"")</f>
        <v>Medium</v>
      </c>
    </row>
    <row r="51" spans="1:20" ht="15" customHeight="1" x14ac:dyDescent="0.3">
      <c r="A51" s="16" t="str">
        <f>tblRFM[[#This Row],[CustomerID]]</f>
        <v>C0049</v>
      </c>
      <c r="B51" s="16" t="str">
        <f>tblRFM[[#This Row],[Name]]</f>
        <v>Neeraj Tomar</v>
      </c>
      <c r="C51" s="18" t="str">
        <f>IFERROR(INDEX(tblClean[Gender],MATCH(A51,tblClean[CustomerID],0)),"")</f>
        <v>Male</v>
      </c>
      <c r="D51" s="16" t="str">
        <f>tblRFM[[#This Row],[AgeGroup]]</f>
        <v>&lt;25</v>
      </c>
      <c r="E51" s="16" t="str">
        <f>tblRFM[[#This Row],[City/Region]]</f>
        <v>Ahmedabad</v>
      </c>
      <c r="F51" s="16" t="str">
        <f>tblRFM[[#This Row],[IncomeBracket]]</f>
        <v>Mid</v>
      </c>
      <c r="G51" s="16" t="str">
        <f>tblRFM[[#This Row],[CustomerType]]</f>
        <v>Returning</v>
      </c>
      <c r="H51" s="16" t="str">
        <f>tblRFM[[#This Row],[EngagementLevel]]</f>
        <v>Medium</v>
      </c>
      <c r="I51" s="16" t="str">
        <f ca="1">tblRFM[[#This Row],[CustomerSegment]]</f>
        <v>General</v>
      </c>
      <c r="J51" s="16" t="str">
        <f>tblRFM[[#This Row],[ProductPreference]]</f>
        <v>Home Decor</v>
      </c>
      <c r="K51" s="18" t="str">
        <f>IFERROR(INDEX(tblClean[PurchaseChannel],MATCH(A51,tblClean[CustomerID],0)),"")</f>
        <v>Online</v>
      </c>
      <c r="L51" s="22">
        <f ca="1">tblRFM[[#This Row],[RFM_Recency]]</f>
        <v>193</v>
      </c>
      <c r="M51" s="22">
        <f>tblRFM[[#This Row],[RFM_Frequency]]</f>
        <v>3</v>
      </c>
      <c r="N51" s="22">
        <f>tblRFM[[#This Row],[RFM_Monetary]]</f>
        <v>7570</v>
      </c>
      <c r="O51" s="16" t="str">
        <f ca="1">tblRFM[[#This Row],[RFM_Score]]</f>
        <v>122</v>
      </c>
      <c r="P51" s="16">
        <f>IFERROR(tblRFM[[#This Row],[SatisfactionIndex]],"")</f>
        <v>4.25</v>
      </c>
      <c r="Q51" s="16">
        <f>IFERROR(tblRFM[[#This Row],[Satisfaction]],"")</f>
        <v>4</v>
      </c>
      <c r="R51" s="16">
        <f>IFERROR(tblRFM[[#This Row],[RecommendationLikelihood]],"")</f>
        <v>9</v>
      </c>
      <c r="S51" s="16">
        <f>COUNTIFS(tblTransactions[CustomerID],A51)</f>
        <v>3</v>
      </c>
      <c r="T51" s="18" t="str">
        <f>IFERROR(INDEX(tblClean[DiscountSensitivity],MATCH(A51,tblClean[CustomerID],0)),"")</f>
        <v>High</v>
      </c>
    </row>
    <row r="52" spans="1:20" ht="15" customHeight="1" x14ac:dyDescent="0.3">
      <c r="A52" s="19" t="str">
        <f>tblRFM[[#This Row],[CustomerID]]</f>
        <v>C0050</v>
      </c>
      <c r="B52" s="19" t="str">
        <f>tblRFM[[#This Row],[Name]]</f>
        <v>Vishal Solanki</v>
      </c>
      <c r="C52" s="18" t="str">
        <f>IFERROR(INDEX(tblClean[Gender],MATCH(A52,tblClean[CustomerID],0)),"")</f>
        <v>Male</v>
      </c>
      <c r="D52" s="19" t="str">
        <f>tblRFM[[#This Row],[AgeGroup]]</f>
        <v>25-39</v>
      </c>
      <c r="E52" s="19" t="str">
        <f>tblRFM[[#This Row],[City/Region]]</f>
        <v>Ahmedabad</v>
      </c>
      <c r="F52" s="19" t="str">
        <f>tblRFM[[#This Row],[IncomeBracket]]</f>
        <v>Mid</v>
      </c>
      <c r="G52" s="19" t="str">
        <f>tblRFM[[#This Row],[CustomerType]]</f>
        <v>Returning</v>
      </c>
      <c r="H52" s="19" t="str">
        <f>tblRFM[[#This Row],[EngagementLevel]]</f>
        <v>Medium</v>
      </c>
      <c r="I52" s="19" t="str">
        <f ca="1">tblRFM[[#This Row],[CustomerSegment]]</f>
        <v>Bargain Seeker</v>
      </c>
      <c r="J52" s="19" t="str">
        <f>tblRFM[[#This Row],[ProductPreference]]</f>
        <v>Electronics</v>
      </c>
      <c r="K52" s="18" t="str">
        <f>IFERROR(INDEX(tblClean[PurchaseChannel],MATCH(A52,tblClean[CustomerID],0)),"")</f>
        <v>Online</v>
      </c>
      <c r="L52" s="23">
        <f ca="1">tblRFM[[#This Row],[RFM_Recency]]</f>
        <v>179</v>
      </c>
      <c r="M52" s="23">
        <f>tblRFM[[#This Row],[RFM_Frequency]]</f>
        <v>5</v>
      </c>
      <c r="N52" s="23">
        <f>tblRFM[[#This Row],[RFM_Monetary]]</f>
        <v>24050</v>
      </c>
      <c r="O52" s="19" t="str">
        <f ca="1">tblRFM[[#This Row],[RFM_Score]]</f>
        <v>233</v>
      </c>
      <c r="P52" s="19">
        <f>IFERROR(tblRFM[[#This Row],[SatisfactionIndex]],"")</f>
        <v>3</v>
      </c>
      <c r="Q52" s="19">
        <f>IFERROR(tblRFM[[#This Row],[Satisfaction]],"")</f>
        <v>3</v>
      </c>
      <c r="R52" s="19">
        <f>IFERROR(tblRFM[[#This Row],[RecommendationLikelihood]],"")</f>
        <v>6</v>
      </c>
      <c r="S52" s="19">
        <f>COUNTIFS(tblTransactions[CustomerID],A52)</f>
        <v>5</v>
      </c>
      <c r="T52" s="18" t="str">
        <f>IFERROR(INDEX(tblClean[DiscountSensitivity],MATCH(A52,tblClean[CustomerID],0)),"")</f>
        <v>High</v>
      </c>
    </row>
    <row r="53" spans="1:20" ht="15" customHeight="1" x14ac:dyDescent="0.3">
      <c r="A53" s="16" t="str">
        <f>tblRFM[[#This Row],[CustomerID]]</f>
        <v>C0051</v>
      </c>
      <c r="B53" s="16" t="str">
        <f>tblRFM[[#This Row],[Name]]</f>
        <v>Priya Sharma</v>
      </c>
      <c r="C53" s="18" t="str">
        <f>IFERROR(INDEX(tblClean[Gender],MATCH(A53,tblClean[CustomerID],0)),"")</f>
        <v>Female</v>
      </c>
      <c r="D53" s="16" t="str">
        <f>tblRFM[[#This Row],[AgeGroup]]</f>
        <v>40-54</v>
      </c>
      <c r="E53" s="16" t="str">
        <f>tblRFM[[#This Row],[City/Region]]</f>
        <v>Bhubaneswar</v>
      </c>
      <c r="F53" s="16" t="str">
        <f>tblRFM[[#This Row],[IncomeBracket]]</f>
        <v>High</v>
      </c>
      <c r="G53" s="16" t="str">
        <f>tblRFM[[#This Row],[CustomerType]]</f>
        <v>Returning</v>
      </c>
      <c r="H53" s="16" t="str">
        <f>tblRFM[[#This Row],[EngagementLevel]]</f>
        <v>Medium</v>
      </c>
      <c r="I53" s="16" t="str">
        <f ca="1">tblRFM[[#This Row],[CustomerSegment]]</f>
        <v>High Value</v>
      </c>
      <c r="J53" s="16" t="str">
        <f>tblRFM[[#This Row],[ProductPreference]]</f>
        <v>Clothing</v>
      </c>
      <c r="K53" s="18" t="str">
        <f>IFERROR(INDEX(tblClean[PurchaseChannel],MATCH(A53,tblClean[CustomerID],0)),"")</f>
        <v>Online</v>
      </c>
      <c r="L53" s="22">
        <f ca="1">tblRFM[[#This Row],[RFM_Recency]]</f>
        <v>41</v>
      </c>
      <c r="M53" s="22">
        <f>tblRFM[[#This Row],[RFM_Frequency]]</f>
        <v>15</v>
      </c>
      <c r="N53" s="22">
        <f>tblRFM[[#This Row],[RFM_Monetary]]</f>
        <v>110290</v>
      </c>
      <c r="O53" s="16" t="str">
        <f ca="1">tblRFM[[#This Row],[RFM_Score]]</f>
        <v>455</v>
      </c>
      <c r="P53" s="16">
        <f>IFERROR(tblRFM[[#This Row],[SatisfactionIndex]],"")</f>
        <v>2</v>
      </c>
      <c r="Q53" s="16">
        <f>IFERROR(tblRFM[[#This Row],[Satisfaction]],"")</f>
        <v>2</v>
      </c>
      <c r="R53" s="16">
        <f>IFERROR(tblRFM[[#This Row],[RecommendationLikelihood]],"")</f>
        <v>4</v>
      </c>
      <c r="S53" s="16">
        <f>COUNTIFS(tblTransactions[CustomerID],A53)</f>
        <v>15</v>
      </c>
      <c r="T53" s="18" t="str">
        <f>IFERROR(INDEX(tblClean[DiscountSensitivity],MATCH(A53,tblClean[CustomerID],0)),"")</f>
        <v>High</v>
      </c>
    </row>
    <row r="54" spans="1:20" ht="15" customHeight="1" x14ac:dyDescent="0.3">
      <c r="A54" s="19" t="str">
        <f>tblRFM[[#This Row],[CustomerID]]</f>
        <v>C0052</v>
      </c>
      <c r="B54" s="19" t="str">
        <f>tblRFM[[#This Row],[Name]]</f>
        <v>Neha Singh</v>
      </c>
      <c r="C54" s="18" t="str">
        <f>IFERROR(INDEX(tblClean[Gender],MATCH(A54,tblClean[CustomerID],0)),"")</f>
        <v>Female</v>
      </c>
      <c r="D54" s="19" t="str">
        <f>tblRFM[[#This Row],[AgeGroup]]</f>
        <v>&lt;25</v>
      </c>
      <c r="E54" s="19" t="str">
        <f>tblRFM[[#This Row],[City/Region]]</f>
        <v>Surat</v>
      </c>
      <c r="F54" s="19" t="str">
        <f>tblRFM[[#This Row],[IncomeBracket]]</f>
        <v>High</v>
      </c>
      <c r="G54" s="19" t="str">
        <f>tblRFM[[#This Row],[CustomerType]]</f>
        <v>Returning</v>
      </c>
      <c r="H54" s="19" t="str">
        <f>tblRFM[[#This Row],[EngagementLevel]]</f>
        <v>Medium</v>
      </c>
      <c r="I54" s="19" t="str">
        <f ca="1">tblRFM[[#This Row],[CustomerSegment]]</f>
        <v>General</v>
      </c>
      <c r="J54" s="19" t="str">
        <f>tblRFM[[#This Row],[ProductPreference]]</f>
        <v>Grocery</v>
      </c>
      <c r="K54" s="18" t="str">
        <f>IFERROR(INDEX(tblClean[PurchaseChannel],MATCH(A54,tblClean[CustomerID],0)),"")</f>
        <v>Offline</v>
      </c>
      <c r="L54" s="23">
        <f ca="1">tblRFM[[#This Row],[RFM_Recency]]</f>
        <v>227</v>
      </c>
      <c r="M54" s="23">
        <f>tblRFM[[#This Row],[RFM_Frequency]]</f>
        <v>6</v>
      </c>
      <c r="N54" s="23">
        <f>tblRFM[[#This Row],[RFM_Monetary]]</f>
        <v>36270</v>
      </c>
      <c r="O54" s="19" t="str">
        <f ca="1">tblRFM[[#This Row],[RFM_Score]]</f>
        <v>144</v>
      </c>
      <c r="P54" s="19">
        <f>IFERROR(tblRFM[[#This Row],[SatisfactionIndex]],"")</f>
        <v>3.75</v>
      </c>
      <c r="Q54" s="19">
        <f>IFERROR(tblRFM[[#This Row],[Satisfaction]],"")</f>
        <v>3</v>
      </c>
      <c r="R54" s="19">
        <f>IFERROR(tblRFM[[#This Row],[RecommendationLikelihood]],"")</f>
        <v>9</v>
      </c>
      <c r="S54" s="19">
        <f>COUNTIFS(tblTransactions[CustomerID],A54)</f>
        <v>6</v>
      </c>
      <c r="T54" s="18" t="str">
        <f>IFERROR(INDEX(tblClean[DiscountSensitivity],MATCH(A54,tblClean[CustomerID],0)),"")</f>
        <v>Low</v>
      </c>
    </row>
    <row r="55" spans="1:20" ht="15" customHeight="1" x14ac:dyDescent="0.3">
      <c r="A55" s="16" t="str">
        <f>tblRFM[[#This Row],[CustomerID]]</f>
        <v>C0053</v>
      </c>
      <c r="B55" s="16" t="str">
        <f>tblRFM[[#This Row],[Name]]</f>
        <v>Ananya Mehta</v>
      </c>
      <c r="C55" s="18" t="str">
        <f>IFERROR(INDEX(tblClean[Gender],MATCH(A55,tblClean[CustomerID],0)),"")</f>
        <v>Female</v>
      </c>
      <c r="D55" s="16" t="str">
        <f>tblRFM[[#This Row],[AgeGroup]]</f>
        <v>40-54</v>
      </c>
      <c r="E55" s="16" t="str">
        <f>tblRFM[[#This Row],[City/Region]]</f>
        <v>Bangalore</v>
      </c>
      <c r="F55" s="16" t="str">
        <f>tblRFM[[#This Row],[IncomeBracket]]</f>
        <v>High</v>
      </c>
      <c r="G55" s="16" t="str">
        <f>tblRFM[[#This Row],[CustomerType]]</f>
        <v>Returning</v>
      </c>
      <c r="H55" s="16" t="str">
        <f>tblRFM[[#This Row],[EngagementLevel]]</f>
        <v>Low</v>
      </c>
      <c r="I55" s="16" t="str">
        <f ca="1">tblRFM[[#This Row],[CustomerSegment]]</f>
        <v>General</v>
      </c>
      <c r="J55" s="16" t="str">
        <f>tblRFM[[#This Row],[ProductPreference]]</f>
        <v>Electronics</v>
      </c>
      <c r="K55" s="18" t="str">
        <f>IFERROR(INDEX(tblClean[PurchaseChannel],MATCH(A55,tblClean[CustomerID],0)),"")</f>
        <v>Offline</v>
      </c>
      <c r="L55" s="22">
        <f ca="1">tblRFM[[#This Row],[RFM_Recency]]</f>
        <v>37</v>
      </c>
      <c r="M55" s="22">
        <f>tblRFM[[#This Row],[RFM_Frequency]]</f>
        <v>1</v>
      </c>
      <c r="N55" s="22">
        <f>tblRFM[[#This Row],[RFM_Monetary]]</f>
        <v>6590</v>
      </c>
      <c r="O55" s="16" t="str">
        <f ca="1">tblRFM[[#This Row],[RFM_Score]]</f>
        <v>412</v>
      </c>
      <c r="P55" s="16">
        <f>IFERROR(tblRFM[[#This Row],[SatisfactionIndex]],"")</f>
        <v>3.75</v>
      </c>
      <c r="Q55" s="16">
        <f>IFERROR(tblRFM[[#This Row],[Satisfaction]],"")</f>
        <v>4</v>
      </c>
      <c r="R55" s="16">
        <f>IFERROR(tblRFM[[#This Row],[RecommendationLikelihood]],"")</f>
        <v>7</v>
      </c>
      <c r="S55" s="16">
        <f>COUNTIFS(tblTransactions[CustomerID],A55)</f>
        <v>1</v>
      </c>
      <c r="T55" s="18" t="str">
        <f>IFERROR(INDEX(tblClean[DiscountSensitivity],MATCH(A55,tblClean[CustomerID],0)),"")</f>
        <v>High</v>
      </c>
    </row>
    <row r="56" spans="1:20" ht="15" customHeight="1" x14ac:dyDescent="0.3">
      <c r="A56" s="19" t="str">
        <f>tblRFM[[#This Row],[CustomerID]]</f>
        <v>C0054</v>
      </c>
      <c r="B56" s="19" t="str">
        <f>tblRFM[[#This Row],[Name]]</f>
        <v>Divya Gupta</v>
      </c>
      <c r="C56" s="18" t="str">
        <f>IFERROR(INDEX(tblClean[Gender],MATCH(A56,tblClean[CustomerID],0)),"")</f>
        <v>Female</v>
      </c>
      <c r="D56" s="19" t="str">
        <f>tblRFM[[#This Row],[AgeGroup]]</f>
        <v>40-54</v>
      </c>
      <c r="E56" s="19" t="str">
        <f>tblRFM[[#This Row],[City/Region]]</f>
        <v>Kolkata</v>
      </c>
      <c r="F56" s="19" t="str">
        <f>tblRFM[[#This Row],[IncomeBracket]]</f>
        <v>High</v>
      </c>
      <c r="G56" s="19" t="str">
        <f>tblRFM[[#This Row],[CustomerType]]</f>
        <v>New</v>
      </c>
      <c r="H56" s="19" t="str">
        <f>tblRFM[[#This Row],[EngagementLevel]]</f>
        <v>Low</v>
      </c>
      <c r="I56" s="19" t="str">
        <f ca="1">tblRFM[[#This Row],[CustomerSegment]]</f>
        <v>General</v>
      </c>
      <c r="J56" s="19" t="str">
        <f>tblRFM[[#This Row],[ProductPreference]]</f>
        <v>Electronics</v>
      </c>
      <c r="K56" s="18" t="str">
        <f>IFERROR(INDEX(tblClean[PurchaseChannel],MATCH(A56,tblClean[CustomerID],0)),"")</f>
        <v>Online</v>
      </c>
      <c r="L56" s="23">
        <f ca="1">tblRFM[[#This Row],[RFM_Recency]]</f>
        <v>46</v>
      </c>
      <c r="M56" s="23">
        <f>tblRFM[[#This Row],[RFM_Frequency]]</f>
        <v>1</v>
      </c>
      <c r="N56" s="23">
        <f>tblRFM[[#This Row],[RFM_Monetary]]</f>
        <v>1430</v>
      </c>
      <c r="O56" s="19" t="str">
        <f ca="1">tblRFM[[#This Row],[RFM_Score]]</f>
        <v>411</v>
      </c>
      <c r="P56" s="19">
        <f>IFERROR(tblRFM[[#This Row],[SatisfactionIndex]],"")</f>
        <v>4.25</v>
      </c>
      <c r="Q56" s="19">
        <f>IFERROR(tblRFM[[#This Row],[Satisfaction]],"")</f>
        <v>4</v>
      </c>
      <c r="R56" s="19">
        <f>IFERROR(tblRFM[[#This Row],[RecommendationLikelihood]],"")</f>
        <v>9</v>
      </c>
      <c r="S56" s="19">
        <f>COUNTIFS(tblTransactions[CustomerID],A56)</f>
        <v>1</v>
      </c>
      <c r="T56" s="18" t="str">
        <f>IFERROR(INDEX(tblClean[DiscountSensitivity],MATCH(A56,tblClean[CustomerID],0)),"")</f>
        <v>Medium</v>
      </c>
    </row>
    <row r="57" spans="1:20" ht="15" customHeight="1" x14ac:dyDescent="0.3">
      <c r="A57" s="16" t="str">
        <f>tblRFM[[#This Row],[CustomerID]]</f>
        <v>C0055</v>
      </c>
      <c r="B57" s="16" t="str">
        <f>tblRFM[[#This Row],[Name]]</f>
        <v>Pooja Verma</v>
      </c>
      <c r="C57" s="18" t="str">
        <f>IFERROR(INDEX(tblClean[Gender],MATCH(A57,tblClean[CustomerID],0)),"")</f>
        <v>Female</v>
      </c>
      <c r="D57" s="16" t="str">
        <f>tblRFM[[#This Row],[AgeGroup]]</f>
        <v>40-54</v>
      </c>
      <c r="E57" s="16" t="str">
        <f>tblRFM[[#This Row],[City/Region]]</f>
        <v>Chennai</v>
      </c>
      <c r="F57" s="16" t="str">
        <f>tblRFM[[#This Row],[IncomeBracket]]</f>
        <v>High</v>
      </c>
      <c r="G57" s="16" t="str">
        <f>tblRFM[[#This Row],[CustomerType]]</f>
        <v>Returning</v>
      </c>
      <c r="H57" s="16" t="str">
        <f>tblRFM[[#This Row],[EngagementLevel]]</f>
        <v>Medium</v>
      </c>
      <c r="I57" s="16" t="str">
        <f ca="1">tblRFM[[#This Row],[CustomerSegment]]</f>
        <v>Loyal</v>
      </c>
      <c r="J57" s="16" t="str">
        <f>tblRFM[[#This Row],[ProductPreference]]</f>
        <v>Grocery</v>
      </c>
      <c r="K57" s="18" t="str">
        <f>IFERROR(INDEX(tblClean[PurchaseChannel],MATCH(A57,tblClean[CustomerID],0)),"")</f>
        <v>Online</v>
      </c>
      <c r="L57" s="22">
        <f ca="1">tblRFM[[#This Row],[RFM_Recency]]</f>
        <v>30</v>
      </c>
      <c r="M57" s="22">
        <f>tblRFM[[#This Row],[RFM_Frequency]]</f>
        <v>13</v>
      </c>
      <c r="N57" s="22">
        <f>tblRFM[[#This Row],[RFM_Monetary]]</f>
        <v>70600</v>
      </c>
      <c r="O57" s="16" t="str">
        <f ca="1">tblRFM[[#This Row],[RFM_Score]]</f>
        <v>555</v>
      </c>
      <c r="P57" s="16">
        <f>IFERROR(tblRFM[[#This Row],[SatisfactionIndex]],"")</f>
        <v>2.5</v>
      </c>
      <c r="Q57" s="16">
        <f>IFERROR(tblRFM[[#This Row],[Satisfaction]],"")</f>
        <v>2</v>
      </c>
      <c r="R57" s="16">
        <f>IFERROR(tblRFM[[#This Row],[RecommendationLikelihood]],"")</f>
        <v>6</v>
      </c>
      <c r="S57" s="16">
        <f>COUNTIFS(tblTransactions[CustomerID],A57)</f>
        <v>13</v>
      </c>
      <c r="T57" s="18" t="str">
        <f>IFERROR(INDEX(tblClean[DiscountSensitivity],MATCH(A57,tblClean[CustomerID],0)),"")</f>
        <v>Low</v>
      </c>
    </row>
    <row r="58" spans="1:20" ht="15" customHeight="1" x14ac:dyDescent="0.3">
      <c r="A58" s="19" t="str">
        <f>tblRFM[[#This Row],[CustomerID]]</f>
        <v>C0056</v>
      </c>
      <c r="B58" s="19" t="str">
        <f>tblRFM[[#This Row],[Name]]</f>
        <v>Sunita Kumar</v>
      </c>
      <c r="C58" s="18" t="str">
        <f>IFERROR(INDEX(tblClean[Gender],MATCH(A58,tblClean[CustomerID],0)),"")</f>
        <v>Female</v>
      </c>
      <c r="D58" s="19" t="str">
        <f>tblRFM[[#This Row],[AgeGroup]]</f>
        <v>55+</v>
      </c>
      <c r="E58" s="19" t="str">
        <f>tblRFM[[#This Row],[City/Region]]</f>
        <v>Bhubaneswar</v>
      </c>
      <c r="F58" s="19" t="str">
        <f>tblRFM[[#This Row],[IncomeBracket]]</f>
        <v>High</v>
      </c>
      <c r="G58" s="19" t="str">
        <f>tblRFM[[#This Row],[CustomerType]]</f>
        <v>Returning</v>
      </c>
      <c r="H58" s="19" t="str">
        <f>tblRFM[[#This Row],[EngagementLevel]]</f>
        <v>Medium</v>
      </c>
      <c r="I58" s="19" t="str">
        <f ca="1">tblRFM[[#This Row],[CustomerSegment]]</f>
        <v>Bargain Seeker</v>
      </c>
      <c r="J58" s="19" t="str">
        <f>tblRFM[[#This Row],[ProductPreference]]</f>
        <v>Clothing</v>
      </c>
      <c r="K58" s="18" t="str">
        <f>IFERROR(INDEX(tblClean[PurchaseChannel],MATCH(A58,tblClean[CustomerID],0)),"")</f>
        <v>Online</v>
      </c>
      <c r="L58" s="23">
        <f ca="1">tblRFM[[#This Row],[RFM_Recency]]</f>
        <v>229</v>
      </c>
      <c r="M58" s="23">
        <f>tblRFM[[#This Row],[RFM_Frequency]]</f>
        <v>7</v>
      </c>
      <c r="N58" s="23">
        <f>tblRFM[[#This Row],[RFM_Monetary]]</f>
        <v>24760</v>
      </c>
      <c r="O58" s="19" t="str">
        <f ca="1">tblRFM[[#This Row],[RFM_Score]]</f>
        <v>143</v>
      </c>
      <c r="P58" s="19">
        <f>IFERROR(tblRFM[[#This Row],[SatisfactionIndex]],"")</f>
        <v>4</v>
      </c>
      <c r="Q58" s="19">
        <f>IFERROR(tblRFM[[#This Row],[Satisfaction]],"")</f>
        <v>4</v>
      </c>
      <c r="R58" s="19">
        <f>IFERROR(tblRFM[[#This Row],[RecommendationLikelihood]],"")</f>
        <v>8</v>
      </c>
      <c r="S58" s="19">
        <f>COUNTIFS(tblTransactions[CustomerID],A58)</f>
        <v>7</v>
      </c>
      <c r="T58" s="18" t="str">
        <f>IFERROR(INDEX(tblClean[DiscountSensitivity],MATCH(A58,tblClean[CustomerID],0)),"")</f>
        <v>High</v>
      </c>
    </row>
    <row r="59" spans="1:20" ht="15" customHeight="1" x14ac:dyDescent="0.3">
      <c r="A59" s="16" t="str">
        <f>tblRFM[[#This Row],[CustomerID]]</f>
        <v>C0057</v>
      </c>
      <c r="B59" s="16" t="str">
        <f>tblRFM[[#This Row],[Name]]</f>
        <v>Rekha Patel</v>
      </c>
      <c r="C59" s="18" t="str">
        <f>IFERROR(INDEX(tblClean[Gender],MATCH(A59,tblClean[CustomerID],0)),"")</f>
        <v>Female</v>
      </c>
      <c r="D59" s="16" t="str">
        <f>tblRFM[[#This Row],[AgeGroup]]</f>
        <v>25-39</v>
      </c>
      <c r="E59" s="16" t="str">
        <f>tblRFM[[#This Row],[City/Region]]</f>
        <v>Bangalore</v>
      </c>
      <c r="F59" s="16" t="str">
        <f>tblRFM[[#This Row],[IncomeBracket]]</f>
        <v>Mid</v>
      </c>
      <c r="G59" s="16" t="str">
        <f>tblRFM[[#This Row],[CustomerType]]</f>
        <v>Returning</v>
      </c>
      <c r="H59" s="16" t="str">
        <f>tblRFM[[#This Row],[EngagementLevel]]</f>
        <v>Low</v>
      </c>
      <c r="I59" s="16" t="str">
        <f ca="1">tblRFM[[#This Row],[CustomerSegment]]</f>
        <v>General</v>
      </c>
      <c r="J59" s="16" t="str">
        <f>tblRFM[[#This Row],[ProductPreference]]</f>
        <v>Home Decor</v>
      </c>
      <c r="K59" s="18" t="str">
        <f>IFERROR(INDEX(tblClean[PurchaseChannel],MATCH(A59,tblClean[CustomerID],0)),"")</f>
        <v>Online</v>
      </c>
      <c r="L59" s="22">
        <f ca="1">tblRFM[[#This Row],[RFM_Recency]]</f>
        <v>41</v>
      </c>
      <c r="M59" s="22">
        <f>tblRFM[[#This Row],[RFM_Frequency]]</f>
        <v>1</v>
      </c>
      <c r="N59" s="22">
        <f>tblRFM[[#This Row],[RFM_Monetary]]</f>
        <v>1160</v>
      </c>
      <c r="O59" s="16" t="str">
        <f ca="1">tblRFM[[#This Row],[RFM_Score]]</f>
        <v>411</v>
      </c>
      <c r="P59" s="16">
        <f>IFERROR(tblRFM[[#This Row],[SatisfactionIndex]],"")</f>
        <v>2.75</v>
      </c>
      <c r="Q59" s="16">
        <f>IFERROR(tblRFM[[#This Row],[Satisfaction]],"")</f>
        <v>2</v>
      </c>
      <c r="R59" s="16">
        <f>IFERROR(tblRFM[[#This Row],[RecommendationLikelihood]],"")</f>
        <v>7</v>
      </c>
      <c r="S59" s="16">
        <f>COUNTIFS(tblTransactions[CustomerID],A59)</f>
        <v>1</v>
      </c>
      <c r="T59" s="18" t="str">
        <f>IFERROR(INDEX(tblClean[DiscountSensitivity],MATCH(A59,tblClean[CustomerID],0)),"")</f>
        <v>Medium</v>
      </c>
    </row>
    <row r="60" spans="1:20" ht="15" customHeight="1" x14ac:dyDescent="0.3">
      <c r="A60" s="19" t="str">
        <f>tblRFM[[#This Row],[CustomerID]]</f>
        <v>C0058</v>
      </c>
      <c r="B60" s="19" t="str">
        <f>tblRFM[[#This Row],[Name]]</f>
        <v>Kavita Joshi</v>
      </c>
      <c r="C60" s="18" t="str">
        <f>IFERROR(INDEX(tblClean[Gender],MATCH(A60,tblClean[CustomerID],0)),"")</f>
        <v>Female</v>
      </c>
      <c r="D60" s="19" t="str">
        <f>tblRFM[[#This Row],[AgeGroup]]</f>
        <v>25-39</v>
      </c>
      <c r="E60" s="19" t="str">
        <f>tblRFM[[#This Row],[City/Region]]</f>
        <v>Gurgaon</v>
      </c>
      <c r="F60" s="19" t="str">
        <f>tblRFM[[#This Row],[IncomeBracket]]</f>
        <v>Low</v>
      </c>
      <c r="G60" s="19" t="str">
        <f>tblRFM[[#This Row],[CustomerType]]</f>
        <v>Returning</v>
      </c>
      <c r="H60" s="19" t="str">
        <f>tblRFM[[#This Row],[EngagementLevel]]</f>
        <v>High</v>
      </c>
      <c r="I60" s="19" t="str">
        <f ca="1">tblRFM[[#This Row],[CustomerSegment]]</f>
        <v>High Value</v>
      </c>
      <c r="J60" s="19" t="str">
        <f>tblRFM[[#This Row],[ProductPreference]]</f>
        <v>Sports</v>
      </c>
      <c r="K60" s="18" t="str">
        <f>IFERROR(INDEX(tblClean[PurchaseChannel],MATCH(A60,tblClean[CustomerID],0)),"")</f>
        <v>Offline</v>
      </c>
      <c r="L60" s="23">
        <f ca="1">tblRFM[[#This Row],[RFM_Recency]]</f>
        <v>45</v>
      </c>
      <c r="M60" s="23">
        <f>tblRFM[[#This Row],[RFM_Frequency]]</f>
        <v>13</v>
      </c>
      <c r="N60" s="23">
        <f>tblRFM[[#This Row],[RFM_Monetary]]</f>
        <v>60800</v>
      </c>
      <c r="O60" s="19" t="str">
        <f ca="1">tblRFM[[#This Row],[RFM_Score]]</f>
        <v>455</v>
      </c>
      <c r="P60" s="19">
        <f>IFERROR(tblRFM[[#This Row],[SatisfactionIndex]],"")</f>
        <v>3</v>
      </c>
      <c r="Q60" s="19">
        <f>IFERROR(tblRFM[[#This Row],[Satisfaction]],"")</f>
        <v>3</v>
      </c>
      <c r="R60" s="19">
        <f>IFERROR(tblRFM[[#This Row],[RecommendationLikelihood]],"")</f>
        <v>6</v>
      </c>
      <c r="S60" s="19">
        <f>COUNTIFS(tblTransactions[CustomerID],A60)</f>
        <v>13</v>
      </c>
      <c r="T60" s="18" t="str">
        <f>IFERROR(INDEX(tblClean[DiscountSensitivity],MATCH(A60,tblClean[CustomerID],0)),"")</f>
        <v>Medium</v>
      </c>
    </row>
    <row r="61" spans="1:20" ht="15" customHeight="1" x14ac:dyDescent="0.3">
      <c r="A61" s="16" t="str">
        <f>tblRFM[[#This Row],[CustomerID]]</f>
        <v>C0059</v>
      </c>
      <c r="B61" s="16" t="str">
        <f>tblRFM[[#This Row],[Name]]</f>
        <v>Shikha Kapoor</v>
      </c>
      <c r="C61" s="18" t="str">
        <f>IFERROR(INDEX(tblClean[Gender],MATCH(A61,tblClean[CustomerID],0)),"")</f>
        <v>Female</v>
      </c>
      <c r="D61" s="16" t="str">
        <f>tblRFM[[#This Row],[AgeGroup]]</f>
        <v>55+</v>
      </c>
      <c r="E61" s="16" t="str">
        <f>tblRFM[[#This Row],[City/Region]]</f>
        <v>Nagpur</v>
      </c>
      <c r="F61" s="16" t="str">
        <f>tblRFM[[#This Row],[IncomeBracket]]</f>
        <v>Mid</v>
      </c>
      <c r="G61" s="16" t="str">
        <f>tblRFM[[#This Row],[CustomerType]]</f>
        <v>New</v>
      </c>
      <c r="H61" s="16" t="str">
        <f>tblRFM[[#This Row],[EngagementLevel]]</f>
        <v>Medium</v>
      </c>
      <c r="I61" s="16" t="str">
        <f ca="1">tblRFM[[#This Row],[CustomerSegment]]</f>
        <v>General</v>
      </c>
      <c r="J61" s="16" t="str">
        <f>tblRFM[[#This Row],[ProductPreference]]</f>
        <v>Electronics</v>
      </c>
      <c r="K61" s="18" t="str">
        <f>IFERROR(INDEX(tblClean[PurchaseChannel],MATCH(A61,tblClean[CustomerID],0)),"")</f>
        <v>Online</v>
      </c>
      <c r="L61" s="22">
        <f ca="1">tblRFM[[#This Row],[RFM_Recency]]</f>
        <v>59</v>
      </c>
      <c r="M61" s="22">
        <f>tblRFM[[#This Row],[RFM_Frequency]]</f>
        <v>1</v>
      </c>
      <c r="N61" s="22">
        <f>tblRFM[[#This Row],[RFM_Monetary]]</f>
        <v>7920</v>
      </c>
      <c r="O61" s="16" t="str">
        <f ca="1">tblRFM[[#This Row],[RFM_Score]]</f>
        <v>412</v>
      </c>
      <c r="P61" s="16">
        <f>IFERROR(tblRFM[[#This Row],[SatisfactionIndex]],"")</f>
        <v>4.25</v>
      </c>
      <c r="Q61" s="16">
        <f>IFERROR(tblRFM[[#This Row],[Satisfaction]],"")</f>
        <v>5</v>
      </c>
      <c r="R61" s="16">
        <f>IFERROR(tblRFM[[#This Row],[RecommendationLikelihood]],"")</f>
        <v>7</v>
      </c>
      <c r="S61" s="16">
        <f>COUNTIFS(tblTransactions[CustomerID],A61)</f>
        <v>1</v>
      </c>
      <c r="T61" s="18" t="str">
        <f>IFERROR(INDEX(tblClean[DiscountSensitivity],MATCH(A61,tblClean[CustomerID],0)),"")</f>
        <v>Low</v>
      </c>
    </row>
    <row r="62" spans="1:20" ht="15" customHeight="1" x14ac:dyDescent="0.3">
      <c r="A62" s="19" t="str">
        <f>tblRFM[[#This Row],[CustomerID]]</f>
        <v>C0060</v>
      </c>
      <c r="B62" s="19" t="str">
        <f>tblRFM[[#This Row],[Name]]</f>
        <v>Meera Nair</v>
      </c>
      <c r="C62" s="18" t="str">
        <f>IFERROR(INDEX(tblClean[Gender],MATCH(A62,tblClean[CustomerID],0)),"")</f>
        <v>Female</v>
      </c>
      <c r="D62" s="19" t="str">
        <f>tblRFM[[#This Row],[AgeGroup]]</f>
        <v>25-39</v>
      </c>
      <c r="E62" s="19" t="str">
        <f>tblRFM[[#This Row],[City/Region]]</f>
        <v>Lucknow</v>
      </c>
      <c r="F62" s="19" t="str">
        <f>tblRFM[[#This Row],[IncomeBracket]]</f>
        <v>Mid</v>
      </c>
      <c r="G62" s="19" t="str">
        <f>tblRFM[[#This Row],[CustomerType]]</f>
        <v>Returning</v>
      </c>
      <c r="H62" s="19" t="str">
        <f>tblRFM[[#This Row],[EngagementLevel]]</f>
        <v>High</v>
      </c>
      <c r="I62" s="19" t="str">
        <f ca="1">tblRFM[[#This Row],[CustomerSegment]]</f>
        <v>Loyal</v>
      </c>
      <c r="J62" s="19" t="str">
        <f>tblRFM[[#This Row],[ProductPreference]]</f>
        <v>Home Decor</v>
      </c>
      <c r="K62" s="18" t="str">
        <f>IFERROR(INDEX(tblClean[PurchaseChannel],MATCH(A62,tblClean[CustomerID],0)),"")</f>
        <v>Online</v>
      </c>
      <c r="L62" s="23">
        <f ca="1">tblRFM[[#This Row],[RFM_Recency]]</f>
        <v>29</v>
      </c>
      <c r="M62" s="23">
        <f>tblRFM[[#This Row],[RFM_Frequency]]</f>
        <v>12</v>
      </c>
      <c r="N62" s="23">
        <f>tblRFM[[#This Row],[RFM_Monetary]]</f>
        <v>85860</v>
      </c>
      <c r="O62" s="19" t="str">
        <f ca="1">tblRFM[[#This Row],[RFM_Score]]</f>
        <v>555</v>
      </c>
      <c r="P62" s="19">
        <f>IFERROR(tblRFM[[#This Row],[SatisfactionIndex]],"")</f>
        <v>4</v>
      </c>
      <c r="Q62" s="19">
        <f>IFERROR(tblRFM[[#This Row],[Satisfaction]],"")</f>
        <v>3</v>
      </c>
      <c r="R62" s="19">
        <f>IFERROR(tblRFM[[#This Row],[RecommendationLikelihood]],"")</f>
        <v>10</v>
      </c>
      <c r="S62" s="19">
        <f>COUNTIFS(tblTransactions[CustomerID],A62)</f>
        <v>12</v>
      </c>
      <c r="T62" s="18" t="str">
        <f>IFERROR(INDEX(tblClean[DiscountSensitivity],MATCH(A62,tblClean[CustomerID],0)),"")</f>
        <v>Low</v>
      </c>
    </row>
    <row r="63" spans="1:20" ht="15" customHeight="1" x14ac:dyDescent="0.3">
      <c r="A63" s="16" t="str">
        <f>tblRFM[[#This Row],[CustomerID]]</f>
        <v>C0061</v>
      </c>
      <c r="B63" s="16" t="str">
        <f>tblRFM[[#This Row],[Name]]</f>
        <v>Anjali Tiwari</v>
      </c>
      <c r="C63" s="18" t="str">
        <f>IFERROR(INDEX(tblClean[Gender],MATCH(A63,tblClean[CustomerID],0)),"")</f>
        <v>Female</v>
      </c>
      <c r="D63" s="16" t="str">
        <f>tblRFM[[#This Row],[AgeGroup]]</f>
        <v>25-39</v>
      </c>
      <c r="E63" s="16" t="str">
        <f>tblRFM[[#This Row],[City/Region]]</f>
        <v>Kochi</v>
      </c>
      <c r="F63" s="16" t="str">
        <f>tblRFM[[#This Row],[IncomeBracket]]</f>
        <v>High</v>
      </c>
      <c r="G63" s="16" t="str">
        <f>tblRFM[[#This Row],[CustomerType]]</f>
        <v>Returning</v>
      </c>
      <c r="H63" s="16" t="str">
        <f>tblRFM[[#This Row],[EngagementLevel]]</f>
        <v>High</v>
      </c>
      <c r="I63" s="16" t="str">
        <f ca="1">tblRFM[[#This Row],[CustomerSegment]]</f>
        <v>Loyal</v>
      </c>
      <c r="J63" s="16" t="str">
        <f>tblRFM[[#This Row],[ProductPreference]]</f>
        <v>Beauty</v>
      </c>
      <c r="K63" s="18" t="str">
        <f>IFERROR(INDEX(tblClean[PurchaseChannel],MATCH(A63,tblClean[CustomerID],0)),"")</f>
        <v>Online</v>
      </c>
      <c r="L63" s="22">
        <f ca="1">tblRFM[[#This Row],[RFM_Recency]]</f>
        <v>352</v>
      </c>
      <c r="M63" s="22">
        <f>tblRFM[[#This Row],[RFM_Frequency]]</f>
        <v>10</v>
      </c>
      <c r="N63" s="22">
        <f>tblRFM[[#This Row],[RFM_Monetary]]</f>
        <v>64690</v>
      </c>
      <c r="O63" s="16" t="str">
        <f ca="1">tblRFM[[#This Row],[RFM_Score]]</f>
        <v>155</v>
      </c>
      <c r="P63" s="16">
        <f>IFERROR(tblRFM[[#This Row],[SatisfactionIndex]],"")</f>
        <v>4.5</v>
      </c>
      <c r="Q63" s="16">
        <f>IFERROR(tblRFM[[#This Row],[Satisfaction]],"")</f>
        <v>5</v>
      </c>
      <c r="R63" s="16">
        <f>IFERROR(tblRFM[[#This Row],[RecommendationLikelihood]],"")</f>
        <v>8</v>
      </c>
      <c r="S63" s="16">
        <f>COUNTIFS(tblTransactions[CustomerID],A63)</f>
        <v>10</v>
      </c>
      <c r="T63" s="18" t="str">
        <f>IFERROR(INDEX(tblClean[DiscountSensitivity],MATCH(A63,tblClean[CustomerID],0)),"")</f>
        <v>Medium</v>
      </c>
    </row>
    <row r="64" spans="1:20" ht="15" customHeight="1" x14ac:dyDescent="0.3">
      <c r="A64" s="19" t="str">
        <f>tblRFM[[#This Row],[CustomerID]]</f>
        <v>C0062</v>
      </c>
      <c r="B64" s="19" t="str">
        <f>tblRFM[[#This Row],[Name]]</f>
        <v>Swati Saxena</v>
      </c>
      <c r="C64" s="18" t="str">
        <f>IFERROR(INDEX(tblClean[Gender],MATCH(A64,tblClean[CustomerID],0)),"")</f>
        <v>Female</v>
      </c>
      <c r="D64" s="19" t="str">
        <f>tblRFM[[#This Row],[AgeGroup]]</f>
        <v>40-54</v>
      </c>
      <c r="E64" s="19" t="str">
        <f>tblRFM[[#This Row],[City/Region]]</f>
        <v>Lucknow</v>
      </c>
      <c r="F64" s="19" t="str">
        <f>tblRFM[[#This Row],[IncomeBracket]]</f>
        <v>High</v>
      </c>
      <c r="G64" s="19" t="str">
        <f>tblRFM[[#This Row],[CustomerType]]</f>
        <v>New</v>
      </c>
      <c r="H64" s="19" t="str">
        <f>tblRFM[[#This Row],[EngagementLevel]]</f>
        <v>High</v>
      </c>
      <c r="I64" s="19" t="str">
        <f ca="1">tblRFM[[#This Row],[CustomerSegment]]</f>
        <v>At Risk</v>
      </c>
      <c r="J64" s="19" t="str">
        <f>tblRFM[[#This Row],[ProductPreference]]</f>
        <v>Electronics</v>
      </c>
      <c r="K64" s="18" t="str">
        <f>IFERROR(INDEX(tblClean[PurchaseChannel],MATCH(A64,tblClean[CustomerID],0)),"")</f>
        <v>Online</v>
      </c>
      <c r="L64" s="23">
        <f ca="1">tblRFM[[#This Row],[RFM_Recency]]</f>
        <v>373</v>
      </c>
      <c r="M64" s="23">
        <f>tblRFM[[#This Row],[RFM_Frequency]]</f>
        <v>1</v>
      </c>
      <c r="N64" s="23">
        <f>tblRFM[[#This Row],[RFM_Monetary]]</f>
        <v>12970</v>
      </c>
      <c r="O64" s="19" t="str">
        <f ca="1">tblRFM[[#This Row],[RFM_Score]]</f>
        <v>112</v>
      </c>
      <c r="P64" s="19">
        <f>IFERROR(tblRFM[[#This Row],[SatisfactionIndex]],"")</f>
        <v>3.25</v>
      </c>
      <c r="Q64" s="19">
        <f>IFERROR(tblRFM[[#This Row],[Satisfaction]],"")</f>
        <v>4</v>
      </c>
      <c r="R64" s="19">
        <f>IFERROR(tblRFM[[#This Row],[RecommendationLikelihood]],"")</f>
        <v>5</v>
      </c>
      <c r="S64" s="19">
        <f>COUNTIFS(tblTransactions[CustomerID],A64)</f>
        <v>1</v>
      </c>
      <c r="T64" s="18" t="str">
        <f>IFERROR(INDEX(tblClean[DiscountSensitivity],MATCH(A64,tblClean[CustomerID],0)),"")</f>
        <v>Medium</v>
      </c>
    </row>
    <row r="65" spans="1:20" ht="15" customHeight="1" x14ac:dyDescent="0.3">
      <c r="A65" s="16" t="str">
        <f>tblRFM[[#This Row],[CustomerID]]</f>
        <v>C0063</v>
      </c>
      <c r="B65" s="16" t="str">
        <f>tblRFM[[#This Row],[Name]]</f>
        <v>Ritu Yadav</v>
      </c>
      <c r="C65" s="18" t="str">
        <f>IFERROR(INDEX(tblClean[Gender],MATCH(A65,tblClean[CustomerID],0)),"")</f>
        <v>Female</v>
      </c>
      <c r="D65" s="16" t="str">
        <f>tblRFM[[#This Row],[AgeGroup]]</f>
        <v>25-39</v>
      </c>
      <c r="E65" s="16" t="str">
        <f>tblRFM[[#This Row],[City/Region]]</f>
        <v>Ahmedabad</v>
      </c>
      <c r="F65" s="16" t="str">
        <f>tblRFM[[#This Row],[IncomeBracket]]</f>
        <v>High</v>
      </c>
      <c r="G65" s="16" t="str">
        <f>tblRFM[[#This Row],[CustomerType]]</f>
        <v>New</v>
      </c>
      <c r="H65" s="16" t="str">
        <f>tblRFM[[#This Row],[EngagementLevel]]</f>
        <v>Medium</v>
      </c>
      <c r="I65" s="16" t="str">
        <f ca="1">tblRFM[[#This Row],[CustomerSegment]]</f>
        <v>General</v>
      </c>
      <c r="J65" s="16" t="str">
        <f>tblRFM[[#This Row],[ProductPreference]]</f>
        <v>Beauty</v>
      </c>
      <c r="K65" s="18" t="str">
        <f>IFERROR(INDEX(tblClean[PurchaseChannel],MATCH(A65,tblClean[CustomerID],0)),"")</f>
        <v>Online</v>
      </c>
      <c r="L65" s="22">
        <f ca="1">tblRFM[[#This Row],[RFM_Recency]]</f>
        <v>56</v>
      </c>
      <c r="M65" s="22">
        <f>tblRFM[[#This Row],[RFM_Frequency]]</f>
        <v>1</v>
      </c>
      <c r="N65" s="22">
        <f>tblRFM[[#This Row],[RFM_Monetary]]</f>
        <v>4810</v>
      </c>
      <c r="O65" s="16" t="str">
        <f ca="1">tblRFM[[#This Row],[RFM_Score]]</f>
        <v>411</v>
      </c>
      <c r="P65" s="16">
        <f>IFERROR(tblRFM[[#This Row],[SatisfactionIndex]],"")</f>
        <v>3.75</v>
      </c>
      <c r="Q65" s="16">
        <f>IFERROR(tblRFM[[#This Row],[Satisfaction]],"")</f>
        <v>3</v>
      </c>
      <c r="R65" s="16">
        <f>IFERROR(tblRFM[[#This Row],[RecommendationLikelihood]],"")</f>
        <v>9</v>
      </c>
      <c r="S65" s="16">
        <f>COUNTIFS(tblTransactions[CustomerID],A65)</f>
        <v>1</v>
      </c>
      <c r="T65" s="18" t="str">
        <f>IFERROR(INDEX(tblClean[DiscountSensitivity],MATCH(A65,tblClean[CustomerID],0)),"")</f>
        <v>High</v>
      </c>
    </row>
    <row r="66" spans="1:20" ht="15" customHeight="1" x14ac:dyDescent="0.3">
      <c r="A66" s="19" t="str">
        <f>tblRFM[[#This Row],[CustomerID]]</f>
        <v>C0064</v>
      </c>
      <c r="B66" s="19" t="str">
        <f>tblRFM[[#This Row],[Name]]</f>
        <v>Sneha Mishra</v>
      </c>
      <c r="C66" s="18" t="str">
        <f>IFERROR(INDEX(tblClean[Gender],MATCH(A66,tblClean[CustomerID],0)),"")</f>
        <v>Female</v>
      </c>
      <c r="D66" s="19" t="str">
        <f>tblRFM[[#This Row],[AgeGroup]]</f>
        <v>25-39</v>
      </c>
      <c r="E66" s="19" t="str">
        <f>tblRFM[[#This Row],[City/Region]]</f>
        <v>Ahmedabad</v>
      </c>
      <c r="F66" s="19" t="str">
        <f>tblRFM[[#This Row],[IncomeBracket]]</f>
        <v>Mid</v>
      </c>
      <c r="G66" s="19" t="str">
        <f>tblRFM[[#This Row],[CustomerType]]</f>
        <v>New</v>
      </c>
      <c r="H66" s="19" t="str">
        <f>tblRFM[[#This Row],[EngagementLevel]]</f>
        <v>Medium</v>
      </c>
      <c r="I66" s="19" t="str">
        <f ca="1">tblRFM[[#This Row],[CustomerSegment]]</f>
        <v>General</v>
      </c>
      <c r="J66" s="19" t="str">
        <f>tblRFM[[#This Row],[ProductPreference]]</f>
        <v>Home Decor</v>
      </c>
      <c r="K66" s="18" t="str">
        <f>IFERROR(INDEX(tblClean[PurchaseChannel],MATCH(A66,tblClean[CustomerID],0)),"")</f>
        <v>Online</v>
      </c>
      <c r="L66" s="23">
        <f ca="1">tblRFM[[#This Row],[RFM_Recency]]</f>
        <v>56</v>
      </c>
      <c r="M66" s="23">
        <f>tblRFM[[#This Row],[RFM_Frequency]]</f>
        <v>1</v>
      </c>
      <c r="N66" s="23">
        <f>tblRFM[[#This Row],[RFM_Monetary]]</f>
        <v>2100</v>
      </c>
      <c r="O66" s="19" t="str">
        <f ca="1">tblRFM[[#This Row],[RFM_Score]]</f>
        <v>411</v>
      </c>
      <c r="P66" s="19">
        <f>IFERROR(tblRFM[[#This Row],[SatisfactionIndex]],"")</f>
        <v>3.25</v>
      </c>
      <c r="Q66" s="19">
        <f>IFERROR(tblRFM[[#This Row],[Satisfaction]],"")</f>
        <v>3</v>
      </c>
      <c r="R66" s="19">
        <f>IFERROR(tblRFM[[#This Row],[RecommendationLikelihood]],"")</f>
        <v>7</v>
      </c>
      <c r="S66" s="19">
        <f>COUNTIFS(tblTransactions[CustomerID],A66)</f>
        <v>1</v>
      </c>
      <c r="T66" s="18" t="str">
        <f>IFERROR(INDEX(tblClean[DiscountSensitivity],MATCH(A66,tblClean[CustomerID],0)),"")</f>
        <v>Low</v>
      </c>
    </row>
    <row r="67" spans="1:20" ht="15" customHeight="1" x14ac:dyDescent="0.3">
      <c r="A67" s="16" t="str">
        <f>tblRFM[[#This Row],[CustomerID]]</f>
        <v>C0065</v>
      </c>
      <c r="B67" s="16" t="str">
        <f>tblRFM[[#This Row],[Name]]</f>
        <v>Preeti Chopra</v>
      </c>
      <c r="C67" s="18" t="str">
        <f>IFERROR(INDEX(tblClean[Gender],MATCH(A67,tblClean[CustomerID],0)),"")</f>
        <v>Female</v>
      </c>
      <c r="D67" s="16" t="str">
        <f>tblRFM[[#This Row],[AgeGroup]]</f>
        <v>25-39</v>
      </c>
      <c r="E67" s="16" t="str">
        <f>tblRFM[[#This Row],[City/Region]]</f>
        <v>Bangalore</v>
      </c>
      <c r="F67" s="16" t="str">
        <f>tblRFM[[#This Row],[IncomeBracket]]</f>
        <v>Mid</v>
      </c>
      <c r="G67" s="16" t="str">
        <f>tblRFM[[#This Row],[CustomerType]]</f>
        <v>Returning</v>
      </c>
      <c r="H67" s="16" t="str">
        <f>tblRFM[[#This Row],[EngagementLevel]]</f>
        <v>Low</v>
      </c>
      <c r="I67" s="16" t="str">
        <f ca="1">tblRFM[[#This Row],[CustomerSegment]]</f>
        <v>Loyal</v>
      </c>
      <c r="J67" s="16" t="str">
        <f>tblRFM[[#This Row],[ProductPreference]]</f>
        <v>Grocery</v>
      </c>
      <c r="K67" s="18" t="str">
        <f>IFERROR(INDEX(tblClean[PurchaseChannel],MATCH(A67,tblClean[CustomerID],0)),"")</f>
        <v>Online</v>
      </c>
      <c r="L67" s="22">
        <f ca="1">tblRFM[[#This Row],[RFM_Recency]]</f>
        <v>67</v>
      </c>
      <c r="M67" s="22">
        <f>tblRFM[[#This Row],[RFM_Frequency]]</f>
        <v>15</v>
      </c>
      <c r="N67" s="22">
        <f>tblRFM[[#This Row],[RFM_Monetary]]</f>
        <v>117430</v>
      </c>
      <c r="O67" s="16" t="str">
        <f ca="1">tblRFM[[#This Row],[RFM_Score]]</f>
        <v>355</v>
      </c>
      <c r="P67" s="16">
        <f>IFERROR(tblRFM[[#This Row],[SatisfactionIndex]],"")</f>
        <v>4.5</v>
      </c>
      <c r="Q67" s="16">
        <f>IFERROR(tblRFM[[#This Row],[Satisfaction]],"")</f>
        <v>5</v>
      </c>
      <c r="R67" s="16">
        <f>IFERROR(tblRFM[[#This Row],[RecommendationLikelihood]],"")</f>
        <v>8</v>
      </c>
      <c r="S67" s="16">
        <f>COUNTIFS(tblTransactions[CustomerID],A67)</f>
        <v>15</v>
      </c>
      <c r="T67" s="18" t="str">
        <f>IFERROR(INDEX(tblClean[DiscountSensitivity],MATCH(A67,tblClean[CustomerID],0)),"")</f>
        <v>Medium</v>
      </c>
    </row>
    <row r="68" spans="1:20" ht="15" customHeight="1" x14ac:dyDescent="0.3">
      <c r="A68" s="19" t="str">
        <f>tblRFM[[#This Row],[CustomerID]]</f>
        <v>C0066</v>
      </c>
      <c r="B68" s="19" t="str">
        <f>tblRFM[[#This Row],[Name]]</f>
        <v>Nandini Reddy</v>
      </c>
      <c r="C68" s="18" t="str">
        <f>IFERROR(INDEX(tblClean[Gender],MATCH(A68,tblClean[CustomerID],0)),"")</f>
        <v>Female</v>
      </c>
      <c r="D68" s="19" t="str">
        <f>tblRFM[[#This Row],[AgeGroup]]</f>
        <v>55+</v>
      </c>
      <c r="E68" s="19" t="str">
        <f>tblRFM[[#This Row],[City/Region]]</f>
        <v>Delhi</v>
      </c>
      <c r="F68" s="19" t="str">
        <f>tblRFM[[#This Row],[IncomeBracket]]</f>
        <v>High</v>
      </c>
      <c r="G68" s="19" t="str">
        <f>tblRFM[[#This Row],[CustomerType]]</f>
        <v>New</v>
      </c>
      <c r="H68" s="19" t="str">
        <f>tblRFM[[#This Row],[EngagementLevel]]</f>
        <v>Medium</v>
      </c>
      <c r="I68" s="19" t="str">
        <f ca="1">tblRFM[[#This Row],[CustomerSegment]]</f>
        <v>General</v>
      </c>
      <c r="J68" s="19" t="str">
        <f>tblRFM[[#This Row],[ProductPreference]]</f>
        <v>Beauty</v>
      </c>
      <c r="K68" s="18" t="str">
        <f>IFERROR(INDEX(tblClean[PurchaseChannel],MATCH(A68,tblClean[CustomerID],0)),"")</f>
        <v>Online</v>
      </c>
      <c r="L68" s="23">
        <f ca="1">tblRFM[[#This Row],[RFM_Recency]]</f>
        <v>26</v>
      </c>
      <c r="M68" s="23">
        <f>tblRFM[[#This Row],[RFM_Frequency]]</f>
        <v>1</v>
      </c>
      <c r="N68" s="23">
        <f>tblRFM[[#This Row],[RFM_Monetary]]</f>
        <v>2200</v>
      </c>
      <c r="O68" s="19" t="str">
        <f ca="1">tblRFM[[#This Row],[RFM_Score]]</f>
        <v>511</v>
      </c>
      <c r="P68" s="19">
        <f>IFERROR(tblRFM[[#This Row],[SatisfactionIndex]],"")</f>
        <v>3.25</v>
      </c>
      <c r="Q68" s="19">
        <f>IFERROR(tblRFM[[#This Row],[Satisfaction]],"")</f>
        <v>3</v>
      </c>
      <c r="R68" s="19">
        <f>IFERROR(tblRFM[[#This Row],[RecommendationLikelihood]],"")</f>
        <v>7</v>
      </c>
      <c r="S68" s="19">
        <f>COUNTIFS(tblTransactions[CustomerID],A68)</f>
        <v>1</v>
      </c>
      <c r="T68" s="18" t="str">
        <f>IFERROR(INDEX(tblClean[DiscountSensitivity],MATCH(A68,tblClean[CustomerID],0)),"")</f>
        <v>High</v>
      </c>
    </row>
    <row r="69" spans="1:20" ht="15" customHeight="1" x14ac:dyDescent="0.3">
      <c r="A69" s="16" t="str">
        <f>tblRFM[[#This Row],[CustomerID]]</f>
        <v>C0067</v>
      </c>
      <c r="B69" s="16" t="str">
        <f>tblRFM[[#This Row],[Name]]</f>
        <v>Uma Iyer</v>
      </c>
      <c r="C69" s="18" t="str">
        <f>IFERROR(INDEX(tblClean[Gender],MATCH(A69,tblClean[CustomerID],0)),"")</f>
        <v>Female</v>
      </c>
      <c r="D69" s="16" t="str">
        <f>tblRFM[[#This Row],[AgeGroup]]</f>
        <v>40-54</v>
      </c>
      <c r="E69" s="16" t="str">
        <f>tblRFM[[#This Row],[City/Region]]</f>
        <v>Indore</v>
      </c>
      <c r="F69" s="16" t="str">
        <f>tblRFM[[#This Row],[IncomeBracket]]</f>
        <v>High</v>
      </c>
      <c r="G69" s="16" t="str">
        <f>tblRFM[[#This Row],[CustomerType]]</f>
        <v>Returning</v>
      </c>
      <c r="H69" s="16" t="str">
        <f>tblRFM[[#This Row],[EngagementLevel]]</f>
        <v>Medium</v>
      </c>
      <c r="I69" s="16" t="str">
        <f ca="1">tblRFM[[#This Row],[CustomerSegment]]</f>
        <v>General</v>
      </c>
      <c r="J69" s="16" t="str">
        <f>tblRFM[[#This Row],[ProductPreference]]</f>
        <v>Beauty</v>
      </c>
      <c r="K69" s="18" t="str">
        <f>IFERROR(INDEX(tblClean[PurchaseChannel],MATCH(A69,tblClean[CustomerID],0)),"")</f>
        <v>Offline</v>
      </c>
      <c r="L69" s="22">
        <f ca="1">tblRFM[[#This Row],[RFM_Recency]]</f>
        <v>28</v>
      </c>
      <c r="M69" s="22">
        <f>tblRFM[[#This Row],[RFM_Frequency]]</f>
        <v>4</v>
      </c>
      <c r="N69" s="22">
        <f>tblRFM[[#This Row],[RFM_Monetary]]</f>
        <v>15160</v>
      </c>
      <c r="O69" s="16" t="str">
        <f ca="1">tblRFM[[#This Row],[RFM_Score]]</f>
        <v>533</v>
      </c>
      <c r="P69" s="16">
        <f>IFERROR(tblRFM[[#This Row],[SatisfactionIndex]],"")</f>
        <v>4.25</v>
      </c>
      <c r="Q69" s="16">
        <f>IFERROR(tblRFM[[#This Row],[Satisfaction]],"")</f>
        <v>5</v>
      </c>
      <c r="R69" s="16">
        <f>IFERROR(tblRFM[[#This Row],[RecommendationLikelihood]],"")</f>
        <v>7</v>
      </c>
      <c r="S69" s="16">
        <f>COUNTIFS(tblTransactions[CustomerID],A69)</f>
        <v>4</v>
      </c>
      <c r="T69" s="18" t="str">
        <f>IFERROR(INDEX(tblClean[DiscountSensitivity],MATCH(A69,tblClean[CustomerID],0)),"")</f>
        <v>Medium</v>
      </c>
    </row>
    <row r="70" spans="1:20" ht="15" customHeight="1" x14ac:dyDescent="0.3">
      <c r="A70" s="19" t="str">
        <f>tblRFM[[#This Row],[CustomerID]]</f>
        <v>C0068</v>
      </c>
      <c r="B70" s="19" t="str">
        <f>tblRFM[[#This Row],[Name]]</f>
        <v>Deepika Dubey</v>
      </c>
      <c r="C70" s="18" t="str">
        <f>IFERROR(INDEX(tblClean[Gender],MATCH(A70,tblClean[CustomerID],0)),"")</f>
        <v>Female</v>
      </c>
      <c r="D70" s="19" t="str">
        <f>tblRFM[[#This Row],[AgeGroup]]</f>
        <v>40-54</v>
      </c>
      <c r="E70" s="19" t="str">
        <f>tblRFM[[#This Row],[City/Region]]</f>
        <v>Delhi</v>
      </c>
      <c r="F70" s="19" t="str">
        <f>tblRFM[[#This Row],[IncomeBracket]]</f>
        <v>Mid</v>
      </c>
      <c r="G70" s="19" t="str">
        <f>tblRFM[[#This Row],[CustomerType]]</f>
        <v>Returning</v>
      </c>
      <c r="H70" s="19" t="str">
        <f>tblRFM[[#This Row],[EngagementLevel]]</f>
        <v>High</v>
      </c>
      <c r="I70" s="19" t="str">
        <f ca="1">tblRFM[[#This Row],[CustomerSegment]]</f>
        <v>General</v>
      </c>
      <c r="J70" s="19" t="str">
        <f>tblRFM[[#This Row],[ProductPreference]]</f>
        <v>Clothing</v>
      </c>
      <c r="K70" s="18" t="str">
        <f>IFERROR(INDEX(tblClean[PurchaseChannel],MATCH(A70,tblClean[CustomerID],0)),"")</f>
        <v>Offline</v>
      </c>
      <c r="L70" s="23">
        <f ca="1">tblRFM[[#This Row],[RFM_Recency]]</f>
        <v>152</v>
      </c>
      <c r="M70" s="23">
        <f>tblRFM[[#This Row],[RFM_Frequency]]</f>
        <v>9</v>
      </c>
      <c r="N70" s="23">
        <f>tblRFM[[#This Row],[RFM_Monetary]]</f>
        <v>47680</v>
      </c>
      <c r="O70" s="19" t="str">
        <f ca="1">tblRFM[[#This Row],[RFM_Score]]</f>
        <v>254</v>
      </c>
      <c r="P70" s="19">
        <f>IFERROR(tblRFM[[#This Row],[SatisfactionIndex]],"")</f>
        <v>3.75</v>
      </c>
      <c r="Q70" s="19">
        <f>IFERROR(tblRFM[[#This Row],[Satisfaction]],"")</f>
        <v>4</v>
      </c>
      <c r="R70" s="19">
        <f>IFERROR(tblRFM[[#This Row],[RecommendationLikelihood]],"")</f>
        <v>7</v>
      </c>
      <c r="S70" s="19">
        <f>COUNTIFS(tblTransactions[CustomerID],A70)</f>
        <v>9</v>
      </c>
      <c r="T70" s="18" t="str">
        <f>IFERROR(INDEX(tblClean[DiscountSensitivity],MATCH(A70,tblClean[CustomerID],0)),"")</f>
        <v>High</v>
      </c>
    </row>
    <row r="71" spans="1:20" ht="15" customHeight="1" x14ac:dyDescent="0.3">
      <c r="A71" s="16" t="str">
        <f>tblRFM[[#This Row],[CustomerID]]</f>
        <v>C0069</v>
      </c>
      <c r="B71" s="16" t="str">
        <f>tblRFM[[#This Row],[Name]]</f>
        <v>Pallavi Pandey</v>
      </c>
      <c r="C71" s="18" t="str">
        <f>IFERROR(INDEX(tblClean[Gender],MATCH(A71,tblClean[CustomerID],0)),"")</f>
        <v>Female</v>
      </c>
      <c r="D71" s="16" t="str">
        <f>tblRFM[[#This Row],[AgeGroup]]</f>
        <v>40-54</v>
      </c>
      <c r="E71" s="16" t="str">
        <f>tblRFM[[#This Row],[City/Region]]</f>
        <v>Delhi</v>
      </c>
      <c r="F71" s="16" t="str">
        <f>tblRFM[[#This Row],[IncomeBracket]]</f>
        <v>High</v>
      </c>
      <c r="G71" s="16" t="str">
        <f>tblRFM[[#This Row],[CustomerType]]</f>
        <v>New</v>
      </c>
      <c r="H71" s="16" t="str">
        <f>tblRFM[[#This Row],[EngagementLevel]]</f>
        <v>Medium</v>
      </c>
      <c r="I71" s="16" t="str">
        <f ca="1">tblRFM[[#This Row],[CustomerSegment]]</f>
        <v>General</v>
      </c>
      <c r="J71" s="16" t="str">
        <f>tblRFM[[#This Row],[ProductPreference]]</f>
        <v>Home Decor</v>
      </c>
      <c r="K71" s="18" t="str">
        <f>IFERROR(INDEX(tblClean[PurchaseChannel],MATCH(A71,tblClean[CustomerID],0)),"")</f>
        <v>Offline</v>
      </c>
      <c r="L71" s="22">
        <f ca="1">tblRFM[[#This Row],[RFM_Recency]]</f>
        <v>69</v>
      </c>
      <c r="M71" s="22">
        <f>tblRFM[[#This Row],[RFM_Frequency]]</f>
        <v>1</v>
      </c>
      <c r="N71" s="22">
        <f>tblRFM[[#This Row],[RFM_Monetary]]</f>
        <v>3190</v>
      </c>
      <c r="O71" s="16" t="str">
        <f ca="1">tblRFM[[#This Row],[RFM_Score]]</f>
        <v>311</v>
      </c>
      <c r="P71" s="16">
        <f>IFERROR(tblRFM[[#This Row],[SatisfactionIndex]],"")</f>
        <v>4.75</v>
      </c>
      <c r="Q71" s="16">
        <f>IFERROR(tblRFM[[#This Row],[Satisfaction]],"")</f>
        <v>5</v>
      </c>
      <c r="R71" s="16">
        <f>IFERROR(tblRFM[[#This Row],[RecommendationLikelihood]],"")</f>
        <v>9</v>
      </c>
      <c r="S71" s="16">
        <f>COUNTIFS(tblTransactions[CustomerID],A71)</f>
        <v>1</v>
      </c>
      <c r="T71" s="18" t="str">
        <f>IFERROR(INDEX(tblClean[DiscountSensitivity],MATCH(A71,tblClean[CustomerID],0)),"")</f>
        <v>High</v>
      </c>
    </row>
    <row r="72" spans="1:20" ht="15" customHeight="1" x14ac:dyDescent="0.3">
      <c r="A72" s="19" t="str">
        <f>tblRFM[[#This Row],[CustomerID]]</f>
        <v>C0070</v>
      </c>
      <c r="B72" s="19" t="str">
        <f>tblRFM[[#This Row],[Name]]</f>
        <v>Sonia Bhatia</v>
      </c>
      <c r="C72" s="18" t="str">
        <f>IFERROR(INDEX(tblClean[Gender],MATCH(A72,tblClean[CustomerID],0)),"")</f>
        <v>Female</v>
      </c>
      <c r="D72" s="19" t="str">
        <f>tblRFM[[#This Row],[AgeGroup]]</f>
        <v>25-39</v>
      </c>
      <c r="E72" s="19" t="str">
        <f>tblRFM[[#This Row],[City/Region]]</f>
        <v>Mumbai</v>
      </c>
      <c r="F72" s="19" t="str">
        <f>tblRFM[[#This Row],[IncomeBracket]]</f>
        <v>Mid</v>
      </c>
      <c r="G72" s="19" t="str">
        <f>tblRFM[[#This Row],[CustomerType]]</f>
        <v>New</v>
      </c>
      <c r="H72" s="19" t="str">
        <f>tblRFM[[#This Row],[EngagementLevel]]</f>
        <v>High</v>
      </c>
      <c r="I72" s="19" t="str">
        <f ca="1">tblRFM[[#This Row],[CustomerSegment]]</f>
        <v>General</v>
      </c>
      <c r="J72" s="19" t="str">
        <f>tblRFM[[#This Row],[ProductPreference]]</f>
        <v>Grocery</v>
      </c>
      <c r="K72" s="18" t="str">
        <f>IFERROR(INDEX(tblClean[PurchaseChannel],MATCH(A72,tblClean[CustomerID],0)),"")</f>
        <v>Online</v>
      </c>
      <c r="L72" s="23">
        <f ca="1">tblRFM[[#This Row],[RFM_Recency]]</f>
        <v>67</v>
      </c>
      <c r="M72" s="23">
        <f>tblRFM[[#This Row],[RFM_Frequency]]</f>
        <v>1</v>
      </c>
      <c r="N72" s="23">
        <f>tblRFM[[#This Row],[RFM_Monetary]]</f>
        <v>2640</v>
      </c>
      <c r="O72" s="19" t="str">
        <f ca="1">tblRFM[[#This Row],[RFM_Score]]</f>
        <v>311</v>
      </c>
      <c r="P72" s="19">
        <f>IFERROR(tblRFM[[#This Row],[SatisfactionIndex]],"")</f>
        <v>4</v>
      </c>
      <c r="Q72" s="19">
        <f>IFERROR(tblRFM[[#This Row],[Satisfaction]],"")</f>
        <v>5</v>
      </c>
      <c r="R72" s="19">
        <f>IFERROR(tblRFM[[#This Row],[RecommendationLikelihood]],"")</f>
        <v>6</v>
      </c>
      <c r="S72" s="19">
        <f>COUNTIFS(tblTransactions[CustomerID],A72)</f>
        <v>1</v>
      </c>
      <c r="T72" s="18" t="str">
        <f>IFERROR(INDEX(tblClean[DiscountSensitivity],MATCH(A72,tblClean[CustomerID],0)),"")</f>
        <v>Medium</v>
      </c>
    </row>
    <row r="73" spans="1:20" ht="15" customHeight="1" x14ac:dyDescent="0.3">
      <c r="A73" s="16" t="str">
        <f>tblRFM[[#This Row],[CustomerID]]</f>
        <v>C0071</v>
      </c>
      <c r="B73" s="16" t="str">
        <f>tblRFM[[#This Row],[Name]]</f>
        <v>Geeta Rao</v>
      </c>
      <c r="C73" s="18" t="str">
        <f>IFERROR(INDEX(tblClean[Gender],MATCH(A73,tblClean[CustomerID],0)),"")</f>
        <v>Female</v>
      </c>
      <c r="D73" s="16" t="str">
        <f>tblRFM[[#This Row],[AgeGroup]]</f>
        <v>40-54</v>
      </c>
      <c r="E73" s="16" t="str">
        <f>tblRFM[[#This Row],[City/Region]]</f>
        <v>Ahmedabad</v>
      </c>
      <c r="F73" s="16" t="str">
        <f>tblRFM[[#This Row],[IncomeBracket]]</f>
        <v>High</v>
      </c>
      <c r="G73" s="16" t="str">
        <f>tblRFM[[#This Row],[CustomerType]]</f>
        <v>Returning</v>
      </c>
      <c r="H73" s="16" t="str">
        <f>tblRFM[[#This Row],[EngagementLevel]]</f>
        <v>High</v>
      </c>
      <c r="I73" s="16" t="str">
        <f ca="1">tblRFM[[#This Row],[CustomerSegment]]</f>
        <v>High Value</v>
      </c>
      <c r="J73" s="16" t="str">
        <f>tblRFM[[#This Row],[ProductPreference]]</f>
        <v>Beauty</v>
      </c>
      <c r="K73" s="18" t="str">
        <f>IFERROR(INDEX(tblClean[PurchaseChannel],MATCH(A73,tblClean[CustomerID],0)),"")</f>
        <v>Online</v>
      </c>
      <c r="L73" s="22">
        <f ca="1">tblRFM[[#This Row],[RFM_Recency]]</f>
        <v>40</v>
      </c>
      <c r="M73" s="22">
        <f>tblRFM[[#This Row],[RFM_Frequency]]</f>
        <v>10</v>
      </c>
      <c r="N73" s="22">
        <f>tblRFM[[#This Row],[RFM_Monetary]]</f>
        <v>73450</v>
      </c>
      <c r="O73" s="16" t="str">
        <f ca="1">tblRFM[[#This Row],[RFM_Score]]</f>
        <v>455</v>
      </c>
      <c r="P73" s="16">
        <f>IFERROR(tblRFM[[#This Row],[SatisfactionIndex]],"")</f>
        <v>3.25</v>
      </c>
      <c r="Q73" s="16">
        <f>IFERROR(tblRFM[[#This Row],[Satisfaction]],"")</f>
        <v>3</v>
      </c>
      <c r="R73" s="16">
        <f>IFERROR(tblRFM[[#This Row],[RecommendationLikelihood]],"")</f>
        <v>7</v>
      </c>
      <c r="S73" s="16">
        <f>COUNTIFS(tblTransactions[CustomerID],A73)</f>
        <v>10</v>
      </c>
      <c r="T73" s="18" t="str">
        <f>IFERROR(INDEX(tblClean[DiscountSensitivity],MATCH(A73,tblClean[CustomerID],0)),"")</f>
        <v>Medium</v>
      </c>
    </row>
    <row r="74" spans="1:20" ht="15" customHeight="1" x14ac:dyDescent="0.3">
      <c r="A74" s="19" t="str">
        <f>tblRFM[[#This Row],[CustomerID]]</f>
        <v>C0072</v>
      </c>
      <c r="B74" s="19" t="str">
        <f>tblRFM[[#This Row],[Name]]</f>
        <v>Shruti Malhotra</v>
      </c>
      <c r="C74" s="18" t="str">
        <f>IFERROR(INDEX(tblClean[Gender],MATCH(A74,tblClean[CustomerID],0)),"")</f>
        <v>Female</v>
      </c>
      <c r="D74" s="19" t="str">
        <f>tblRFM[[#This Row],[AgeGroup]]</f>
        <v>55+</v>
      </c>
      <c r="E74" s="19" t="str">
        <f>tblRFM[[#This Row],[City/Region]]</f>
        <v>Bangalore</v>
      </c>
      <c r="F74" s="19" t="str">
        <f>tblRFM[[#This Row],[IncomeBracket]]</f>
        <v>High</v>
      </c>
      <c r="G74" s="19" t="str">
        <f>tblRFM[[#This Row],[CustomerType]]</f>
        <v>Returning</v>
      </c>
      <c r="H74" s="19" t="str">
        <f>tblRFM[[#This Row],[EngagementLevel]]</f>
        <v>Low</v>
      </c>
      <c r="I74" s="19" t="str">
        <f ca="1">tblRFM[[#This Row],[CustomerSegment]]</f>
        <v>General</v>
      </c>
      <c r="J74" s="19" t="str">
        <f>tblRFM[[#This Row],[ProductPreference]]</f>
        <v>Electronics</v>
      </c>
      <c r="K74" s="18" t="str">
        <f>IFERROR(INDEX(tblClean[PurchaseChannel],MATCH(A74,tblClean[CustomerID],0)),"")</f>
        <v>Offline</v>
      </c>
      <c r="L74" s="23">
        <f ca="1">tblRFM[[#This Row],[RFM_Recency]]</f>
        <v>71</v>
      </c>
      <c r="M74" s="23">
        <f>tblRFM[[#This Row],[RFM_Frequency]]</f>
        <v>1</v>
      </c>
      <c r="N74" s="23">
        <f>tblRFM[[#This Row],[RFM_Monetary]]</f>
        <v>2720</v>
      </c>
      <c r="O74" s="19" t="str">
        <f ca="1">tblRFM[[#This Row],[RFM_Score]]</f>
        <v>311</v>
      </c>
      <c r="P74" s="19">
        <f>IFERROR(tblRFM[[#This Row],[SatisfactionIndex]],"")</f>
        <v>3.5</v>
      </c>
      <c r="Q74" s="19">
        <f>IFERROR(tblRFM[[#This Row],[Satisfaction]],"")</f>
        <v>3</v>
      </c>
      <c r="R74" s="19">
        <f>IFERROR(tblRFM[[#This Row],[RecommendationLikelihood]],"")</f>
        <v>8</v>
      </c>
      <c r="S74" s="19">
        <f>COUNTIFS(tblTransactions[CustomerID],A74)</f>
        <v>1</v>
      </c>
      <c r="T74" s="18" t="str">
        <f>IFERROR(INDEX(tblClean[DiscountSensitivity],MATCH(A74,tblClean[CustomerID],0)),"")</f>
        <v>Low</v>
      </c>
    </row>
    <row r="75" spans="1:20" ht="15" customHeight="1" x14ac:dyDescent="0.3">
      <c r="A75" s="16" t="str">
        <f>tblRFM[[#This Row],[CustomerID]]</f>
        <v>C0073</v>
      </c>
      <c r="B75" s="16" t="str">
        <f>tblRFM[[#This Row],[Name]]</f>
        <v>Lakshmi Menon</v>
      </c>
      <c r="C75" s="18" t="str">
        <f>IFERROR(INDEX(tblClean[Gender],MATCH(A75,tblClean[CustomerID],0)),"")</f>
        <v>Female</v>
      </c>
      <c r="D75" s="16" t="str">
        <f>tblRFM[[#This Row],[AgeGroup]]</f>
        <v>25-39</v>
      </c>
      <c r="E75" s="16" t="str">
        <f>tblRFM[[#This Row],[City/Region]]</f>
        <v>Pune</v>
      </c>
      <c r="F75" s="16" t="str">
        <f>tblRFM[[#This Row],[IncomeBracket]]</f>
        <v>Mid</v>
      </c>
      <c r="G75" s="16" t="str">
        <f>tblRFM[[#This Row],[CustomerType]]</f>
        <v>New</v>
      </c>
      <c r="H75" s="16" t="str">
        <f>tblRFM[[#This Row],[EngagementLevel]]</f>
        <v>Medium</v>
      </c>
      <c r="I75" s="16" t="str">
        <f ca="1">tblRFM[[#This Row],[CustomerSegment]]</f>
        <v>General</v>
      </c>
      <c r="J75" s="16" t="str">
        <f>tblRFM[[#This Row],[ProductPreference]]</f>
        <v>Grocery</v>
      </c>
      <c r="K75" s="18" t="str">
        <f>IFERROR(INDEX(tblClean[PurchaseChannel],MATCH(A75,tblClean[CustomerID],0)),"")</f>
        <v>Online</v>
      </c>
      <c r="L75" s="22">
        <f ca="1">tblRFM[[#This Row],[RFM_Recency]]</f>
        <v>21</v>
      </c>
      <c r="M75" s="22">
        <f>tblRFM[[#This Row],[RFM_Frequency]]</f>
        <v>1</v>
      </c>
      <c r="N75" s="22">
        <f>tblRFM[[#This Row],[RFM_Monetary]]</f>
        <v>4680</v>
      </c>
      <c r="O75" s="16" t="str">
        <f ca="1">tblRFM[[#This Row],[RFM_Score]]</f>
        <v>511</v>
      </c>
      <c r="P75" s="16">
        <f>IFERROR(tblRFM[[#This Row],[SatisfactionIndex]],"")</f>
        <v>2.75</v>
      </c>
      <c r="Q75" s="16">
        <f>IFERROR(tblRFM[[#This Row],[Satisfaction]],"")</f>
        <v>2</v>
      </c>
      <c r="R75" s="16">
        <f>IFERROR(tblRFM[[#This Row],[RecommendationLikelihood]],"")</f>
        <v>7</v>
      </c>
      <c r="S75" s="16">
        <f>COUNTIFS(tblTransactions[CustomerID],A75)</f>
        <v>1</v>
      </c>
      <c r="T75" s="18" t="str">
        <f>IFERROR(INDEX(tblClean[DiscountSensitivity],MATCH(A75,tblClean[CustomerID],0)),"")</f>
        <v>High</v>
      </c>
    </row>
    <row r="76" spans="1:20" ht="15" customHeight="1" x14ac:dyDescent="0.3">
      <c r="A76" s="19" t="str">
        <f>tblRFM[[#This Row],[CustomerID]]</f>
        <v>C0074</v>
      </c>
      <c r="B76" s="19" t="str">
        <f>tblRFM[[#This Row],[Name]]</f>
        <v>Radha Pillai</v>
      </c>
      <c r="C76" s="18" t="str">
        <f>IFERROR(INDEX(tblClean[Gender],MATCH(A76,tblClean[CustomerID],0)),"")</f>
        <v>Female</v>
      </c>
      <c r="D76" s="19" t="str">
        <f>tblRFM[[#This Row],[AgeGroup]]</f>
        <v>25-39</v>
      </c>
      <c r="E76" s="19" t="str">
        <f>tblRFM[[#This Row],[City/Region]]</f>
        <v>Bhubaneswar</v>
      </c>
      <c r="F76" s="19" t="str">
        <f>tblRFM[[#This Row],[IncomeBracket]]</f>
        <v>High</v>
      </c>
      <c r="G76" s="19" t="str">
        <f>tblRFM[[#This Row],[CustomerType]]</f>
        <v>New</v>
      </c>
      <c r="H76" s="19" t="str">
        <f>tblRFM[[#This Row],[EngagementLevel]]</f>
        <v>Medium</v>
      </c>
      <c r="I76" s="19" t="str">
        <f ca="1">tblRFM[[#This Row],[CustomerSegment]]</f>
        <v>At Risk</v>
      </c>
      <c r="J76" s="19" t="str">
        <f>tblRFM[[#This Row],[ProductPreference]]</f>
        <v>Electronics</v>
      </c>
      <c r="K76" s="18" t="str">
        <f>IFERROR(INDEX(tblClean[PurchaseChannel],MATCH(A76,tblClean[CustomerID],0)),"")</f>
        <v>Offline</v>
      </c>
      <c r="L76" s="23">
        <f ca="1">tblRFM[[#This Row],[RFM_Recency]]</f>
        <v>307</v>
      </c>
      <c r="M76" s="23">
        <f>tblRFM[[#This Row],[RFM_Frequency]]</f>
        <v>1</v>
      </c>
      <c r="N76" s="23">
        <f>tblRFM[[#This Row],[RFM_Monetary]]</f>
        <v>6490</v>
      </c>
      <c r="O76" s="19" t="str">
        <f ca="1">tblRFM[[#This Row],[RFM_Score]]</f>
        <v>112</v>
      </c>
      <c r="P76" s="19">
        <f>IFERROR(tblRFM[[#This Row],[SatisfactionIndex]],"")</f>
        <v>3</v>
      </c>
      <c r="Q76" s="19">
        <f>IFERROR(tblRFM[[#This Row],[Satisfaction]],"")</f>
        <v>3</v>
      </c>
      <c r="R76" s="19">
        <f>IFERROR(tblRFM[[#This Row],[RecommendationLikelihood]],"")</f>
        <v>6</v>
      </c>
      <c r="S76" s="19">
        <f>COUNTIFS(tblTransactions[CustomerID],A76)</f>
        <v>1</v>
      </c>
      <c r="T76" s="18" t="str">
        <f>IFERROR(INDEX(tblClean[DiscountSensitivity],MATCH(A76,tblClean[CustomerID],0)),"")</f>
        <v>Medium</v>
      </c>
    </row>
    <row r="77" spans="1:20" ht="15" customHeight="1" x14ac:dyDescent="0.3">
      <c r="A77" s="16" t="str">
        <f>tblRFM[[#This Row],[CustomerID]]</f>
        <v>C0075</v>
      </c>
      <c r="B77" s="16" t="str">
        <f>tblRFM[[#This Row],[Name]]</f>
        <v>Madhuri Srivastava</v>
      </c>
      <c r="C77" s="18" t="str">
        <f>IFERROR(INDEX(tblClean[Gender],MATCH(A77,tblClean[CustomerID],0)),"")</f>
        <v>Female</v>
      </c>
      <c r="D77" s="16" t="str">
        <f>tblRFM[[#This Row],[AgeGroup]]</f>
        <v>25-39</v>
      </c>
      <c r="E77" s="16" t="str">
        <f>tblRFM[[#This Row],[City/Region]]</f>
        <v>Nagpur</v>
      </c>
      <c r="F77" s="16" t="str">
        <f>tblRFM[[#This Row],[IncomeBracket]]</f>
        <v>High</v>
      </c>
      <c r="G77" s="16" t="str">
        <f>tblRFM[[#This Row],[CustomerType]]</f>
        <v>Returning</v>
      </c>
      <c r="H77" s="16" t="str">
        <f>tblRFM[[#This Row],[EngagementLevel]]</f>
        <v>Low</v>
      </c>
      <c r="I77" s="16" t="str">
        <f ca="1">tblRFM[[#This Row],[CustomerSegment]]</f>
        <v>General</v>
      </c>
      <c r="J77" s="16" t="str">
        <f>tblRFM[[#This Row],[ProductPreference]]</f>
        <v>Grocery</v>
      </c>
      <c r="K77" s="18" t="str">
        <f>IFERROR(INDEX(tblClean[PurchaseChannel],MATCH(A77,tblClean[CustomerID],0)),"")</f>
        <v>Online</v>
      </c>
      <c r="L77" s="22">
        <f ca="1">tblRFM[[#This Row],[RFM_Recency]]</f>
        <v>134</v>
      </c>
      <c r="M77" s="22">
        <f>tblRFM[[#This Row],[RFM_Frequency]]</f>
        <v>3</v>
      </c>
      <c r="N77" s="22">
        <f>tblRFM[[#This Row],[RFM_Monetary]]</f>
        <v>5110</v>
      </c>
      <c r="O77" s="16" t="str">
        <f ca="1">tblRFM[[#This Row],[RFM_Score]]</f>
        <v>222</v>
      </c>
      <c r="P77" s="16">
        <f>IFERROR(tblRFM[[#This Row],[SatisfactionIndex]],"")</f>
        <v>3</v>
      </c>
      <c r="Q77" s="16">
        <f>IFERROR(tblRFM[[#This Row],[Satisfaction]],"")</f>
        <v>3</v>
      </c>
      <c r="R77" s="16">
        <f>IFERROR(tblRFM[[#This Row],[RecommendationLikelihood]],"")</f>
        <v>6</v>
      </c>
      <c r="S77" s="16">
        <f>COUNTIFS(tblTransactions[CustomerID],A77)</f>
        <v>3</v>
      </c>
      <c r="T77" s="18" t="str">
        <f>IFERROR(INDEX(tblClean[DiscountSensitivity],MATCH(A77,tblClean[CustomerID],0)),"")</f>
        <v>Medium</v>
      </c>
    </row>
    <row r="78" spans="1:20" ht="15" customHeight="1" x14ac:dyDescent="0.3">
      <c r="A78" s="19" t="str">
        <f>tblRFM[[#This Row],[CustomerID]]</f>
        <v>C0076</v>
      </c>
      <c r="B78" s="19" t="str">
        <f>tblRFM[[#This Row],[Name]]</f>
        <v>Bindu Thakur</v>
      </c>
      <c r="C78" s="18" t="str">
        <f>IFERROR(INDEX(tblClean[Gender],MATCH(A78,tblClean[CustomerID],0)),"")</f>
        <v>Female</v>
      </c>
      <c r="D78" s="19" t="str">
        <f>tblRFM[[#This Row],[AgeGroup]]</f>
        <v>55+</v>
      </c>
      <c r="E78" s="19" t="str">
        <f>tblRFM[[#This Row],[City/Region]]</f>
        <v>Pune</v>
      </c>
      <c r="F78" s="19" t="str">
        <f>tblRFM[[#This Row],[IncomeBracket]]</f>
        <v>Mid</v>
      </c>
      <c r="G78" s="19" t="str">
        <f>tblRFM[[#This Row],[CustomerType]]</f>
        <v>Returning</v>
      </c>
      <c r="H78" s="19" t="str">
        <f>tblRFM[[#This Row],[EngagementLevel]]</f>
        <v>Low</v>
      </c>
      <c r="I78" s="19" t="str">
        <f ca="1">tblRFM[[#This Row],[CustomerSegment]]</f>
        <v>General</v>
      </c>
      <c r="J78" s="19" t="str">
        <f>tblRFM[[#This Row],[ProductPreference]]</f>
        <v>Beauty</v>
      </c>
      <c r="K78" s="18" t="str">
        <f>IFERROR(INDEX(tblClean[PurchaseChannel],MATCH(A78,tblClean[CustomerID],0)),"")</f>
        <v>Offline</v>
      </c>
      <c r="L78" s="23">
        <f ca="1">tblRFM[[#This Row],[RFM_Recency]]</f>
        <v>98</v>
      </c>
      <c r="M78" s="23">
        <f>tblRFM[[#This Row],[RFM_Frequency]]</f>
        <v>3</v>
      </c>
      <c r="N78" s="23">
        <f>tblRFM[[#This Row],[RFM_Monetary]]</f>
        <v>10730</v>
      </c>
      <c r="O78" s="19" t="str">
        <f ca="1">tblRFM[[#This Row],[RFM_Score]]</f>
        <v>222</v>
      </c>
      <c r="P78" s="19">
        <f>IFERROR(tblRFM[[#This Row],[SatisfactionIndex]],"")</f>
        <v>2.5</v>
      </c>
      <c r="Q78" s="19">
        <f>IFERROR(tblRFM[[#This Row],[Satisfaction]],"")</f>
        <v>3</v>
      </c>
      <c r="R78" s="19">
        <f>IFERROR(tblRFM[[#This Row],[RecommendationLikelihood]],"")</f>
        <v>4</v>
      </c>
      <c r="S78" s="19">
        <f>COUNTIFS(tblTransactions[CustomerID],A78)</f>
        <v>3</v>
      </c>
      <c r="T78" s="18" t="str">
        <f>IFERROR(INDEX(tblClean[DiscountSensitivity],MATCH(A78,tblClean[CustomerID],0)),"")</f>
        <v>High</v>
      </c>
    </row>
    <row r="79" spans="1:20" ht="15" customHeight="1" x14ac:dyDescent="0.3">
      <c r="A79" s="16" t="str">
        <f>tblRFM[[#This Row],[CustomerID]]</f>
        <v>C0077</v>
      </c>
      <c r="B79" s="16" t="str">
        <f>tblRFM[[#This Row],[Name]]</f>
        <v>Kamala Bansal</v>
      </c>
      <c r="C79" s="18" t="str">
        <f>IFERROR(INDEX(tblClean[Gender],MATCH(A79,tblClean[CustomerID],0)),"")</f>
        <v>Female</v>
      </c>
      <c r="D79" s="16" t="str">
        <f>tblRFM[[#This Row],[AgeGroup]]</f>
        <v>&lt;25</v>
      </c>
      <c r="E79" s="16" t="str">
        <f>tblRFM[[#This Row],[City/Region]]</f>
        <v>Chandigarh</v>
      </c>
      <c r="F79" s="16" t="str">
        <f>tblRFM[[#This Row],[IncomeBracket]]</f>
        <v>High</v>
      </c>
      <c r="G79" s="16" t="str">
        <f>tblRFM[[#This Row],[CustomerType]]</f>
        <v>Returning</v>
      </c>
      <c r="H79" s="16" t="str">
        <f>tblRFM[[#This Row],[EngagementLevel]]</f>
        <v>Low</v>
      </c>
      <c r="I79" s="16" t="str">
        <f ca="1">tblRFM[[#This Row],[CustomerSegment]]</f>
        <v>General</v>
      </c>
      <c r="J79" s="16" t="str">
        <f>tblRFM[[#This Row],[ProductPreference]]</f>
        <v>Home Decor</v>
      </c>
      <c r="K79" s="18" t="str">
        <f>IFERROR(INDEX(tblClean[PurchaseChannel],MATCH(A79,tblClean[CustomerID],0)),"")</f>
        <v>Online</v>
      </c>
      <c r="L79" s="22">
        <f ca="1">tblRFM[[#This Row],[RFM_Recency]]</f>
        <v>65</v>
      </c>
      <c r="M79" s="22">
        <f>tblRFM[[#This Row],[RFM_Frequency]]</f>
        <v>1</v>
      </c>
      <c r="N79" s="22">
        <f>tblRFM[[#This Row],[RFM_Monetary]]</f>
        <v>4870</v>
      </c>
      <c r="O79" s="16" t="str">
        <f ca="1">tblRFM[[#This Row],[RFM_Score]]</f>
        <v>311</v>
      </c>
      <c r="P79" s="16">
        <f>IFERROR(tblRFM[[#This Row],[SatisfactionIndex]],"")</f>
        <v>3.25</v>
      </c>
      <c r="Q79" s="16">
        <f>IFERROR(tblRFM[[#This Row],[Satisfaction]],"")</f>
        <v>3</v>
      </c>
      <c r="R79" s="16">
        <f>IFERROR(tblRFM[[#This Row],[RecommendationLikelihood]],"")</f>
        <v>7</v>
      </c>
      <c r="S79" s="16">
        <f>COUNTIFS(tblTransactions[CustomerID],A79)</f>
        <v>1</v>
      </c>
      <c r="T79" s="18" t="str">
        <f>IFERROR(INDEX(tblClean[DiscountSensitivity],MATCH(A79,tblClean[CustomerID],0)),"")</f>
        <v>Medium</v>
      </c>
    </row>
    <row r="80" spans="1:20" ht="15" customHeight="1" x14ac:dyDescent="0.3">
      <c r="A80" s="19" t="str">
        <f>tblRFM[[#This Row],[CustomerID]]</f>
        <v>C0078</v>
      </c>
      <c r="B80" s="19" t="str">
        <f>tblRFM[[#This Row],[Name]]</f>
        <v>Seema Agarwal</v>
      </c>
      <c r="C80" s="18" t="str">
        <f>IFERROR(INDEX(tblClean[Gender],MATCH(A80,tblClean[CustomerID],0)),"")</f>
        <v>Female</v>
      </c>
      <c r="D80" s="19" t="str">
        <f>tblRFM[[#This Row],[AgeGroup]]</f>
        <v>40-54</v>
      </c>
      <c r="E80" s="19" t="str">
        <f>tblRFM[[#This Row],[City/Region]]</f>
        <v>Noida</v>
      </c>
      <c r="F80" s="19" t="str">
        <f>tblRFM[[#This Row],[IncomeBracket]]</f>
        <v>High</v>
      </c>
      <c r="G80" s="19" t="str">
        <f>tblRFM[[#This Row],[CustomerType]]</f>
        <v>Returning</v>
      </c>
      <c r="H80" s="19" t="str">
        <f>tblRFM[[#This Row],[EngagementLevel]]</f>
        <v>Medium</v>
      </c>
      <c r="I80" s="19" t="str">
        <f ca="1">tblRFM[[#This Row],[CustomerSegment]]</f>
        <v>High Value</v>
      </c>
      <c r="J80" s="19" t="str">
        <f>tblRFM[[#This Row],[ProductPreference]]</f>
        <v>Clothing</v>
      </c>
      <c r="K80" s="18" t="str">
        <f>IFERROR(INDEX(tblClean[PurchaseChannel],MATCH(A80,tblClean[CustomerID],0)),"")</f>
        <v>Offline</v>
      </c>
      <c r="L80" s="23">
        <f ca="1">tblRFM[[#This Row],[RFM_Recency]]</f>
        <v>109</v>
      </c>
      <c r="M80" s="23">
        <f>tblRFM[[#This Row],[RFM_Frequency]]</f>
        <v>13</v>
      </c>
      <c r="N80" s="23">
        <f>tblRFM[[#This Row],[RFM_Monetary]]</f>
        <v>85460</v>
      </c>
      <c r="O80" s="19" t="str">
        <f ca="1">tblRFM[[#This Row],[RFM_Score]]</f>
        <v>255</v>
      </c>
      <c r="P80" s="19">
        <f>IFERROR(tblRFM[[#This Row],[SatisfactionIndex]],"")</f>
        <v>3.75</v>
      </c>
      <c r="Q80" s="19">
        <f>IFERROR(tblRFM[[#This Row],[Satisfaction]],"")</f>
        <v>4</v>
      </c>
      <c r="R80" s="19">
        <f>IFERROR(tblRFM[[#This Row],[RecommendationLikelihood]],"")</f>
        <v>7</v>
      </c>
      <c r="S80" s="19">
        <f>COUNTIFS(tblTransactions[CustomerID],A80)</f>
        <v>13</v>
      </c>
      <c r="T80" s="18" t="str">
        <f>IFERROR(INDEX(tblClean[DiscountSensitivity],MATCH(A80,tblClean[CustomerID],0)),"")</f>
        <v>High</v>
      </c>
    </row>
    <row r="81" spans="1:20" ht="15" customHeight="1" x14ac:dyDescent="0.3">
      <c r="A81" s="16" t="str">
        <f>tblRFM[[#This Row],[CustomerID]]</f>
        <v>C0079</v>
      </c>
      <c r="B81" s="16" t="str">
        <f>tblRFM[[#This Row],[Name]]</f>
        <v>Asha Dixit</v>
      </c>
      <c r="C81" s="18" t="str">
        <f>IFERROR(INDEX(tblClean[Gender],MATCH(A81,tblClean[CustomerID],0)),"")</f>
        <v>Female</v>
      </c>
      <c r="D81" s="16" t="str">
        <f>tblRFM[[#This Row],[AgeGroup]]</f>
        <v>25-39</v>
      </c>
      <c r="E81" s="16" t="str">
        <f>tblRFM[[#This Row],[City/Region]]</f>
        <v>Bhubaneswar</v>
      </c>
      <c r="F81" s="16" t="str">
        <f>tblRFM[[#This Row],[IncomeBracket]]</f>
        <v>High</v>
      </c>
      <c r="G81" s="16" t="str">
        <f>tblRFM[[#This Row],[CustomerType]]</f>
        <v>Returning</v>
      </c>
      <c r="H81" s="16" t="str">
        <f>tblRFM[[#This Row],[EngagementLevel]]</f>
        <v>High</v>
      </c>
      <c r="I81" s="16" t="str">
        <f ca="1">tblRFM[[#This Row],[CustomerSegment]]</f>
        <v>General</v>
      </c>
      <c r="J81" s="16" t="str">
        <f>tblRFM[[#This Row],[ProductPreference]]</f>
        <v>Clothing</v>
      </c>
      <c r="K81" s="18" t="str">
        <f>IFERROR(INDEX(tblClean[PurchaseChannel],MATCH(A81,tblClean[CustomerID],0)),"")</f>
        <v>Offline</v>
      </c>
      <c r="L81" s="22">
        <f ca="1">tblRFM[[#This Row],[RFM_Recency]]</f>
        <v>72</v>
      </c>
      <c r="M81" s="22">
        <f>tblRFM[[#This Row],[RFM_Frequency]]</f>
        <v>6</v>
      </c>
      <c r="N81" s="22">
        <f>tblRFM[[#This Row],[RFM_Monetary]]</f>
        <v>36740</v>
      </c>
      <c r="O81" s="16" t="str">
        <f ca="1">tblRFM[[#This Row],[RFM_Score]]</f>
        <v>344</v>
      </c>
      <c r="P81" s="16">
        <f>IFERROR(tblRFM[[#This Row],[SatisfactionIndex]],"")</f>
        <v>3.75</v>
      </c>
      <c r="Q81" s="16">
        <f>IFERROR(tblRFM[[#This Row],[Satisfaction]],"")</f>
        <v>3</v>
      </c>
      <c r="R81" s="16">
        <f>IFERROR(tblRFM[[#This Row],[RecommendationLikelihood]],"")</f>
        <v>9</v>
      </c>
      <c r="S81" s="16">
        <f>COUNTIFS(tblTransactions[CustomerID],A81)</f>
        <v>6</v>
      </c>
      <c r="T81" s="18" t="str">
        <f>IFERROR(INDEX(tblClean[DiscountSensitivity],MATCH(A81,tblClean[CustomerID],0)),"")</f>
        <v>Medium</v>
      </c>
    </row>
    <row r="82" spans="1:20" ht="15" customHeight="1" x14ac:dyDescent="0.3">
      <c r="A82" s="19" t="str">
        <f>tblRFM[[#This Row],[CustomerID]]</f>
        <v>C0080</v>
      </c>
      <c r="B82" s="19" t="str">
        <f>tblRFM[[#This Row],[Name]]</f>
        <v>Nisha Shah</v>
      </c>
      <c r="C82" s="18" t="str">
        <f>IFERROR(INDEX(tblClean[Gender],MATCH(A82,tblClean[CustomerID],0)),"")</f>
        <v>Female</v>
      </c>
      <c r="D82" s="19" t="str">
        <f>tblRFM[[#This Row],[AgeGroup]]</f>
        <v>25-39</v>
      </c>
      <c r="E82" s="19" t="str">
        <f>tblRFM[[#This Row],[City/Region]]</f>
        <v>Pune</v>
      </c>
      <c r="F82" s="19" t="str">
        <f>tblRFM[[#This Row],[IncomeBracket]]</f>
        <v>High</v>
      </c>
      <c r="G82" s="19" t="str">
        <f>tblRFM[[#This Row],[CustomerType]]</f>
        <v>Returning</v>
      </c>
      <c r="H82" s="19" t="str">
        <f>tblRFM[[#This Row],[EngagementLevel]]</f>
        <v>High</v>
      </c>
      <c r="I82" s="19" t="str">
        <f ca="1">tblRFM[[#This Row],[CustomerSegment]]</f>
        <v>General</v>
      </c>
      <c r="J82" s="19" t="str">
        <f>tblRFM[[#This Row],[ProductPreference]]</f>
        <v>Home Decor</v>
      </c>
      <c r="K82" s="18" t="str">
        <f>IFERROR(INDEX(tblClean[PurchaseChannel],MATCH(A82,tblClean[CustomerID],0)),"")</f>
        <v>Online</v>
      </c>
      <c r="L82" s="23">
        <f ca="1">tblRFM[[#This Row],[RFM_Recency]]</f>
        <v>55</v>
      </c>
      <c r="M82" s="23">
        <f>tblRFM[[#This Row],[RFM_Frequency]]</f>
        <v>8</v>
      </c>
      <c r="N82" s="23">
        <f>tblRFM[[#This Row],[RFM_Monetary]]</f>
        <v>37870</v>
      </c>
      <c r="O82" s="19" t="str">
        <f ca="1">tblRFM[[#This Row],[RFM_Score]]</f>
        <v>454</v>
      </c>
      <c r="P82" s="19">
        <f>IFERROR(tblRFM[[#This Row],[SatisfactionIndex]],"")</f>
        <v>3.25</v>
      </c>
      <c r="Q82" s="19">
        <f>IFERROR(tblRFM[[#This Row],[Satisfaction]],"")</f>
        <v>4</v>
      </c>
      <c r="R82" s="19">
        <f>IFERROR(tblRFM[[#This Row],[RecommendationLikelihood]],"")</f>
        <v>5</v>
      </c>
      <c r="S82" s="19">
        <f>COUNTIFS(tblTransactions[CustomerID],A82)</f>
        <v>8</v>
      </c>
      <c r="T82" s="18" t="str">
        <f>IFERROR(INDEX(tblClean[DiscountSensitivity],MATCH(A82,tblClean[CustomerID],0)),"")</f>
        <v>Medium</v>
      </c>
    </row>
    <row r="83" spans="1:20" ht="15" customHeight="1" x14ac:dyDescent="0.3">
      <c r="A83" s="16" t="str">
        <f>tblRFM[[#This Row],[CustomerID]]</f>
        <v>C0081</v>
      </c>
      <c r="B83" s="16" t="str">
        <f>tblRFM[[#This Row],[Name]]</f>
        <v>Lata Jain</v>
      </c>
      <c r="C83" s="18" t="str">
        <f>IFERROR(INDEX(tblClean[Gender],MATCH(A83,tblClean[CustomerID],0)),"")</f>
        <v>Female</v>
      </c>
      <c r="D83" s="16" t="str">
        <f>tblRFM[[#This Row],[AgeGroup]]</f>
        <v>55+</v>
      </c>
      <c r="E83" s="16" t="str">
        <f>tblRFM[[#This Row],[City/Region]]</f>
        <v>Faridabad</v>
      </c>
      <c r="F83" s="16" t="str">
        <f>tblRFM[[#This Row],[IncomeBracket]]</f>
        <v>Mid</v>
      </c>
      <c r="G83" s="16" t="str">
        <f>tblRFM[[#This Row],[CustomerType]]</f>
        <v>New</v>
      </c>
      <c r="H83" s="16" t="str">
        <f>tblRFM[[#This Row],[EngagementLevel]]</f>
        <v>Low</v>
      </c>
      <c r="I83" s="16" t="str">
        <f ca="1">tblRFM[[#This Row],[CustomerSegment]]</f>
        <v>General</v>
      </c>
      <c r="J83" s="16" t="str">
        <f>tblRFM[[#This Row],[ProductPreference]]</f>
        <v>Beauty</v>
      </c>
      <c r="K83" s="18" t="str">
        <f>IFERROR(INDEX(tblClean[PurchaseChannel],MATCH(A83,tblClean[CustomerID],0)),"")</f>
        <v>Offline</v>
      </c>
      <c r="L83" s="22">
        <f ca="1">tblRFM[[#This Row],[RFM_Recency]]</f>
        <v>28</v>
      </c>
      <c r="M83" s="22">
        <f>tblRFM[[#This Row],[RFM_Frequency]]</f>
        <v>1</v>
      </c>
      <c r="N83" s="22">
        <f>tblRFM[[#This Row],[RFM_Monetary]]</f>
        <v>820</v>
      </c>
      <c r="O83" s="16" t="str">
        <f ca="1">tblRFM[[#This Row],[RFM_Score]]</f>
        <v>511</v>
      </c>
      <c r="P83" s="16">
        <f>IFERROR(tblRFM[[#This Row],[SatisfactionIndex]],"")</f>
        <v>3.25</v>
      </c>
      <c r="Q83" s="16">
        <f>IFERROR(tblRFM[[#This Row],[Satisfaction]],"")</f>
        <v>4</v>
      </c>
      <c r="R83" s="16">
        <f>IFERROR(tblRFM[[#This Row],[RecommendationLikelihood]],"")</f>
        <v>5</v>
      </c>
      <c r="S83" s="16">
        <f>COUNTIFS(tblTransactions[CustomerID],A83)</f>
        <v>1</v>
      </c>
      <c r="T83" s="18" t="str">
        <f>IFERROR(INDEX(tblClean[DiscountSensitivity],MATCH(A83,tblClean[CustomerID],0)),"")</f>
        <v>High</v>
      </c>
    </row>
    <row r="84" spans="1:20" ht="15" customHeight="1" x14ac:dyDescent="0.3">
      <c r="A84" s="19" t="str">
        <f>tblRFM[[#This Row],[CustomerID]]</f>
        <v>C0082</v>
      </c>
      <c r="B84" s="19" t="str">
        <f>tblRFM[[#This Row],[Name]]</f>
        <v>Tanya Negi</v>
      </c>
      <c r="C84" s="18" t="str">
        <f>IFERROR(INDEX(tblClean[Gender],MATCH(A84,tblClean[CustomerID],0)),"")</f>
        <v>Female</v>
      </c>
      <c r="D84" s="19" t="str">
        <f>tblRFM[[#This Row],[AgeGroup]]</f>
        <v>40-54</v>
      </c>
      <c r="E84" s="19" t="str">
        <f>tblRFM[[#This Row],[City/Region]]</f>
        <v>Ahmedabad</v>
      </c>
      <c r="F84" s="19" t="str">
        <f>tblRFM[[#This Row],[IncomeBracket]]</f>
        <v>High</v>
      </c>
      <c r="G84" s="19" t="str">
        <f>tblRFM[[#This Row],[CustomerType]]</f>
        <v>Returning</v>
      </c>
      <c r="H84" s="19" t="str">
        <f>tblRFM[[#This Row],[EngagementLevel]]</f>
        <v>Low</v>
      </c>
      <c r="I84" s="19" t="str">
        <f ca="1">tblRFM[[#This Row],[CustomerSegment]]</f>
        <v>General</v>
      </c>
      <c r="J84" s="19" t="str">
        <f>tblRFM[[#This Row],[ProductPreference]]</f>
        <v>Home Decor</v>
      </c>
      <c r="K84" s="18" t="str">
        <f>IFERROR(INDEX(tblClean[PurchaseChannel],MATCH(A84,tblClean[CustomerID],0)),"")</f>
        <v>Online</v>
      </c>
      <c r="L84" s="23">
        <f ca="1">tblRFM[[#This Row],[RFM_Recency]]</f>
        <v>44</v>
      </c>
      <c r="M84" s="23">
        <f>tblRFM[[#This Row],[RFM_Frequency]]</f>
        <v>1</v>
      </c>
      <c r="N84" s="23">
        <f>tblRFM[[#This Row],[RFM_Monetary]]</f>
        <v>5070</v>
      </c>
      <c r="O84" s="19" t="str">
        <f ca="1">tblRFM[[#This Row],[RFM_Score]]</f>
        <v>412</v>
      </c>
      <c r="P84" s="19">
        <f>IFERROR(tblRFM[[#This Row],[SatisfactionIndex]],"")</f>
        <v>3.5</v>
      </c>
      <c r="Q84" s="19">
        <f>IFERROR(tblRFM[[#This Row],[Satisfaction]],"")</f>
        <v>3</v>
      </c>
      <c r="R84" s="19">
        <f>IFERROR(tblRFM[[#This Row],[RecommendationLikelihood]],"")</f>
        <v>8</v>
      </c>
      <c r="S84" s="19">
        <f>COUNTIFS(tblTransactions[CustomerID],A84)</f>
        <v>1</v>
      </c>
      <c r="T84" s="18" t="str">
        <f>IFERROR(INDEX(tblClean[DiscountSensitivity],MATCH(A84,tblClean[CustomerID],0)),"")</f>
        <v>Low</v>
      </c>
    </row>
    <row r="85" spans="1:20" ht="15" customHeight="1" x14ac:dyDescent="0.3">
      <c r="A85" s="16" t="str">
        <f>tblRFM[[#This Row],[CustomerID]]</f>
        <v>C0083</v>
      </c>
      <c r="B85" s="16" t="str">
        <f>tblRFM[[#This Row],[Name]]</f>
        <v>Roshni Bhatt</v>
      </c>
      <c r="C85" s="18" t="str">
        <f>IFERROR(INDEX(tblClean[Gender],MATCH(A85,tblClean[CustomerID],0)),"")</f>
        <v>Female</v>
      </c>
      <c r="D85" s="16" t="str">
        <f>tblRFM[[#This Row],[AgeGroup]]</f>
        <v>40-54</v>
      </c>
      <c r="E85" s="16" t="str">
        <f>tblRFM[[#This Row],[City/Region]]</f>
        <v>Bhopal</v>
      </c>
      <c r="F85" s="16" t="str">
        <f>tblRFM[[#This Row],[IncomeBracket]]</f>
        <v>High</v>
      </c>
      <c r="G85" s="16" t="str">
        <f>tblRFM[[#This Row],[CustomerType]]</f>
        <v>Returning</v>
      </c>
      <c r="H85" s="16" t="str">
        <f>tblRFM[[#This Row],[EngagementLevel]]</f>
        <v>Medium</v>
      </c>
      <c r="I85" s="16" t="str">
        <f ca="1">tblRFM[[#This Row],[CustomerSegment]]</f>
        <v>General</v>
      </c>
      <c r="J85" s="16" t="str">
        <f>tblRFM[[#This Row],[ProductPreference]]</f>
        <v>Sports</v>
      </c>
      <c r="K85" s="18" t="str">
        <f>IFERROR(INDEX(tblClean[PurchaseChannel],MATCH(A85,tblClean[CustomerID],0)),"")</f>
        <v>Offline</v>
      </c>
      <c r="L85" s="22">
        <f ca="1">tblRFM[[#This Row],[RFM_Recency]]</f>
        <v>63</v>
      </c>
      <c r="M85" s="22">
        <f>tblRFM[[#This Row],[RFM_Frequency]]</f>
        <v>2</v>
      </c>
      <c r="N85" s="22">
        <f>tblRFM[[#This Row],[RFM_Monetary]]</f>
        <v>12420</v>
      </c>
      <c r="O85" s="16" t="str">
        <f ca="1">tblRFM[[#This Row],[RFM_Score]]</f>
        <v>322</v>
      </c>
      <c r="P85" s="16">
        <f>IFERROR(tblRFM[[#This Row],[SatisfactionIndex]],"")</f>
        <v>4</v>
      </c>
      <c r="Q85" s="16">
        <f>IFERROR(tblRFM[[#This Row],[Satisfaction]],"")</f>
        <v>4</v>
      </c>
      <c r="R85" s="16">
        <f>IFERROR(tblRFM[[#This Row],[RecommendationLikelihood]],"")</f>
        <v>8</v>
      </c>
      <c r="S85" s="16">
        <f>COUNTIFS(tblTransactions[CustomerID],A85)</f>
        <v>2</v>
      </c>
      <c r="T85" s="18" t="str">
        <f>IFERROR(INDEX(tblClean[DiscountSensitivity],MATCH(A85,tblClean[CustomerID],0)),"")</f>
        <v>High</v>
      </c>
    </row>
    <row r="86" spans="1:20" ht="15" customHeight="1" x14ac:dyDescent="0.3">
      <c r="A86" s="19" t="str">
        <f>tblRFM[[#This Row],[CustomerID]]</f>
        <v>C0084</v>
      </c>
      <c r="B86" s="19" t="str">
        <f>tblRFM[[#This Row],[Name]]</f>
        <v>Simran Goyal</v>
      </c>
      <c r="C86" s="18" t="str">
        <f>IFERROR(INDEX(tblClean[Gender],MATCH(A86,tblClean[CustomerID],0)),"")</f>
        <v>Female</v>
      </c>
      <c r="D86" s="19" t="str">
        <f>tblRFM[[#This Row],[AgeGroup]]</f>
        <v>&lt;25</v>
      </c>
      <c r="E86" s="19" t="str">
        <f>tblRFM[[#This Row],[City/Region]]</f>
        <v>Kolkata</v>
      </c>
      <c r="F86" s="19" t="str">
        <f>tblRFM[[#This Row],[IncomeBracket]]</f>
        <v>Mid</v>
      </c>
      <c r="G86" s="19" t="str">
        <f>tblRFM[[#This Row],[CustomerType]]</f>
        <v>Returning</v>
      </c>
      <c r="H86" s="19" t="str">
        <f>tblRFM[[#This Row],[EngagementLevel]]</f>
        <v>Medium</v>
      </c>
      <c r="I86" s="19" t="str">
        <f ca="1">tblRFM[[#This Row],[CustomerSegment]]</f>
        <v>High Value</v>
      </c>
      <c r="J86" s="19" t="str">
        <f>tblRFM[[#This Row],[ProductPreference]]</f>
        <v>Electronics</v>
      </c>
      <c r="K86" s="18" t="str">
        <f>IFERROR(INDEX(tblClean[PurchaseChannel],MATCH(A86,tblClean[CustomerID],0)),"")</f>
        <v>Online</v>
      </c>
      <c r="L86" s="23">
        <f ca="1">tblRFM[[#This Row],[RFM_Recency]]</f>
        <v>94</v>
      </c>
      <c r="M86" s="23">
        <f>tblRFM[[#This Row],[RFM_Frequency]]</f>
        <v>14</v>
      </c>
      <c r="N86" s="23">
        <f>tblRFM[[#This Row],[RFM_Monetary]]</f>
        <v>102620</v>
      </c>
      <c r="O86" s="19" t="str">
        <f ca="1">tblRFM[[#This Row],[RFM_Score]]</f>
        <v>255</v>
      </c>
      <c r="P86" s="19">
        <f>IFERROR(tblRFM[[#This Row],[SatisfactionIndex]],"")</f>
        <v>2.75</v>
      </c>
      <c r="Q86" s="19">
        <f>IFERROR(tblRFM[[#This Row],[Satisfaction]],"")</f>
        <v>2</v>
      </c>
      <c r="R86" s="19">
        <f>IFERROR(tblRFM[[#This Row],[RecommendationLikelihood]],"")</f>
        <v>7</v>
      </c>
      <c r="S86" s="19">
        <f>COUNTIFS(tblTransactions[CustomerID],A86)</f>
        <v>14</v>
      </c>
      <c r="T86" s="18" t="str">
        <f>IFERROR(INDEX(tblClean[DiscountSensitivity],MATCH(A86,tblClean[CustomerID],0)),"")</f>
        <v>Medium</v>
      </c>
    </row>
    <row r="87" spans="1:20" ht="15" customHeight="1" x14ac:dyDescent="0.3">
      <c r="A87" s="16" t="str">
        <f>tblRFM[[#This Row],[CustomerID]]</f>
        <v>C0085</v>
      </c>
      <c r="B87" s="16" t="str">
        <f>tblRFM[[#This Row],[Name]]</f>
        <v>Kavya Bajaj</v>
      </c>
      <c r="C87" s="18" t="str">
        <f>IFERROR(INDEX(tblClean[Gender],MATCH(A87,tblClean[CustomerID],0)),"")</f>
        <v>Female</v>
      </c>
      <c r="D87" s="16" t="str">
        <f>tblRFM[[#This Row],[AgeGroup]]</f>
        <v>40-54</v>
      </c>
      <c r="E87" s="16" t="str">
        <f>tblRFM[[#This Row],[City/Region]]</f>
        <v>Indore</v>
      </c>
      <c r="F87" s="16" t="str">
        <f>tblRFM[[#This Row],[IncomeBracket]]</f>
        <v>Mid</v>
      </c>
      <c r="G87" s="16" t="str">
        <f>tblRFM[[#This Row],[CustomerType]]</f>
        <v>New</v>
      </c>
      <c r="H87" s="16" t="str">
        <f>tblRFM[[#This Row],[EngagementLevel]]</f>
        <v>Low</v>
      </c>
      <c r="I87" s="16" t="str">
        <f ca="1">tblRFM[[#This Row],[CustomerSegment]]</f>
        <v>General</v>
      </c>
      <c r="J87" s="16" t="str">
        <f>tblRFM[[#This Row],[ProductPreference]]</f>
        <v>Home Decor</v>
      </c>
      <c r="K87" s="18" t="str">
        <f>IFERROR(INDEX(tblClean[PurchaseChannel],MATCH(A87,tblClean[CustomerID],0)),"")</f>
        <v>Online</v>
      </c>
      <c r="L87" s="22">
        <f ca="1">tblRFM[[#This Row],[RFM_Recency]]</f>
        <v>88</v>
      </c>
      <c r="M87" s="22">
        <f>tblRFM[[#This Row],[RFM_Frequency]]</f>
        <v>1</v>
      </c>
      <c r="N87" s="22">
        <f>tblRFM[[#This Row],[RFM_Monetary]]</f>
        <v>14230</v>
      </c>
      <c r="O87" s="16" t="str">
        <f ca="1">tblRFM[[#This Row],[RFM_Score]]</f>
        <v>312</v>
      </c>
      <c r="P87" s="16">
        <f>IFERROR(tblRFM[[#This Row],[SatisfactionIndex]],"")</f>
        <v>3.5</v>
      </c>
      <c r="Q87" s="16">
        <f>IFERROR(tblRFM[[#This Row],[Satisfaction]],"")</f>
        <v>3</v>
      </c>
      <c r="R87" s="16">
        <f>IFERROR(tblRFM[[#This Row],[RecommendationLikelihood]],"")</f>
        <v>8</v>
      </c>
      <c r="S87" s="16">
        <f>COUNTIFS(tblTransactions[CustomerID],A87)</f>
        <v>1</v>
      </c>
      <c r="T87" s="18" t="str">
        <f>IFERROR(INDEX(tblClean[DiscountSensitivity],MATCH(A87,tblClean[CustomerID],0)),"")</f>
        <v>Low</v>
      </c>
    </row>
    <row r="88" spans="1:20" ht="15" customHeight="1" x14ac:dyDescent="0.3">
      <c r="A88" s="19" t="str">
        <f>tblRFM[[#This Row],[CustomerID]]</f>
        <v>C0086</v>
      </c>
      <c r="B88" s="19" t="str">
        <f>tblRFM[[#This Row],[Name]]</f>
        <v>Shalini Choudhury</v>
      </c>
      <c r="C88" s="18" t="str">
        <f>IFERROR(INDEX(tblClean[Gender],MATCH(A88,tblClean[CustomerID],0)),"")</f>
        <v>Female</v>
      </c>
      <c r="D88" s="19" t="str">
        <f>tblRFM[[#This Row],[AgeGroup]]</f>
        <v>25-39</v>
      </c>
      <c r="E88" s="19" t="str">
        <f>tblRFM[[#This Row],[City/Region]]</f>
        <v>Indore</v>
      </c>
      <c r="F88" s="19" t="str">
        <f>tblRFM[[#This Row],[IncomeBracket]]</f>
        <v>High</v>
      </c>
      <c r="G88" s="19" t="str">
        <f>tblRFM[[#This Row],[CustomerType]]</f>
        <v>Returning</v>
      </c>
      <c r="H88" s="19" t="str">
        <f>tblRFM[[#This Row],[EngagementLevel]]</f>
        <v>Medium</v>
      </c>
      <c r="I88" s="19" t="str">
        <f ca="1">tblRFM[[#This Row],[CustomerSegment]]</f>
        <v>At Risk</v>
      </c>
      <c r="J88" s="19" t="str">
        <f>tblRFM[[#This Row],[ProductPreference]]</f>
        <v>Home Decor</v>
      </c>
      <c r="K88" s="18" t="str">
        <f>IFERROR(INDEX(tblClean[PurchaseChannel],MATCH(A88,tblClean[CustomerID],0)),"")</f>
        <v>Online</v>
      </c>
      <c r="L88" s="23">
        <f ca="1">tblRFM[[#This Row],[RFM_Recency]]</f>
        <v>360</v>
      </c>
      <c r="M88" s="23">
        <f>tblRFM[[#This Row],[RFM_Frequency]]</f>
        <v>2</v>
      </c>
      <c r="N88" s="23">
        <f>tblRFM[[#This Row],[RFM_Monetary]]</f>
        <v>7800</v>
      </c>
      <c r="O88" s="19" t="str">
        <f ca="1">tblRFM[[#This Row],[RFM_Score]]</f>
        <v>122</v>
      </c>
      <c r="P88" s="19">
        <f>IFERROR(tblRFM[[#This Row],[SatisfactionIndex]],"")</f>
        <v>3.25</v>
      </c>
      <c r="Q88" s="19">
        <f>IFERROR(tblRFM[[#This Row],[Satisfaction]],"")</f>
        <v>3</v>
      </c>
      <c r="R88" s="19">
        <f>IFERROR(tblRFM[[#This Row],[RecommendationLikelihood]],"")</f>
        <v>7</v>
      </c>
      <c r="S88" s="19">
        <f>COUNTIFS(tblTransactions[CustomerID],A88)</f>
        <v>2</v>
      </c>
      <c r="T88" s="18" t="str">
        <f>IFERROR(INDEX(tblClean[DiscountSensitivity],MATCH(A88,tblClean[CustomerID],0)),"")</f>
        <v>Medium</v>
      </c>
    </row>
    <row r="89" spans="1:20" ht="15" customHeight="1" x14ac:dyDescent="0.3">
      <c r="A89" s="16" t="str">
        <f>tblRFM[[#This Row],[CustomerID]]</f>
        <v>C0087</v>
      </c>
      <c r="B89" s="16" t="str">
        <f>tblRFM[[#This Row],[Name]]</f>
        <v>Rashmi Wagh</v>
      </c>
      <c r="C89" s="18" t="str">
        <f>IFERROR(INDEX(tblClean[Gender],MATCH(A89,tblClean[CustomerID],0)),"")</f>
        <v>Female</v>
      </c>
      <c r="D89" s="16" t="str">
        <f>tblRFM[[#This Row],[AgeGroup]]</f>
        <v>40-54</v>
      </c>
      <c r="E89" s="16" t="str">
        <f>tblRFM[[#This Row],[City/Region]]</f>
        <v>Bhubaneswar</v>
      </c>
      <c r="F89" s="16" t="str">
        <f>tblRFM[[#This Row],[IncomeBracket]]</f>
        <v>Mid</v>
      </c>
      <c r="G89" s="16" t="str">
        <f>tblRFM[[#This Row],[CustomerType]]</f>
        <v>Returning</v>
      </c>
      <c r="H89" s="16" t="str">
        <f>tblRFM[[#This Row],[EngagementLevel]]</f>
        <v>Medium</v>
      </c>
      <c r="I89" s="16" t="str">
        <f ca="1">tblRFM[[#This Row],[CustomerSegment]]</f>
        <v>High Value</v>
      </c>
      <c r="J89" s="16" t="str">
        <f>tblRFM[[#This Row],[ProductPreference]]</f>
        <v>Electronics</v>
      </c>
      <c r="K89" s="18" t="str">
        <f>IFERROR(INDEX(tblClean[PurchaseChannel],MATCH(A89,tblClean[CustomerID],0)),"")</f>
        <v>Online</v>
      </c>
      <c r="L89" s="22">
        <f ca="1">tblRFM[[#This Row],[RFM_Recency]]</f>
        <v>266</v>
      </c>
      <c r="M89" s="22">
        <f>tblRFM[[#This Row],[RFM_Frequency]]</f>
        <v>15</v>
      </c>
      <c r="N89" s="22">
        <f>tblRFM[[#This Row],[RFM_Monetary]]</f>
        <v>66210</v>
      </c>
      <c r="O89" s="16" t="str">
        <f ca="1">tblRFM[[#This Row],[RFM_Score]]</f>
        <v>155</v>
      </c>
      <c r="P89" s="16">
        <f>IFERROR(tblRFM[[#This Row],[SatisfactionIndex]],"")</f>
        <v>3.5</v>
      </c>
      <c r="Q89" s="16">
        <f>IFERROR(tblRFM[[#This Row],[Satisfaction]],"")</f>
        <v>3</v>
      </c>
      <c r="R89" s="16">
        <f>IFERROR(tblRFM[[#This Row],[RecommendationLikelihood]],"")</f>
        <v>8</v>
      </c>
      <c r="S89" s="16">
        <f>COUNTIFS(tblTransactions[CustomerID],A89)</f>
        <v>15</v>
      </c>
      <c r="T89" s="18" t="str">
        <f>IFERROR(INDEX(tblClean[DiscountSensitivity],MATCH(A89,tblClean[CustomerID],0)),"")</f>
        <v>High</v>
      </c>
    </row>
    <row r="90" spans="1:20" ht="15" customHeight="1" x14ac:dyDescent="0.3">
      <c r="A90" s="19" t="str">
        <f>tblRFM[[#This Row],[CustomerID]]</f>
        <v>C0088</v>
      </c>
      <c r="B90" s="19" t="str">
        <f>tblRFM[[#This Row],[Name]]</f>
        <v>Manju Mahajan</v>
      </c>
      <c r="C90" s="18" t="str">
        <f>IFERROR(INDEX(tblClean[Gender],MATCH(A90,tblClean[CustomerID],0)),"")</f>
        <v>Female</v>
      </c>
      <c r="D90" s="19" t="str">
        <f>tblRFM[[#This Row],[AgeGroup]]</f>
        <v>25-39</v>
      </c>
      <c r="E90" s="19" t="str">
        <f>tblRFM[[#This Row],[City/Region]]</f>
        <v>Ahmedabad</v>
      </c>
      <c r="F90" s="19" t="str">
        <f>tblRFM[[#This Row],[IncomeBracket]]</f>
        <v>Mid</v>
      </c>
      <c r="G90" s="19" t="str">
        <f>tblRFM[[#This Row],[CustomerType]]</f>
        <v>Returning</v>
      </c>
      <c r="H90" s="19" t="str">
        <f>tblRFM[[#This Row],[EngagementLevel]]</f>
        <v>Medium</v>
      </c>
      <c r="I90" s="19" t="str">
        <f ca="1">tblRFM[[#This Row],[CustomerSegment]]</f>
        <v>General</v>
      </c>
      <c r="J90" s="19" t="str">
        <f>tblRFM[[#This Row],[ProductPreference]]</f>
        <v>Beauty</v>
      </c>
      <c r="K90" s="18" t="str">
        <f>IFERROR(INDEX(tblClean[PurchaseChannel],MATCH(A90,tblClean[CustomerID],0)),"")</f>
        <v>Online</v>
      </c>
      <c r="L90" s="23">
        <f ca="1">tblRFM[[#This Row],[RFM_Recency]]</f>
        <v>140</v>
      </c>
      <c r="M90" s="23">
        <f>tblRFM[[#This Row],[RFM_Frequency]]</f>
        <v>4</v>
      </c>
      <c r="N90" s="23">
        <f>tblRFM[[#This Row],[RFM_Monetary]]</f>
        <v>25280</v>
      </c>
      <c r="O90" s="19" t="str">
        <f ca="1">tblRFM[[#This Row],[RFM_Score]]</f>
        <v>233</v>
      </c>
      <c r="P90" s="19">
        <f>IFERROR(tblRFM[[#This Row],[SatisfactionIndex]],"")</f>
        <v>4.25</v>
      </c>
      <c r="Q90" s="19">
        <f>IFERROR(tblRFM[[#This Row],[Satisfaction]],"")</f>
        <v>4</v>
      </c>
      <c r="R90" s="19">
        <f>IFERROR(tblRFM[[#This Row],[RecommendationLikelihood]],"")</f>
        <v>9</v>
      </c>
      <c r="S90" s="19">
        <f>COUNTIFS(tblTransactions[CustomerID],A90)</f>
        <v>4</v>
      </c>
      <c r="T90" s="18" t="str">
        <f>IFERROR(INDEX(tblClean[DiscountSensitivity],MATCH(A90,tblClean[CustomerID],0)),"")</f>
        <v>High</v>
      </c>
    </row>
    <row r="91" spans="1:20" ht="15" customHeight="1" x14ac:dyDescent="0.3">
      <c r="A91" s="16" t="str">
        <f>tblRFM[[#This Row],[CustomerID]]</f>
        <v>C0089</v>
      </c>
      <c r="B91" s="16" t="str">
        <f>tblRFM[[#This Row],[Name]]</f>
        <v>Gauri Deshpande</v>
      </c>
      <c r="C91" s="18" t="str">
        <f>IFERROR(INDEX(tblClean[Gender],MATCH(A91,tblClean[CustomerID],0)),"")</f>
        <v>Female</v>
      </c>
      <c r="D91" s="16" t="str">
        <f>tblRFM[[#This Row],[AgeGroup]]</f>
        <v>25-39</v>
      </c>
      <c r="E91" s="16" t="str">
        <f>tblRFM[[#This Row],[City/Region]]</f>
        <v>Delhi</v>
      </c>
      <c r="F91" s="16" t="str">
        <f>tblRFM[[#This Row],[IncomeBracket]]</f>
        <v>High</v>
      </c>
      <c r="G91" s="16" t="str">
        <f>tblRFM[[#This Row],[CustomerType]]</f>
        <v>New</v>
      </c>
      <c r="H91" s="16" t="str">
        <f>tblRFM[[#This Row],[EngagementLevel]]</f>
        <v>High</v>
      </c>
      <c r="I91" s="16" t="str">
        <f ca="1">tblRFM[[#This Row],[CustomerSegment]]</f>
        <v>General</v>
      </c>
      <c r="J91" s="16" t="str">
        <f>tblRFM[[#This Row],[ProductPreference]]</f>
        <v>Clothing</v>
      </c>
      <c r="K91" s="18" t="str">
        <f>IFERROR(INDEX(tblClean[PurchaseChannel],MATCH(A91,tblClean[CustomerID],0)),"")</f>
        <v>Online</v>
      </c>
      <c r="L91" s="22">
        <f ca="1">tblRFM[[#This Row],[RFM_Recency]]</f>
        <v>55</v>
      </c>
      <c r="M91" s="22">
        <f>tblRFM[[#This Row],[RFM_Frequency]]</f>
        <v>1</v>
      </c>
      <c r="N91" s="22">
        <f>tblRFM[[#This Row],[RFM_Monetary]]</f>
        <v>13170</v>
      </c>
      <c r="O91" s="16" t="str">
        <f ca="1">tblRFM[[#This Row],[RFM_Score]]</f>
        <v>412</v>
      </c>
      <c r="P91" s="16">
        <f>IFERROR(tblRFM[[#This Row],[SatisfactionIndex]],"")</f>
        <v>3</v>
      </c>
      <c r="Q91" s="16">
        <f>IFERROR(tblRFM[[#This Row],[Satisfaction]],"")</f>
        <v>4</v>
      </c>
      <c r="R91" s="16">
        <f>IFERROR(tblRFM[[#This Row],[RecommendationLikelihood]],"")</f>
        <v>4</v>
      </c>
      <c r="S91" s="16">
        <f>COUNTIFS(tblTransactions[CustomerID],A91)</f>
        <v>1</v>
      </c>
      <c r="T91" s="18" t="str">
        <f>IFERROR(INDEX(tblClean[DiscountSensitivity],MATCH(A91,tblClean[CustomerID],0)),"")</f>
        <v>Medium</v>
      </c>
    </row>
    <row r="92" spans="1:20" ht="15" customHeight="1" x14ac:dyDescent="0.3">
      <c r="A92" s="19" t="str">
        <f>tblRFM[[#This Row],[CustomerID]]</f>
        <v>C0090</v>
      </c>
      <c r="B92" s="19" t="str">
        <f>tblRFM[[#This Row],[Name]]</f>
        <v>Shraddha Kulkarni</v>
      </c>
      <c r="C92" s="18" t="str">
        <f>IFERROR(INDEX(tblClean[Gender],MATCH(A92,tblClean[CustomerID],0)),"")</f>
        <v>Female</v>
      </c>
      <c r="D92" s="19" t="str">
        <f>tblRFM[[#This Row],[AgeGroup]]</f>
        <v>40-54</v>
      </c>
      <c r="E92" s="19" t="str">
        <f>tblRFM[[#This Row],[City/Region]]</f>
        <v>Noida</v>
      </c>
      <c r="F92" s="19" t="str">
        <f>tblRFM[[#This Row],[IncomeBracket]]</f>
        <v>High</v>
      </c>
      <c r="G92" s="19" t="str">
        <f>tblRFM[[#This Row],[CustomerType]]</f>
        <v>Returning</v>
      </c>
      <c r="H92" s="19" t="str">
        <f>tblRFM[[#This Row],[EngagementLevel]]</f>
        <v>Medium</v>
      </c>
      <c r="I92" s="19" t="str">
        <f ca="1">tblRFM[[#This Row],[CustomerSegment]]</f>
        <v>General</v>
      </c>
      <c r="J92" s="19" t="str">
        <f>tblRFM[[#This Row],[ProductPreference]]</f>
        <v>Electronics</v>
      </c>
      <c r="K92" s="18" t="str">
        <f>IFERROR(INDEX(tblClean[PurchaseChannel],MATCH(A92,tblClean[CustomerID],0)),"")</f>
        <v>Online</v>
      </c>
      <c r="L92" s="23">
        <f ca="1">tblRFM[[#This Row],[RFM_Recency]]</f>
        <v>25</v>
      </c>
      <c r="M92" s="23">
        <f>tblRFM[[#This Row],[RFM_Frequency]]</f>
        <v>2</v>
      </c>
      <c r="N92" s="23">
        <f>tblRFM[[#This Row],[RFM_Monetary]]</f>
        <v>16630</v>
      </c>
      <c r="O92" s="19" t="str">
        <f ca="1">tblRFM[[#This Row],[RFM_Score]]</f>
        <v>523</v>
      </c>
      <c r="P92" s="19">
        <f>IFERROR(tblRFM[[#This Row],[SatisfactionIndex]],"")</f>
        <v>3</v>
      </c>
      <c r="Q92" s="19">
        <f>IFERROR(tblRFM[[#This Row],[Satisfaction]],"")</f>
        <v>3</v>
      </c>
      <c r="R92" s="19">
        <f>IFERROR(tblRFM[[#This Row],[RecommendationLikelihood]],"")</f>
        <v>6</v>
      </c>
      <c r="S92" s="19">
        <f>COUNTIFS(tblTransactions[CustomerID],A92)</f>
        <v>2</v>
      </c>
      <c r="T92" s="18" t="str">
        <f>IFERROR(INDEX(tblClean[DiscountSensitivity],MATCH(A92,tblClean[CustomerID],0)),"")</f>
        <v>Low</v>
      </c>
    </row>
    <row r="93" spans="1:20" ht="15" customHeight="1" x14ac:dyDescent="0.3">
      <c r="A93" s="16" t="str">
        <f>tblRFM[[#This Row],[CustomerID]]</f>
        <v>C0091</v>
      </c>
      <c r="B93" s="16" t="str">
        <f>tblRFM[[#This Row],[Name]]</f>
        <v>Sapna Garg</v>
      </c>
      <c r="C93" s="18" t="str">
        <f>IFERROR(INDEX(tblClean[Gender],MATCH(A93,tblClean[CustomerID],0)),"")</f>
        <v>Female</v>
      </c>
      <c r="D93" s="16" t="str">
        <f>tblRFM[[#This Row],[AgeGroup]]</f>
        <v>55+</v>
      </c>
      <c r="E93" s="16" t="str">
        <f>tblRFM[[#This Row],[City/Region]]</f>
        <v>Kolkata</v>
      </c>
      <c r="F93" s="16" t="str">
        <f>tblRFM[[#This Row],[IncomeBracket]]</f>
        <v>Mid</v>
      </c>
      <c r="G93" s="16" t="str">
        <f>tblRFM[[#This Row],[CustomerType]]</f>
        <v>Returning</v>
      </c>
      <c r="H93" s="16" t="str">
        <f>tblRFM[[#This Row],[EngagementLevel]]</f>
        <v>Medium</v>
      </c>
      <c r="I93" s="16" t="str">
        <f ca="1">tblRFM[[#This Row],[CustomerSegment]]</f>
        <v>High Value</v>
      </c>
      <c r="J93" s="16" t="str">
        <f>tblRFM[[#This Row],[ProductPreference]]</f>
        <v>Electronics</v>
      </c>
      <c r="K93" s="18" t="str">
        <f>IFERROR(INDEX(tblClean[PurchaseChannel],MATCH(A93,tblClean[CustomerID],0)),"")</f>
        <v>Online</v>
      </c>
      <c r="L93" s="22">
        <f ca="1">tblRFM[[#This Row],[RFM_Recency]]</f>
        <v>60</v>
      </c>
      <c r="M93" s="22">
        <f>tblRFM[[#This Row],[RFM_Frequency]]</f>
        <v>7</v>
      </c>
      <c r="N93" s="22">
        <f>tblRFM[[#This Row],[RFM_Monetary]]</f>
        <v>59470</v>
      </c>
      <c r="O93" s="16" t="str">
        <f ca="1">tblRFM[[#This Row],[RFM_Score]]</f>
        <v>445</v>
      </c>
      <c r="P93" s="16">
        <f>IFERROR(tblRFM[[#This Row],[SatisfactionIndex]],"")</f>
        <v>3.5</v>
      </c>
      <c r="Q93" s="16">
        <f>IFERROR(tblRFM[[#This Row],[Satisfaction]],"")</f>
        <v>3</v>
      </c>
      <c r="R93" s="16">
        <f>IFERROR(tblRFM[[#This Row],[RecommendationLikelihood]],"")</f>
        <v>8</v>
      </c>
      <c r="S93" s="16">
        <f>COUNTIFS(tblTransactions[CustomerID],A93)</f>
        <v>7</v>
      </c>
      <c r="T93" s="18" t="str">
        <f>IFERROR(INDEX(tblClean[DiscountSensitivity],MATCH(A93,tblClean[CustomerID],0)),"")</f>
        <v>Medium</v>
      </c>
    </row>
    <row r="94" spans="1:20" ht="15" customHeight="1" x14ac:dyDescent="0.3">
      <c r="A94" s="19" t="str">
        <f>tblRFM[[#This Row],[CustomerID]]</f>
        <v>C0092</v>
      </c>
      <c r="B94" s="19" t="str">
        <f>tblRFM[[#This Row],[Name]]</f>
        <v>Vaishali Shukla</v>
      </c>
      <c r="C94" s="18" t="str">
        <f>IFERROR(INDEX(tblClean[Gender],MATCH(A94,tblClean[CustomerID],0)),"")</f>
        <v>Female</v>
      </c>
      <c r="D94" s="19" t="str">
        <f>tblRFM[[#This Row],[AgeGroup]]</f>
        <v>40-54</v>
      </c>
      <c r="E94" s="19" t="str">
        <f>tblRFM[[#This Row],[City/Region]]</f>
        <v>Faridabad</v>
      </c>
      <c r="F94" s="19" t="str">
        <f>tblRFM[[#This Row],[IncomeBracket]]</f>
        <v>High</v>
      </c>
      <c r="G94" s="19" t="str">
        <f>tblRFM[[#This Row],[CustomerType]]</f>
        <v>Returning</v>
      </c>
      <c r="H94" s="19" t="str">
        <f>tblRFM[[#This Row],[EngagementLevel]]</f>
        <v>Medium</v>
      </c>
      <c r="I94" s="19" t="str">
        <f ca="1">tblRFM[[#This Row],[CustomerSegment]]</f>
        <v>General</v>
      </c>
      <c r="J94" s="19" t="str">
        <f>tblRFM[[#This Row],[ProductPreference]]</f>
        <v>Grocery</v>
      </c>
      <c r="K94" s="18" t="str">
        <f>IFERROR(INDEX(tblClean[PurchaseChannel],MATCH(A94,tblClean[CustomerID],0)),"")</f>
        <v>Online</v>
      </c>
      <c r="L94" s="23">
        <f ca="1">tblRFM[[#This Row],[RFM_Recency]]</f>
        <v>43</v>
      </c>
      <c r="M94" s="23">
        <f>tblRFM[[#This Row],[RFM_Frequency]]</f>
        <v>4</v>
      </c>
      <c r="N94" s="23">
        <f>tblRFM[[#This Row],[RFM_Monetary]]</f>
        <v>17670</v>
      </c>
      <c r="O94" s="19" t="str">
        <f ca="1">tblRFM[[#This Row],[RFM_Score]]</f>
        <v>433</v>
      </c>
      <c r="P94" s="19">
        <f>IFERROR(tblRFM[[#This Row],[SatisfactionIndex]],"")</f>
        <v>4</v>
      </c>
      <c r="Q94" s="19">
        <f>IFERROR(tblRFM[[#This Row],[Satisfaction]],"")</f>
        <v>4</v>
      </c>
      <c r="R94" s="19">
        <f>IFERROR(tblRFM[[#This Row],[RecommendationLikelihood]],"")</f>
        <v>8</v>
      </c>
      <c r="S94" s="19">
        <f>COUNTIFS(tblTransactions[CustomerID],A94)</f>
        <v>4</v>
      </c>
      <c r="T94" s="18" t="str">
        <f>IFERROR(INDEX(tblClean[DiscountSensitivity],MATCH(A94,tblClean[CustomerID],0)),"")</f>
        <v>Medium</v>
      </c>
    </row>
    <row r="95" spans="1:20" ht="15" customHeight="1" x14ac:dyDescent="0.3">
      <c r="A95" s="16" t="str">
        <f>tblRFM[[#This Row],[CustomerID]]</f>
        <v>C0093</v>
      </c>
      <c r="B95" s="16" t="str">
        <f>tblRFM[[#This Row],[Name]]</f>
        <v>Tejal Patil</v>
      </c>
      <c r="C95" s="18" t="str">
        <f>IFERROR(INDEX(tblClean[Gender],MATCH(A95,tblClean[CustomerID],0)),"")</f>
        <v>Female</v>
      </c>
      <c r="D95" s="16" t="str">
        <f>tblRFM[[#This Row],[AgeGroup]]</f>
        <v>&lt;25</v>
      </c>
      <c r="E95" s="16" t="str">
        <f>tblRFM[[#This Row],[City/Region]]</f>
        <v>Bhubaneswar</v>
      </c>
      <c r="F95" s="16" t="str">
        <f>tblRFM[[#This Row],[IncomeBracket]]</f>
        <v>High</v>
      </c>
      <c r="G95" s="16" t="str">
        <f>tblRFM[[#This Row],[CustomerType]]</f>
        <v>New</v>
      </c>
      <c r="H95" s="16" t="str">
        <f>tblRFM[[#This Row],[EngagementLevel]]</f>
        <v>Low</v>
      </c>
      <c r="I95" s="16" t="str">
        <f ca="1">tblRFM[[#This Row],[CustomerSegment]]</f>
        <v>At Risk</v>
      </c>
      <c r="J95" s="16" t="str">
        <f>tblRFM[[#This Row],[ProductPreference]]</f>
        <v>Clothing</v>
      </c>
      <c r="K95" s="18" t="str">
        <f>IFERROR(INDEX(tblClean[PurchaseChannel],MATCH(A95,tblClean[CustomerID],0)),"")</f>
        <v>Offline</v>
      </c>
      <c r="L95" s="22">
        <f ca="1">tblRFM[[#This Row],[RFM_Recency]]</f>
        <v>164</v>
      </c>
      <c r="M95" s="22">
        <f>tblRFM[[#This Row],[RFM_Frequency]]</f>
        <v>1</v>
      </c>
      <c r="N95" s="22">
        <f>tblRFM[[#This Row],[RFM_Monetary]]</f>
        <v>3880</v>
      </c>
      <c r="O95" s="16" t="str">
        <f ca="1">tblRFM[[#This Row],[RFM_Score]]</f>
        <v>211</v>
      </c>
      <c r="P95" s="16">
        <f>IFERROR(tblRFM[[#This Row],[SatisfactionIndex]],"")</f>
        <v>4</v>
      </c>
      <c r="Q95" s="16">
        <f>IFERROR(tblRFM[[#This Row],[Satisfaction]],"")</f>
        <v>4</v>
      </c>
      <c r="R95" s="16">
        <f>IFERROR(tblRFM[[#This Row],[RecommendationLikelihood]],"")</f>
        <v>8</v>
      </c>
      <c r="S95" s="16">
        <f>COUNTIFS(tblTransactions[CustomerID],A95)</f>
        <v>1</v>
      </c>
      <c r="T95" s="18" t="str">
        <f>IFERROR(INDEX(tblClean[DiscountSensitivity],MATCH(A95,tblClean[CustomerID],0)),"")</f>
        <v>Medium</v>
      </c>
    </row>
    <row r="96" spans="1:20" ht="15" customHeight="1" x14ac:dyDescent="0.3">
      <c r="A96" s="19" t="str">
        <f>tblRFM[[#This Row],[CustomerID]]</f>
        <v>C0094</v>
      </c>
      <c r="B96" s="19" t="str">
        <f>tblRFM[[#This Row],[Name]]</f>
        <v>Jyoti Parekh</v>
      </c>
      <c r="C96" s="18" t="str">
        <f>IFERROR(INDEX(tblClean[Gender],MATCH(A96,tblClean[CustomerID],0)),"")</f>
        <v>Female</v>
      </c>
      <c r="D96" s="19" t="str">
        <f>tblRFM[[#This Row],[AgeGroup]]</f>
        <v>25-39</v>
      </c>
      <c r="E96" s="19" t="str">
        <f>tblRFM[[#This Row],[City/Region]]</f>
        <v>Pune</v>
      </c>
      <c r="F96" s="19" t="str">
        <f>tblRFM[[#This Row],[IncomeBracket]]</f>
        <v>Mid</v>
      </c>
      <c r="G96" s="19" t="str">
        <f>tblRFM[[#This Row],[CustomerType]]</f>
        <v>Returning</v>
      </c>
      <c r="H96" s="19" t="str">
        <f>tblRFM[[#This Row],[EngagementLevel]]</f>
        <v>Medium</v>
      </c>
      <c r="I96" s="19" t="str">
        <f ca="1">tblRFM[[#This Row],[CustomerSegment]]</f>
        <v>Bargain Seeker</v>
      </c>
      <c r="J96" s="19" t="str">
        <f>tblRFM[[#This Row],[ProductPreference]]</f>
        <v>Beauty</v>
      </c>
      <c r="K96" s="18" t="str">
        <f>IFERROR(INDEX(tblClean[PurchaseChannel],MATCH(A96,tblClean[CustomerID],0)),"")</f>
        <v>Online</v>
      </c>
      <c r="L96" s="23">
        <f ca="1">tblRFM[[#This Row],[RFM_Recency]]</f>
        <v>205</v>
      </c>
      <c r="M96" s="23">
        <f>tblRFM[[#This Row],[RFM_Frequency]]</f>
        <v>5</v>
      </c>
      <c r="N96" s="23">
        <f>tblRFM[[#This Row],[RFM_Monetary]]</f>
        <v>19180</v>
      </c>
      <c r="O96" s="19" t="str">
        <f ca="1">tblRFM[[#This Row],[RFM_Score]]</f>
        <v>133</v>
      </c>
      <c r="P96" s="19">
        <f>IFERROR(tblRFM[[#This Row],[SatisfactionIndex]],"")</f>
        <v>3</v>
      </c>
      <c r="Q96" s="19">
        <f>IFERROR(tblRFM[[#This Row],[Satisfaction]],"")</f>
        <v>3</v>
      </c>
      <c r="R96" s="19">
        <f>IFERROR(tblRFM[[#This Row],[RecommendationLikelihood]],"")</f>
        <v>6</v>
      </c>
      <c r="S96" s="19">
        <f>COUNTIFS(tblTransactions[CustomerID],A96)</f>
        <v>5</v>
      </c>
      <c r="T96" s="18" t="str">
        <f>IFERROR(INDEX(tblClean[DiscountSensitivity],MATCH(A96,tblClean[CustomerID],0)),"")</f>
        <v>Medium</v>
      </c>
    </row>
    <row r="97" spans="1:20" ht="15" customHeight="1" x14ac:dyDescent="0.3">
      <c r="A97" s="16" t="str">
        <f>tblRFM[[#This Row],[CustomerID]]</f>
        <v>C0095</v>
      </c>
      <c r="B97" s="16" t="str">
        <f>tblRFM[[#This Row],[Name]]</f>
        <v>Ridhi Oberoi</v>
      </c>
      <c r="C97" s="18" t="str">
        <f>IFERROR(INDEX(tblClean[Gender],MATCH(A97,tblClean[CustomerID],0)),"")</f>
        <v>Female</v>
      </c>
      <c r="D97" s="16" t="str">
        <f>tblRFM[[#This Row],[AgeGroup]]</f>
        <v>&lt;25</v>
      </c>
      <c r="E97" s="16" t="str">
        <f>tblRFM[[#This Row],[City/Region]]</f>
        <v>Pune</v>
      </c>
      <c r="F97" s="16" t="str">
        <f>tblRFM[[#This Row],[IncomeBracket]]</f>
        <v>Mid</v>
      </c>
      <c r="G97" s="16" t="str">
        <f>tblRFM[[#This Row],[CustomerType]]</f>
        <v>Returning</v>
      </c>
      <c r="H97" s="16" t="str">
        <f>tblRFM[[#This Row],[EngagementLevel]]</f>
        <v>Medium</v>
      </c>
      <c r="I97" s="16" t="str">
        <f ca="1">tblRFM[[#This Row],[CustomerSegment]]</f>
        <v>At Risk</v>
      </c>
      <c r="J97" s="16" t="str">
        <f>tblRFM[[#This Row],[ProductPreference]]</f>
        <v>Sports</v>
      </c>
      <c r="K97" s="18" t="str">
        <f>IFERROR(INDEX(tblClean[PurchaseChannel],MATCH(A97,tblClean[CustomerID],0)),"")</f>
        <v>Offline</v>
      </c>
      <c r="L97" s="22">
        <f ca="1">tblRFM[[#This Row],[RFM_Recency]]</f>
        <v>93</v>
      </c>
      <c r="M97" s="22">
        <f>tblRFM[[#This Row],[RFM_Frequency]]</f>
        <v>2</v>
      </c>
      <c r="N97" s="22">
        <f>tblRFM[[#This Row],[RFM_Monetary]]</f>
        <v>6830</v>
      </c>
      <c r="O97" s="16" t="str">
        <f ca="1">tblRFM[[#This Row],[RFM_Score]]</f>
        <v>222</v>
      </c>
      <c r="P97" s="16">
        <f>IFERROR(tblRFM[[#This Row],[SatisfactionIndex]],"")</f>
        <v>3.5</v>
      </c>
      <c r="Q97" s="16">
        <f>IFERROR(tblRFM[[#This Row],[Satisfaction]],"")</f>
        <v>3</v>
      </c>
      <c r="R97" s="16">
        <f>IFERROR(tblRFM[[#This Row],[RecommendationLikelihood]],"")</f>
        <v>8</v>
      </c>
      <c r="S97" s="16">
        <f>COUNTIFS(tblTransactions[CustomerID],A97)</f>
        <v>2</v>
      </c>
      <c r="T97" s="18" t="str">
        <f>IFERROR(INDEX(tblClean[DiscountSensitivity],MATCH(A97,tblClean[CustomerID],0)),"")</f>
        <v>High</v>
      </c>
    </row>
    <row r="98" spans="1:20" ht="15" customHeight="1" x14ac:dyDescent="0.3">
      <c r="A98" s="19" t="str">
        <f>tblRFM[[#This Row],[CustomerID]]</f>
        <v>C0096</v>
      </c>
      <c r="B98" s="19" t="str">
        <f>tblRFM[[#This Row],[Name]]</f>
        <v>Varsha Mitra</v>
      </c>
      <c r="C98" s="18" t="str">
        <f>IFERROR(INDEX(tblClean[Gender],MATCH(A98,tblClean[CustomerID],0)),"")</f>
        <v>Female</v>
      </c>
      <c r="D98" s="19" t="str">
        <f>tblRFM[[#This Row],[AgeGroup]]</f>
        <v>55+</v>
      </c>
      <c r="E98" s="19" t="str">
        <f>tblRFM[[#This Row],[City/Region]]</f>
        <v>Nagpur</v>
      </c>
      <c r="F98" s="19" t="str">
        <f>tblRFM[[#This Row],[IncomeBracket]]</f>
        <v>High</v>
      </c>
      <c r="G98" s="19" t="str">
        <f>tblRFM[[#This Row],[CustomerType]]</f>
        <v>Returning</v>
      </c>
      <c r="H98" s="19" t="str">
        <f>tblRFM[[#This Row],[EngagementLevel]]</f>
        <v>Medium</v>
      </c>
      <c r="I98" s="19" t="str">
        <f ca="1">tblRFM[[#This Row],[CustomerSegment]]</f>
        <v>At Risk</v>
      </c>
      <c r="J98" s="19" t="str">
        <f>tblRFM[[#This Row],[ProductPreference]]</f>
        <v>Sports</v>
      </c>
      <c r="K98" s="18" t="str">
        <f>IFERROR(INDEX(tblClean[PurchaseChannel],MATCH(A98,tblClean[CustomerID],0)),"")</f>
        <v>Online</v>
      </c>
      <c r="L98" s="23">
        <f ca="1">tblRFM[[#This Row],[RFM_Recency]]</f>
        <v>119</v>
      </c>
      <c r="M98" s="23">
        <f>tblRFM[[#This Row],[RFM_Frequency]]</f>
        <v>2</v>
      </c>
      <c r="N98" s="23">
        <f>tblRFM[[#This Row],[RFM_Monetary]]</f>
        <v>12020</v>
      </c>
      <c r="O98" s="19" t="str">
        <f ca="1">tblRFM[[#This Row],[RFM_Score]]</f>
        <v>222</v>
      </c>
      <c r="P98" s="19">
        <f>IFERROR(tblRFM[[#This Row],[SatisfactionIndex]],"")</f>
        <v>2.5</v>
      </c>
      <c r="Q98" s="19">
        <f>IFERROR(tblRFM[[#This Row],[Satisfaction]],"")</f>
        <v>2</v>
      </c>
      <c r="R98" s="19">
        <f>IFERROR(tblRFM[[#This Row],[RecommendationLikelihood]],"")</f>
        <v>6</v>
      </c>
      <c r="S98" s="19">
        <f>COUNTIFS(tblTransactions[CustomerID],A98)</f>
        <v>2</v>
      </c>
      <c r="T98" s="18" t="str">
        <f>IFERROR(INDEX(tblClean[DiscountSensitivity],MATCH(A98,tblClean[CustomerID],0)),"")</f>
        <v>High</v>
      </c>
    </row>
    <row r="99" spans="1:20" ht="15" customHeight="1" x14ac:dyDescent="0.3">
      <c r="A99" s="16" t="str">
        <f>tblRFM[[#This Row],[CustomerID]]</f>
        <v>C0097</v>
      </c>
      <c r="B99" s="16" t="str">
        <f>tblRFM[[#This Row],[Name]]</f>
        <v>Rupal Sinha</v>
      </c>
      <c r="C99" s="18" t="str">
        <f>IFERROR(INDEX(tblClean[Gender],MATCH(A99,tblClean[CustomerID],0)),"")</f>
        <v>Female</v>
      </c>
      <c r="D99" s="16" t="str">
        <f>tblRFM[[#This Row],[AgeGroup]]</f>
        <v>25-39</v>
      </c>
      <c r="E99" s="16" t="str">
        <f>tblRFM[[#This Row],[City/Region]]</f>
        <v>Bangalore</v>
      </c>
      <c r="F99" s="16" t="str">
        <f>tblRFM[[#This Row],[IncomeBracket]]</f>
        <v>Mid</v>
      </c>
      <c r="G99" s="16" t="str">
        <f>tblRFM[[#This Row],[CustomerType]]</f>
        <v>Returning</v>
      </c>
      <c r="H99" s="16" t="str">
        <f>tblRFM[[#This Row],[EngagementLevel]]</f>
        <v>High</v>
      </c>
      <c r="I99" s="16" t="str">
        <f ca="1">tblRFM[[#This Row],[CustomerSegment]]</f>
        <v>High Value</v>
      </c>
      <c r="J99" s="16" t="str">
        <f>tblRFM[[#This Row],[ProductPreference]]</f>
        <v>Grocery</v>
      </c>
      <c r="K99" s="18" t="str">
        <f>IFERROR(INDEX(tblClean[PurchaseChannel],MATCH(A99,tblClean[CustomerID],0)),"")</f>
        <v>Online</v>
      </c>
      <c r="L99" s="22">
        <f ca="1">tblRFM[[#This Row],[RFM_Recency]]</f>
        <v>105</v>
      </c>
      <c r="M99" s="22">
        <f>tblRFM[[#This Row],[RFM_Frequency]]</f>
        <v>13</v>
      </c>
      <c r="N99" s="22">
        <f>tblRFM[[#This Row],[RFM_Monetary]]</f>
        <v>76520</v>
      </c>
      <c r="O99" s="16" t="str">
        <f ca="1">tblRFM[[#This Row],[RFM_Score]]</f>
        <v>255</v>
      </c>
      <c r="P99" s="16">
        <f>IFERROR(tblRFM[[#This Row],[SatisfactionIndex]],"")</f>
        <v>3.5</v>
      </c>
      <c r="Q99" s="16">
        <f>IFERROR(tblRFM[[#This Row],[Satisfaction]],"")</f>
        <v>4</v>
      </c>
      <c r="R99" s="16">
        <f>IFERROR(tblRFM[[#This Row],[RecommendationLikelihood]],"")</f>
        <v>6</v>
      </c>
      <c r="S99" s="16">
        <f>COUNTIFS(tblTransactions[CustomerID],A99)</f>
        <v>13</v>
      </c>
      <c r="T99" s="18" t="str">
        <f>IFERROR(INDEX(tblClean[DiscountSensitivity],MATCH(A99,tblClean[CustomerID],0)),"")</f>
        <v>Medium</v>
      </c>
    </row>
    <row r="100" spans="1:20" ht="15" customHeight="1" x14ac:dyDescent="0.3">
      <c r="A100" s="19" t="str">
        <f>tblRFM[[#This Row],[CustomerID]]</f>
        <v>C0098</v>
      </c>
      <c r="B100" s="19" t="str">
        <f>tblRFM[[#This Row],[Name]]</f>
        <v>Prerna Rastogi</v>
      </c>
      <c r="C100" s="18" t="str">
        <f>IFERROR(INDEX(tblClean[Gender],MATCH(A100,tblClean[CustomerID],0)),"")</f>
        <v>Female</v>
      </c>
      <c r="D100" s="19" t="str">
        <f>tblRFM[[#This Row],[AgeGroup]]</f>
        <v>40-54</v>
      </c>
      <c r="E100" s="19" t="str">
        <f>tblRFM[[#This Row],[City/Region]]</f>
        <v>Kolkata</v>
      </c>
      <c r="F100" s="19" t="str">
        <f>tblRFM[[#This Row],[IncomeBracket]]</f>
        <v>High</v>
      </c>
      <c r="G100" s="19" t="str">
        <f>tblRFM[[#This Row],[CustomerType]]</f>
        <v>Returning</v>
      </c>
      <c r="H100" s="19" t="str">
        <f>tblRFM[[#This Row],[EngagementLevel]]</f>
        <v>Low</v>
      </c>
      <c r="I100" s="19" t="str">
        <f ca="1">tblRFM[[#This Row],[CustomerSegment]]</f>
        <v>General</v>
      </c>
      <c r="J100" s="19" t="str">
        <f>tblRFM[[#This Row],[ProductPreference]]</f>
        <v>Electronics</v>
      </c>
      <c r="K100" s="18" t="str">
        <f>IFERROR(INDEX(tblClean[PurchaseChannel],MATCH(A100,tblClean[CustomerID],0)),"")</f>
        <v>Online</v>
      </c>
      <c r="L100" s="23">
        <f ca="1">tblRFM[[#This Row],[RFM_Recency]]</f>
        <v>60</v>
      </c>
      <c r="M100" s="23">
        <f>tblRFM[[#This Row],[RFM_Frequency]]</f>
        <v>2</v>
      </c>
      <c r="N100" s="23">
        <f>tblRFM[[#This Row],[RFM_Monetary]]</f>
        <v>20300</v>
      </c>
      <c r="O100" s="19" t="str">
        <f ca="1">tblRFM[[#This Row],[RFM_Score]]</f>
        <v>423</v>
      </c>
      <c r="P100" s="19">
        <f>IFERROR(tblRFM[[#This Row],[SatisfactionIndex]],"")</f>
        <v>4</v>
      </c>
      <c r="Q100" s="19">
        <f>IFERROR(tblRFM[[#This Row],[Satisfaction]],"")</f>
        <v>4</v>
      </c>
      <c r="R100" s="19">
        <f>IFERROR(tblRFM[[#This Row],[RecommendationLikelihood]],"")</f>
        <v>8</v>
      </c>
      <c r="S100" s="19">
        <f>COUNTIFS(tblTransactions[CustomerID],A100)</f>
        <v>2</v>
      </c>
      <c r="T100" s="18" t="str">
        <f>IFERROR(INDEX(tblClean[DiscountSensitivity],MATCH(A100,tblClean[CustomerID],0)),"")</f>
        <v>Low</v>
      </c>
    </row>
    <row r="101" spans="1:20" ht="15" customHeight="1" x14ac:dyDescent="0.3">
      <c r="A101" s="16" t="str">
        <f>tblRFM[[#This Row],[CustomerID]]</f>
        <v>C0099</v>
      </c>
      <c r="B101" s="16" t="str">
        <f>tblRFM[[#This Row],[Name]]</f>
        <v>Aditi Tomar</v>
      </c>
      <c r="C101" s="18" t="str">
        <f>IFERROR(INDEX(tblClean[Gender],MATCH(A101,tblClean[CustomerID],0)),"")</f>
        <v>Female</v>
      </c>
      <c r="D101" s="16" t="str">
        <f>tblRFM[[#This Row],[AgeGroup]]</f>
        <v>40-54</v>
      </c>
      <c r="E101" s="16" t="str">
        <f>tblRFM[[#This Row],[City/Region]]</f>
        <v>Jaipur</v>
      </c>
      <c r="F101" s="16" t="str">
        <f>tblRFM[[#This Row],[IncomeBracket]]</f>
        <v>High</v>
      </c>
      <c r="G101" s="16" t="str">
        <f>tblRFM[[#This Row],[CustomerType]]</f>
        <v>Returning</v>
      </c>
      <c r="H101" s="16" t="str">
        <f>tblRFM[[#This Row],[EngagementLevel]]</f>
        <v>High</v>
      </c>
      <c r="I101" s="16" t="str">
        <f ca="1">tblRFM[[#This Row],[CustomerSegment]]</f>
        <v>Loyal</v>
      </c>
      <c r="J101" s="16" t="str">
        <f>tblRFM[[#This Row],[ProductPreference]]</f>
        <v>Grocery</v>
      </c>
      <c r="K101" s="18" t="str">
        <f>IFERROR(INDEX(tblClean[PurchaseChannel],MATCH(A101,tblClean[CustomerID],0)),"")</f>
        <v>Online</v>
      </c>
      <c r="L101" s="22">
        <f ca="1">tblRFM[[#This Row],[RFM_Recency]]</f>
        <v>30</v>
      </c>
      <c r="M101" s="22">
        <f>tblRFM[[#This Row],[RFM_Frequency]]</f>
        <v>9</v>
      </c>
      <c r="N101" s="22">
        <f>tblRFM[[#This Row],[RFM_Monetary]]</f>
        <v>79330</v>
      </c>
      <c r="O101" s="16" t="str">
        <f ca="1">tblRFM[[#This Row],[RFM_Score]]</f>
        <v>555</v>
      </c>
      <c r="P101" s="16">
        <f>IFERROR(tblRFM[[#This Row],[SatisfactionIndex]],"")</f>
        <v>4.25</v>
      </c>
      <c r="Q101" s="16">
        <f>IFERROR(tblRFM[[#This Row],[Satisfaction]],"")</f>
        <v>4</v>
      </c>
      <c r="R101" s="16">
        <f>IFERROR(tblRFM[[#This Row],[RecommendationLikelihood]],"")</f>
        <v>9</v>
      </c>
      <c r="S101" s="16">
        <f>COUNTIFS(tblTransactions[CustomerID],A101)</f>
        <v>9</v>
      </c>
      <c r="T101" s="18" t="str">
        <f>IFERROR(INDEX(tblClean[DiscountSensitivity],MATCH(A101,tblClean[CustomerID],0)),"")</f>
        <v>Medium</v>
      </c>
    </row>
    <row r="102" spans="1:20" ht="15" customHeight="1" x14ac:dyDescent="0.3">
      <c r="A102" s="19" t="str">
        <f>tblRFM[[#This Row],[CustomerID]]</f>
        <v>C0100</v>
      </c>
      <c r="B102" s="19" t="str">
        <f>tblRFM[[#This Row],[Name]]</f>
        <v>Poonam Solanki</v>
      </c>
      <c r="C102" s="18" t="str">
        <f>IFERROR(INDEX(tblClean[Gender],MATCH(A102,tblClean[CustomerID],0)),"")</f>
        <v>Female</v>
      </c>
      <c r="D102" s="19" t="str">
        <f>tblRFM[[#This Row],[AgeGroup]]</f>
        <v>&lt;25</v>
      </c>
      <c r="E102" s="19" t="str">
        <f>tblRFM[[#This Row],[City/Region]]</f>
        <v>Ahmedabad</v>
      </c>
      <c r="F102" s="19" t="str">
        <f>tblRFM[[#This Row],[IncomeBracket]]</f>
        <v>High</v>
      </c>
      <c r="G102" s="19" t="str">
        <f>tblRFM[[#This Row],[CustomerType]]</f>
        <v>Returning</v>
      </c>
      <c r="H102" s="19" t="str">
        <f>tblRFM[[#This Row],[EngagementLevel]]</f>
        <v>High</v>
      </c>
      <c r="I102" s="19" t="str">
        <f ca="1">tblRFM[[#This Row],[CustomerSegment]]</f>
        <v>General</v>
      </c>
      <c r="J102" s="19" t="str">
        <f>tblRFM[[#This Row],[ProductPreference]]</f>
        <v>Electronics</v>
      </c>
      <c r="K102" s="18" t="str">
        <f>IFERROR(INDEX(tblClean[PurchaseChannel],MATCH(A102,tblClean[CustomerID],0)),"")</f>
        <v>Online</v>
      </c>
      <c r="L102" s="23">
        <f ca="1">tblRFM[[#This Row],[RFM_Recency]]</f>
        <v>85</v>
      </c>
      <c r="M102" s="23">
        <f>tblRFM[[#This Row],[RFM_Frequency]]</f>
        <v>14</v>
      </c>
      <c r="N102" s="23">
        <f>tblRFM[[#This Row],[RFM_Monetary]]</f>
        <v>45840</v>
      </c>
      <c r="O102" s="19" t="str">
        <f ca="1">tblRFM[[#This Row],[RFM_Score]]</f>
        <v>354</v>
      </c>
      <c r="P102" s="19">
        <f>IFERROR(tblRFM[[#This Row],[SatisfactionIndex]],"")</f>
        <v>2.25</v>
      </c>
      <c r="Q102" s="19">
        <f>IFERROR(tblRFM[[#This Row],[Satisfaction]],"")</f>
        <v>2</v>
      </c>
      <c r="R102" s="19">
        <f>IFERROR(tblRFM[[#This Row],[RecommendationLikelihood]],"")</f>
        <v>5</v>
      </c>
      <c r="S102" s="19">
        <f>COUNTIFS(tblTransactions[CustomerID],A102)</f>
        <v>14</v>
      </c>
      <c r="T102" s="18" t="str">
        <f>IFERROR(INDEX(tblClean[DiscountSensitivity],MATCH(A102,tblClean[CustomerID],0)),"")</f>
        <v>Low</v>
      </c>
    </row>
    <row r="103" spans="1:20" ht="15" customHeight="1" x14ac:dyDescent="0.3">
      <c r="A103" s="16" t="str">
        <f>tblRFM[[#This Row],[CustomerID]]</f>
        <v>C0101</v>
      </c>
      <c r="B103" s="16" t="str">
        <f>tblRFM[[#This Row],[Name]]</f>
        <v>Rahul Verma</v>
      </c>
      <c r="C103" s="18" t="str">
        <f>IFERROR(INDEX(tblClean[Gender],MATCH(A103,tblClean[CustomerID],0)),"")</f>
        <v>Male</v>
      </c>
      <c r="D103" s="16" t="str">
        <f>tblRFM[[#This Row],[AgeGroup]]</f>
        <v>&lt;25</v>
      </c>
      <c r="E103" s="16" t="str">
        <f>tblRFM[[#This Row],[City/Region]]</f>
        <v>Jaipur</v>
      </c>
      <c r="F103" s="16" t="str">
        <f>tblRFM[[#This Row],[IncomeBracket]]</f>
        <v>High</v>
      </c>
      <c r="G103" s="16" t="str">
        <f>tblRFM[[#This Row],[CustomerType]]</f>
        <v>New</v>
      </c>
      <c r="H103" s="16" t="str">
        <f>tblRFM[[#This Row],[EngagementLevel]]</f>
        <v>High</v>
      </c>
      <c r="I103" s="16" t="str">
        <f ca="1">tblRFM[[#This Row],[CustomerSegment]]</f>
        <v>High Value</v>
      </c>
      <c r="J103" s="16" t="str">
        <f>tblRFM[[#This Row],[ProductPreference]]</f>
        <v>Grocery</v>
      </c>
      <c r="K103" s="18" t="str">
        <f>IFERROR(INDEX(tblClean[PurchaseChannel],MATCH(A103,tblClean[CustomerID],0)),"")</f>
        <v>Online</v>
      </c>
      <c r="L103" s="22">
        <f ca="1">tblRFM[[#This Row],[RFM_Recency]]</f>
        <v>361</v>
      </c>
      <c r="M103" s="22">
        <f>tblRFM[[#This Row],[RFM_Frequency]]</f>
        <v>9</v>
      </c>
      <c r="N103" s="22">
        <f>tblRFM[[#This Row],[RFM_Monetary]]</f>
        <v>121865</v>
      </c>
      <c r="O103" s="16" t="str">
        <f ca="1">tblRFM[[#This Row],[RFM_Score]]</f>
        <v>155</v>
      </c>
      <c r="P103" s="16">
        <f>IFERROR(tblRFM[[#This Row],[SatisfactionIndex]],"")</f>
        <v>2.75</v>
      </c>
      <c r="Q103" s="16">
        <f>IFERROR(tblRFM[[#This Row],[Satisfaction]],"")</f>
        <v>2</v>
      </c>
      <c r="R103" s="16">
        <f>IFERROR(tblRFM[[#This Row],[RecommendationLikelihood]],"")</f>
        <v>7</v>
      </c>
      <c r="S103" s="16">
        <f>COUNTIFS(tblTransactions[CustomerID],A103)</f>
        <v>9</v>
      </c>
      <c r="T103" s="18" t="str">
        <f>IFERROR(INDEX(tblClean[DiscountSensitivity],MATCH(A103,tblClean[CustomerID],0)),"")</f>
        <v>Medium</v>
      </c>
    </row>
    <row r="104" spans="1:20" ht="15" customHeight="1" x14ac:dyDescent="0.3">
      <c r="A104" s="19" t="str">
        <f>tblRFM[[#This Row],[CustomerID]]</f>
        <v>C0102</v>
      </c>
      <c r="B104" s="19" t="str">
        <f>tblRFM[[#This Row],[Name]]</f>
        <v>Ravi Kumar</v>
      </c>
      <c r="C104" s="18" t="str">
        <f>IFERROR(INDEX(tblClean[Gender],MATCH(A104,tblClean[CustomerID],0)),"")</f>
        <v>Male</v>
      </c>
      <c r="D104" s="19" t="str">
        <f>tblRFM[[#This Row],[AgeGroup]]</f>
        <v>55+</v>
      </c>
      <c r="E104" s="19" t="str">
        <f>tblRFM[[#This Row],[City/Region]]</f>
        <v>Pune</v>
      </c>
      <c r="F104" s="19" t="str">
        <f>tblRFM[[#This Row],[IncomeBracket]]</f>
        <v>High</v>
      </c>
      <c r="G104" s="19" t="str">
        <f>tblRFM[[#This Row],[CustomerType]]</f>
        <v>New</v>
      </c>
      <c r="H104" s="19" t="str">
        <f>tblRFM[[#This Row],[EngagementLevel]]</f>
        <v>Low</v>
      </c>
      <c r="I104" s="19" t="str">
        <f ca="1">tblRFM[[#This Row],[CustomerSegment]]</f>
        <v>High Value</v>
      </c>
      <c r="J104" s="19" t="str">
        <f>tblRFM[[#This Row],[ProductPreference]]</f>
        <v>Beauty</v>
      </c>
      <c r="K104" s="18" t="str">
        <f>IFERROR(INDEX(tblClean[PurchaseChannel],MATCH(A104,tblClean[CustomerID],0)),"")</f>
        <v>Offline</v>
      </c>
      <c r="L104" s="23">
        <f ca="1">tblRFM[[#This Row],[RFM_Recency]]</f>
        <v>161</v>
      </c>
      <c r="M104" s="23">
        <f>tblRFM[[#This Row],[RFM_Frequency]]</f>
        <v>3</v>
      </c>
      <c r="N104" s="23">
        <f>tblRFM[[#This Row],[RFM_Monetary]]</f>
        <v>52683</v>
      </c>
      <c r="O104" s="19" t="str">
        <f ca="1">tblRFM[[#This Row],[RFM_Score]]</f>
        <v>225</v>
      </c>
      <c r="P104" s="19">
        <f>IFERROR(tblRFM[[#This Row],[SatisfactionIndex]],"")</f>
        <v>2.5</v>
      </c>
      <c r="Q104" s="19">
        <f>IFERROR(tblRFM[[#This Row],[Satisfaction]],"")</f>
        <v>1</v>
      </c>
      <c r="R104" s="19">
        <f>IFERROR(tblRFM[[#This Row],[RecommendationLikelihood]],"")</f>
        <v>8</v>
      </c>
      <c r="S104" s="19">
        <f>COUNTIFS(tblTransactions[CustomerID],A104)</f>
        <v>3</v>
      </c>
      <c r="T104" s="18" t="str">
        <f>IFERROR(INDEX(tblClean[DiscountSensitivity],MATCH(A104,tblClean[CustomerID],0)),"")</f>
        <v>High</v>
      </c>
    </row>
    <row r="105" spans="1:20" ht="15" customHeight="1" x14ac:dyDescent="0.3">
      <c r="A105" s="16" t="str">
        <f>tblRFM[[#This Row],[CustomerID]]</f>
        <v>C0103</v>
      </c>
      <c r="B105" s="16" t="str">
        <f>tblRFM[[#This Row],[Name]]</f>
        <v>Geeta Verma</v>
      </c>
      <c r="C105" s="18" t="str">
        <f>IFERROR(INDEX(tblClean[Gender],MATCH(A105,tblClean[CustomerID],0)),"")</f>
        <v>Female</v>
      </c>
      <c r="D105" s="16" t="str">
        <f>tblRFM[[#This Row],[AgeGroup]]</f>
        <v>25-39</v>
      </c>
      <c r="E105" s="16" t="str">
        <f>tblRFM[[#This Row],[City/Region]]</f>
        <v>Bangalore</v>
      </c>
      <c r="F105" s="16" t="str">
        <f>tblRFM[[#This Row],[IncomeBracket]]</f>
        <v>High</v>
      </c>
      <c r="G105" s="16" t="str">
        <f>tblRFM[[#This Row],[CustomerType]]</f>
        <v>Returning</v>
      </c>
      <c r="H105" s="16" t="str">
        <f>tblRFM[[#This Row],[EngagementLevel]]</f>
        <v>Low</v>
      </c>
      <c r="I105" s="16" t="str">
        <f ca="1">tblRFM[[#This Row],[CustomerSegment]]</f>
        <v>High Value</v>
      </c>
      <c r="J105" s="16" t="str">
        <f>tblRFM[[#This Row],[ProductPreference]]</f>
        <v>Sports</v>
      </c>
      <c r="K105" s="18" t="str">
        <f>IFERROR(INDEX(tblClean[PurchaseChannel],MATCH(A105,tblClean[CustomerID],0)),"")</f>
        <v>Offline</v>
      </c>
      <c r="L105" s="22">
        <f ca="1">tblRFM[[#This Row],[RFM_Recency]]</f>
        <v>142</v>
      </c>
      <c r="M105" s="22">
        <f>tblRFM[[#This Row],[RFM_Frequency]]</f>
        <v>10</v>
      </c>
      <c r="N105" s="22">
        <f>tblRFM[[#This Row],[RFM_Monetary]]</f>
        <v>124479</v>
      </c>
      <c r="O105" s="16" t="str">
        <f ca="1">tblRFM[[#This Row],[RFM_Score]]</f>
        <v>255</v>
      </c>
      <c r="P105" s="16">
        <f>IFERROR(tblRFM[[#This Row],[SatisfactionIndex]],"")</f>
        <v>4.25</v>
      </c>
      <c r="Q105" s="16">
        <f>IFERROR(tblRFM[[#This Row],[Satisfaction]],"")</f>
        <v>5</v>
      </c>
      <c r="R105" s="16">
        <f>IFERROR(tblRFM[[#This Row],[RecommendationLikelihood]],"")</f>
        <v>7</v>
      </c>
      <c r="S105" s="16">
        <f>COUNTIFS(tblTransactions[CustomerID],A105)</f>
        <v>10</v>
      </c>
      <c r="T105" s="18" t="str">
        <f>IFERROR(INDEX(tblClean[DiscountSensitivity],MATCH(A105,tblClean[CustomerID],0)),"")</f>
        <v>High</v>
      </c>
    </row>
    <row r="106" spans="1:20" ht="15" customHeight="1" x14ac:dyDescent="0.3">
      <c r="A106" s="19" t="str">
        <f>tblRFM[[#This Row],[CustomerID]]</f>
        <v>C0104</v>
      </c>
      <c r="B106" s="19" t="str">
        <f>tblRFM[[#This Row],[Name]]</f>
        <v>Sneha Jain</v>
      </c>
      <c r="C106" s="18" t="str">
        <f>IFERROR(INDEX(tblClean[Gender],MATCH(A106,tblClean[CustomerID],0)),"")</f>
        <v>Female</v>
      </c>
      <c r="D106" s="19" t="str">
        <f>tblRFM[[#This Row],[AgeGroup]]</f>
        <v>55+</v>
      </c>
      <c r="E106" s="19" t="str">
        <f>tblRFM[[#This Row],[City/Region]]</f>
        <v>Coimbatore</v>
      </c>
      <c r="F106" s="19" t="str">
        <f>tblRFM[[#This Row],[IncomeBracket]]</f>
        <v>High</v>
      </c>
      <c r="G106" s="19" t="str">
        <f>tblRFM[[#This Row],[CustomerType]]</f>
        <v>New</v>
      </c>
      <c r="H106" s="19" t="str">
        <f>tblRFM[[#This Row],[EngagementLevel]]</f>
        <v>High</v>
      </c>
      <c r="I106" s="19" t="str">
        <f ca="1">tblRFM[[#This Row],[CustomerSegment]]</f>
        <v>At Risk</v>
      </c>
      <c r="J106" s="19" t="str">
        <f>tblRFM[[#This Row],[ProductPreference]]</f>
        <v>Home Decor</v>
      </c>
      <c r="K106" s="18" t="str">
        <f>IFERROR(INDEX(tblClean[PurchaseChannel],MATCH(A106,tblClean[CustomerID],0)),"")</f>
        <v>Online</v>
      </c>
      <c r="L106" s="23">
        <f ca="1">tblRFM[[#This Row],[RFM_Recency]]</f>
        <v>229</v>
      </c>
      <c r="M106" s="23">
        <f>tblRFM[[#This Row],[RFM_Frequency]]</f>
        <v>2</v>
      </c>
      <c r="N106" s="23">
        <f>tblRFM[[#This Row],[RFM_Monetary]]</f>
        <v>36179</v>
      </c>
      <c r="O106" s="19" t="str">
        <f ca="1">tblRFM[[#This Row],[RFM_Score]]</f>
        <v>124</v>
      </c>
      <c r="P106" s="19">
        <f>IFERROR(tblRFM[[#This Row],[SatisfactionIndex]],"")</f>
        <v>1.5</v>
      </c>
      <c r="Q106" s="19">
        <f>IFERROR(tblRFM[[#This Row],[Satisfaction]],"")</f>
        <v>1</v>
      </c>
      <c r="R106" s="19">
        <f>IFERROR(tblRFM[[#This Row],[RecommendationLikelihood]],"")</f>
        <v>4</v>
      </c>
      <c r="S106" s="19">
        <f>COUNTIFS(tblTransactions[CustomerID],A106)</f>
        <v>2</v>
      </c>
      <c r="T106" s="18" t="str">
        <f>IFERROR(INDEX(tblClean[DiscountSensitivity],MATCH(A106,tblClean[CustomerID],0)),"")</f>
        <v>Low</v>
      </c>
    </row>
    <row r="107" spans="1:20" ht="15" customHeight="1" x14ac:dyDescent="0.3">
      <c r="A107" s="16" t="str">
        <f>tblRFM[[#This Row],[CustomerID]]</f>
        <v>C0105</v>
      </c>
      <c r="B107" s="16" t="str">
        <f>tblRFM[[#This Row],[Name]]</f>
        <v>Sneha Nair</v>
      </c>
      <c r="C107" s="18" t="str">
        <f>IFERROR(INDEX(tblClean[Gender],MATCH(A107,tblClean[CustomerID],0)),"")</f>
        <v>Female</v>
      </c>
      <c r="D107" s="16" t="str">
        <f>tblRFM[[#This Row],[AgeGroup]]</f>
        <v>40-54</v>
      </c>
      <c r="E107" s="16" t="str">
        <f>tblRFM[[#This Row],[City/Region]]</f>
        <v>Indore</v>
      </c>
      <c r="F107" s="16" t="str">
        <f>tblRFM[[#This Row],[IncomeBracket]]</f>
        <v>Mid</v>
      </c>
      <c r="G107" s="16" t="str">
        <f>tblRFM[[#This Row],[CustomerType]]</f>
        <v>Returning</v>
      </c>
      <c r="H107" s="16" t="str">
        <f>tblRFM[[#This Row],[EngagementLevel]]</f>
        <v>High</v>
      </c>
      <c r="I107" s="16" t="str">
        <f ca="1">tblRFM[[#This Row],[CustomerSegment]]</f>
        <v>High Value</v>
      </c>
      <c r="J107" s="16" t="str">
        <f>tblRFM[[#This Row],[ProductPreference]]</f>
        <v>Sports</v>
      </c>
      <c r="K107" s="18" t="str">
        <f>IFERROR(INDEX(tblClean[PurchaseChannel],MATCH(A107,tblClean[CustomerID],0)),"")</f>
        <v>Online</v>
      </c>
      <c r="L107" s="22">
        <f ca="1">tblRFM[[#This Row],[RFM_Recency]]</f>
        <v>46</v>
      </c>
      <c r="M107" s="22">
        <f>tblRFM[[#This Row],[RFM_Frequency]]</f>
        <v>8</v>
      </c>
      <c r="N107" s="22">
        <f>tblRFM[[#This Row],[RFM_Monetary]]</f>
        <v>84971</v>
      </c>
      <c r="O107" s="16" t="str">
        <f ca="1">tblRFM[[#This Row],[RFM_Score]]</f>
        <v>455</v>
      </c>
      <c r="P107" s="16">
        <f>IFERROR(tblRFM[[#This Row],[SatisfactionIndex]],"")</f>
        <v>4</v>
      </c>
      <c r="Q107" s="16">
        <f>IFERROR(tblRFM[[#This Row],[Satisfaction]],"")</f>
        <v>3</v>
      </c>
      <c r="R107" s="16">
        <f>IFERROR(tblRFM[[#This Row],[RecommendationLikelihood]],"")</f>
        <v>10</v>
      </c>
      <c r="S107" s="16">
        <f>COUNTIFS(tblTransactions[CustomerID],A107)</f>
        <v>8</v>
      </c>
      <c r="T107" s="18" t="str">
        <f>IFERROR(INDEX(tblClean[DiscountSensitivity],MATCH(A107,tblClean[CustomerID],0)),"")</f>
        <v>High</v>
      </c>
    </row>
    <row r="108" spans="1:20" ht="15" customHeight="1" x14ac:dyDescent="0.3">
      <c r="A108" s="19" t="str">
        <f>tblRFM[[#This Row],[CustomerID]]</f>
        <v>C0106</v>
      </c>
      <c r="B108" s="19" t="str">
        <f>tblRFM[[#This Row],[Name]]</f>
        <v>Kunal Gupta</v>
      </c>
      <c r="C108" s="18" t="str">
        <f>IFERROR(INDEX(tblClean[Gender],MATCH(A108,tblClean[CustomerID],0)),"")</f>
        <v>Male</v>
      </c>
      <c r="D108" s="19" t="str">
        <f>tblRFM[[#This Row],[AgeGroup]]</f>
        <v>25-39</v>
      </c>
      <c r="E108" s="19" t="str">
        <f>tblRFM[[#This Row],[City/Region]]</f>
        <v>Nagpur</v>
      </c>
      <c r="F108" s="19" t="str">
        <f>tblRFM[[#This Row],[IncomeBracket]]</f>
        <v>High</v>
      </c>
      <c r="G108" s="19" t="str">
        <f>tblRFM[[#This Row],[CustomerType]]</f>
        <v>Returning</v>
      </c>
      <c r="H108" s="19" t="str">
        <f>tblRFM[[#This Row],[EngagementLevel]]</f>
        <v>Low</v>
      </c>
      <c r="I108" s="19" t="str">
        <f ca="1">tblRFM[[#This Row],[CustomerSegment]]</f>
        <v>At Risk</v>
      </c>
      <c r="J108" s="19" t="str">
        <f>tblRFM[[#This Row],[ProductPreference]]</f>
        <v>Fashion</v>
      </c>
      <c r="K108" s="18" t="str">
        <f>IFERROR(INDEX(tblClean[PurchaseChannel],MATCH(A108,tblClean[CustomerID],0)),"")</f>
        <v>Online</v>
      </c>
      <c r="L108" s="23">
        <f ca="1">tblRFM[[#This Row],[RFM_Recency]]</f>
        <v>361</v>
      </c>
      <c r="M108" s="23">
        <f>tblRFM[[#This Row],[RFM_Frequency]]</f>
        <v>1</v>
      </c>
      <c r="N108" s="23">
        <f>tblRFM[[#This Row],[RFM_Monetary]]</f>
        <v>9906</v>
      </c>
      <c r="O108" s="19" t="str">
        <f ca="1">tblRFM[[#This Row],[RFM_Score]]</f>
        <v>112</v>
      </c>
      <c r="P108" s="19">
        <f>IFERROR(tblRFM[[#This Row],[SatisfactionIndex]],"")</f>
        <v>2</v>
      </c>
      <c r="Q108" s="19">
        <f>IFERROR(tblRFM[[#This Row],[Satisfaction]],"")</f>
        <v>1</v>
      </c>
      <c r="R108" s="19">
        <f>IFERROR(tblRFM[[#This Row],[RecommendationLikelihood]],"")</f>
        <v>6</v>
      </c>
      <c r="S108" s="19">
        <f>COUNTIFS(tblTransactions[CustomerID],A108)</f>
        <v>1</v>
      </c>
      <c r="T108" s="18" t="str">
        <f>IFERROR(INDEX(tblClean[DiscountSensitivity],MATCH(A108,tblClean[CustomerID],0)),"")</f>
        <v>Low</v>
      </c>
    </row>
    <row r="109" spans="1:20" ht="15" customHeight="1" x14ac:dyDescent="0.3">
      <c r="A109" s="16" t="str">
        <f>tblRFM[[#This Row],[CustomerID]]</f>
        <v>C0107</v>
      </c>
      <c r="B109" s="16" t="str">
        <f>tblRFM[[#This Row],[Name]]</f>
        <v>Aarti Reddy</v>
      </c>
      <c r="C109" s="18" t="str">
        <f>IFERROR(INDEX(tblClean[Gender],MATCH(A109,tblClean[CustomerID],0)),"")</f>
        <v>Female</v>
      </c>
      <c r="D109" s="16" t="str">
        <f>tblRFM[[#This Row],[AgeGroup]]</f>
        <v>25-39</v>
      </c>
      <c r="E109" s="16" t="str">
        <f>tblRFM[[#This Row],[City/Region]]</f>
        <v>Patna</v>
      </c>
      <c r="F109" s="16" t="str">
        <f>tblRFM[[#This Row],[IncomeBracket]]</f>
        <v>High</v>
      </c>
      <c r="G109" s="16" t="str">
        <f>tblRFM[[#This Row],[CustomerType]]</f>
        <v>New</v>
      </c>
      <c r="H109" s="16" t="str">
        <f>tblRFM[[#This Row],[EngagementLevel]]</f>
        <v>Medium</v>
      </c>
      <c r="I109" s="16" t="str">
        <f ca="1">tblRFM[[#This Row],[CustomerSegment]]</f>
        <v>At Risk</v>
      </c>
      <c r="J109" s="16" t="str">
        <f>tblRFM[[#This Row],[ProductPreference]]</f>
        <v>Electronics</v>
      </c>
      <c r="K109" s="18" t="str">
        <f>IFERROR(INDEX(tblClean[PurchaseChannel],MATCH(A109,tblClean[CustomerID],0)),"")</f>
        <v>Offline</v>
      </c>
      <c r="L109" s="22">
        <f ca="1">tblRFM[[#This Row],[RFM_Recency]]</f>
        <v>251</v>
      </c>
      <c r="M109" s="22">
        <f>tblRFM[[#This Row],[RFM_Frequency]]</f>
        <v>2</v>
      </c>
      <c r="N109" s="22">
        <f>tblRFM[[#This Row],[RFM_Monetary]]</f>
        <v>33750</v>
      </c>
      <c r="O109" s="16" t="str">
        <f ca="1">tblRFM[[#This Row],[RFM_Score]]</f>
        <v>124</v>
      </c>
      <c r="P109" s="16">
        <f>IFERROR(tblRFM[[#This Row],[SatisfactionIndex]],"")</f>
        <v>3.5</v>
      </c>
      <c r="Q109" s="16">
        <f>IFERROR(tblRFM[[#This Row],[Satisfaction]],"")</f>
        <v>3</v>
      </c>
      <c r="R109" s="16">
        <f>IFERROR(tblRFM[[#This Row],[RecommendationLikelihood]],"")</f>
        <v>8</v>
      </c>
      <c r="S109" s="16">
        <f>COUNTIFS(tblTransactions[CustomerID],A109)</f>
        <v>2</v>
      </c>
      <c r="T109" s="18" t="str">
        <f>IFERROR(INDEX(tblClean[DiscountSensitivity],MATCH(A109,tblClean[CustomerID],0)),"")</f>
        <v>Low</v>
      </c>
    </row>
    <row r="110" spans="1:20" ht="15" customHeight="1" x14ac:dyDescent="0.3">
      <c r="A110" s="19" t="str">
        <f>tblRFM[[#This Row],[CustomerID]]</f>
        <v>C0108</v>
      </c>
      <c r="B110" s="19" t="str">
        <f>tblRFM[[#This Row],[Name]]</f>
        <v>Divya Singh</v>
      </c>
      <c r="C110" s="18" t="str">
        <f>IFERROR(INDEX(tblClean[Gender],MATCH(A110,tblClean[CustomerID],0)),"")</f>
        <v>Female</v>
      </c>
      <c r="D110" s="19" t="str">
        <f>tblRFM[[#This Row],[AgeGroup]]</f>
        <v>55+</v>
      </c>
      <c r="E110" s="19" t="str">
        <f>tblRFM[[#This Row],[City/Region]]</f>
        <v>Bhopal</v>
      </c>
      <c r="F110" s="19" t="str">
        <f>tblRFM[[#This Row],[IncomeBracket]]</f>
        <v>High</v>
      </c>
      <c r="G110" s="19" t="str">
        <f>tblRFM[[#This Row],[CustomerType]]</f>
        <v>New</v>
      </c>
      <c r="H110" s="19" t="str">
        <f>tblRFM[[#This Row],[EngagementLevel]]</f>
        <v>Low</v>
      </c>
      <c r="I110" s="19" t="str">
        <f ca="1">tblRFM[[#This Row],[CustomerSegment]]</f>
        <v>High Value</v>
      </c>
      <c r="J110" s="19" t="str">
        <f>tblRFM[[#This Row],[ProductPreference]]</f>
        <v>Sports</v>
      </c>
      <c r="K110" s="18" t="str">
        <f>IFERROR(INDEX(tblClean[PurchaseChannel],MATCH(A110,tblClean[CustomerID],0)),"")</f>
        <v>Offline</v>
      </c>
      <c r="L110" s="23">
        <f ca="1">tblRFM[[#This Row],[RFM_Recency]]</f>
        <v>299</v>
      </c>
      <c r="M110" s="23">
        <f>tblRFM[[#This Row],[RFM_Frequency]]</f>
        <v>8</v>
      </c>
      <c r="N110" s="23">
        <f>tblRFM[[#This Row],[RFM_Monetary]]</f>
        <v>141365</v>
      </c>
      <c r="O110" s="19" t="str">
        <f ca="1">tblRFM[[#This Row],[RFM_Score]]</f>
        <v>155</v>
      </c>
      <c r="P110" s="19">
        <f>IFERROR(tblRFM[[#This Row],[SatisfactionIndex]],"")</f>
        <v>2.5</v>
      </c>
      <c r="Q110" s="19">
        <f>IFERROR(tblRFM[[#This Row],[Satisfaction]],"")</f>
        <v>1</v>
      </c>
      <c r="R110" s="19">
        <f>IFERROR(tblRFM[[#This Row],[RecommendationLikelihood]],"")</f>
        <v>8</v>
      </c>
      <c r="S110" s="19">
        <f>COUNTIFS(tblTransactions[CustomerID],A110)</f>
        <v>8</v>
      </c>
      <c r="T110" s="18" t="str">
        <f>IFERROR(INDEX(tblClean[DiscountSensitivity],MATCH(A110,tblClean[CustomerID],0)),"")</f>
        <v>Low</v>
      </c>
    </row>
    <row r="111" spans="1:20" ht="15" customHeight="1" x14ac:dyDescent="0.3">
      <c r="A111" s="16" t="str">
        <f>tblRFM[[#This Row],[CustomerID]]</f>
        <v>C0109</v>
      </c>
      <c r="B111" s="16" t="str">
        <f>tblRFM[[#This Row],[Name]]</f>
        <v>Kunal Iyer</v>
      </c>
      <c r="C111" s="18" t="str">
        <f>IFERROR(INDEX(tblClean[Gender],MATCH(A111,tblClean[CustomerID],0)),"")</f>
        <v>Male</v>
      </c>
      <c r="D111" s="16" t="str">
        <f>tblRFM[[#This Row],[AgeGroup]]</f>
        <v>40-54</v>
      </c>
      <c r="E111" s="16" t="str">
        <f>tblRFM[[#This Row],[City/Region]]</f>
        <v>Bhopal</v>
      </c>
      <c r="F111" s="16" t="str">
        <f>tblRFM[[#This Row],[IncomeBracket]]</f>
        <v>High</v>
      </c>
      <c r="G111" s="16" t="str">
        <f>tblRFM[[#This Row],[CustomerType]]</f>
        <v>New</v>
      </c>
      <c r="H111" s="16" t="str">
        <f>tblRFM[[#This Row],[EngagementLevel]]</f>
        <v>High</v>
      </c>
      <c r="I111" s="16" t="str">
        <f ca="1">tblRFM[[#This Row],[CustomerSegment]]</f>
        <v>Loyal</v>
      </c>
      <c r="J111" s="16" t="str">
        <f>tblRFM[[#This Row],[ProductPreference]]</f>
        <v>Sports</v>
      </c>
      <c r="K111" s="18" t="str">
        <f>IFERROR(INDEX(tblClean[PurchaseChannel],MATCH(A111,tblClean[CustomerID],0)),"")</f>
        <v>Online</v>
      </c>
      <c r="L111" s="22">
        <f ca="1">tblRFM[[#This Row],[RFM_Recency]]</f>
        <v>241</v>
      </c>
      <c r="M111" s="22">
        <f>tblRFM[[#This Row],[RFM_Frequency]]</f>
        <v>8</v>
      </c>
      <c r="N111" s="22">
        <f>tblRFM[[#This Row],[RFM_Monetary]]</f>
        <v>118417</v>
      </c>
      <c r="O111" s="16" t="str">
        <f ca="1">tblRFM[[#This Row],[RFM_Score]]</f>
        <v>155</v>
      </c>
      <c r="P111" s="16">
        <f>IFERROR(tblRFM[[#This Row],[SatisfactionIndex]],"")</f>
        <v>5</v>
      </c>
      <c r="Q111" s="16">
        <f>IFERROR(tblRFM[[#This Row],[Satisfaction]],"")</f>
        <v>5</v>
      </c>
      <c r="R111" s="16">
        <f>IFERROR(tblRFM[[#This Row],[RecommendationLikelihood]],"")</f>
        <v>10</v>
      </c>
      <c r="S111" s="16">
        <f>COUNTIFS(tblTransactions[CustomerID],A111)</f>
        <v>8</v>
      </c>
      <c r="T111" s="18" t="str">
        <f>IFERROR(INDEX(tblClean[DiscountSensitivity],MATCH(A111,tblClean[CustomerID],0)),"")</f>
        <v>High</v>
      </c>
    </row>
    <row r="112" spans="1:20" ht="15" customHeight="1" x14ac:dyDescent="0.3">
      <c r="A112" s="19" t="str">
        <f>tblRFM[[#This Row],[CustomerID]]</f>
        <v>C0110</v>
      </c>
      <c r="B112" s="19" t="str">
        <f>tblRFM[[#This Row],[Name]]</f>
        <v>Anil Nair</v>
      </c>
      <c r="C112" s="18" t="str">
        <f>IFERROR(INDEX(tblClean[Gender],MATCH(A112,tblClean[CustomerID],0)),"")</f>
        <v>Male</v>
      </c>
      <c r="D112" s="19" t="str">
        <f>tblRFM[[#This Row],[AgeGroup]]</f>
        <v>40-54</v>
      </c>
      <c r="E112" s="19" t="str">
        <f>tblRFM[[#This Row],[City/Region]]</f>
        <v>Mumbai</v>
      </c>
      <c r="F112" s="19" t="str">
        <f>tblRFM[[#This Row],[IncomeBracket]]</f>
        <v>High</v>
      </c>
      <c r="G112" s="19" t="str">
        <f>tblRFM[[#This Row],[CustomerType]]</f>
        <v>New</v>
      </c>
      <c r="H112" s="19" t="str">
        <f>tblRFM[[#This Row],[EngagementLevel]]</f>
        <v>High</v>
      </c>
      <c r="I112" s="19" t="str">
        <f ca="1">tblRFM[[#This Row],[CustomerSegment]]</f>
        <v>Loyal</v>
      </c>
      <c r="J112" s="19" t="str">
        <f>tblRFM[[#This Row],[ProductPreference]]</f>
        <v>Sports</v>
      </c>
      <c r="K112" s="18" t="str">
        <f>IFERROR(INDEX(tblClean[PurchaseChannel],MATCH(A112,tblClean[CustomerID],0)),"")</f>
        <v>Online</v>
      </c>
      <c r="L112" s="23">
        <f ca="1">tblRFM[[#This Row],[RFM_Recency]]</f>
        <v>50</v>
      </c>
      <c r="M112" s="23">
        <f>tblRFM[[#This Row],[RFM_Frequency]]</f>
        <v>5</v>
      </c>
      <c r="N112" s="23">
        <f>tblRFM[[#This Row],[RFM_Monetary]]</f>
        <v>65096</v>
      </c>
      <c r="O112" s="19" t="str">
        <f ca="1">tblRFM[[#This Row],[RFM_Score]]</f>
        <v>435</v>
      </c>
      <c r="P112" s="19">
        <f>IFERROR(tblRFM[[#This Row],[SatisfactionIndex]],"")</f>
        <v>4.5</v>
      </c>
      <c r="Q112" s="19">
        <f>IFERROR(tblRFM[[#This Row],[Satisfaction]],"")</f>
        <v>4</v>
      </c>
      <c r="R112" s="19">
        <f>IFERROR(tblRFM[[#This Row],[RecommendationLikelihood]],"")</f>
        <v>10</v>
      </c>
      <c r="S112" s="19">
        <f>COUNTIFS(tblTransactions[CustomerID],A112)</f>
        <v>5</v>
      </c>
      <c r="T112" s="18" t="str">
        <f>IFERROR(INDEX(tblClean[DiscountSensitivity],MATCH(A112,tblClean[CustomerID],0)),"")</f>
        <v>Medium</v>
      </c>
    </row>
    <row r="113" spans="1:20" ht="15" customHeight="1" x14ac:dyDescent="0.3">
      <c r="A113" s="16" t="str">
        <f>tblRFM[[#This Row],[CustomerID]]</f>
        <v>C0111</v>
      </c>
      <c r="B113" s="16" t="str">
        <f>tblRFM[[#This Row],[Name]]</f>
        <v>Deepak Sharma</v>
      </c>
      <c r="C113" s="18" t="str">
        <f>IFERROR(INDEX(tblClean[Gender],MATCH(A113,tblClean[CustomerID],0)),"")</f>
        <v>Male</v>
      </c>
      <c r="D113" s="16" t="str">
        <f>tblRFM[[#This Row],[AgeGroup]]</f>
        <v>55+</v>
      </c>
      <c r="E113" s="16" t="str">
        <f>tblRFM[[#This Row],[City/Region]]</f>
        <v>Bhubaneswar</v>
      </c>
      <c r="F113" s="16" t="str">
        <f>tblRFM[[#This Row],[IncomeBracket]]</f>
        <v>Low</v>
      </c>
      <c r="G113" s="16" t="str">
        <f>tblRFM[[#This Row],[CustomerType]]</f>
        <v>New</v>
      </c>
      <c r="H113" s="16" t="str">
        <f>tblRFM[[#This Row],[EngagementLevel]]</f>
        <v>Low</v>
      </c>
      <c r="I113" s="16" t="str">
        <f ca="1">tblRFM[[#This Row],[CustomerSegment]]</f>
        <v>High Value</v>
      </c>
      <c r="J113" s="16" t="str">
        <f>tblRFM[[#This Row],[ProductPreference]]</f>
        <v>Electronics</v>
      </c>
      <c r="K113" s="18" t="str">
        <f>IFERROR(INDEX(tblClean[PurchaseChannel],MATCH(A113,tblClean[CustomerID],0)),"")</f>
        <v>Offline</v>
      </c>
      <c r="L113" s="22">
        <f ca="1">tblRFM[[#This Row],[RFM_Recency]]</f>
        <v>220</v>
      </c>
      <c r="M113" s="22">
        <f>tblRFM[[#This Row],[RFM_Frequency]]</f>
        <v>10</v>
      </c>
      <c r="N113" s="22">
        <f>tblRFM[[#This Row],[RFM_Monetary]]</f>
        <v>148743</v>
      </c>
      <c r="O113" s="16" t="str">
        <f ca="1">tblRFM[[#This Row],[RFM_Score]]</f>
        <v>155</v>
      </c>
      <c r="P113" s="16">
        <f>IFERROR(tblRFM[[#This Row],[SatisfactionIndex]],"")</f>
        <v>2</v>
      </c>
      <c r="Q113" s="16">
        <f>IFERROR(tblRFM[[#This Row],[Satisfaction]],"")</f>
        <v>1</v>
      </c>
      <c r="R113" s="16">
        <f>IFERROR(tblRFM[[#This Row],[RecommendationLikelihood]],"")</f>
        <v>6</v>
      </c>
      <c r="S113" s="16">
        <f>COUNTIFS(tblTransactions[CustomerID],A113)</f>
        <v>10</v>
      </c>
      <c r="T113" s="18" t="str">
        <f>IFERROR(INDEX(tblClean[DiscountSensitivity],MATCH(A113,tblClean[CustomerID],0)),"")</f>
        <v>Medium</v>
      </c>
    </row>
    <row r="114" spans="1:20" ht="15" customHeight="1" x14ac:dyDescent="0.3">
      <c r="A114" s="19" t="str">
        <f>tblRFM[[#This Row],[CustomerID]]</f>
        <v>C0112</v>
      </c>
      <c r="B114" s="19" t="str">
        <f>tblRFM[[#This Row],[Name]]</f>
        <v>Suresh Kumar</v>
      </c>
      <c r="C114" s="18" t="str">
        <f>IFERROR(INDEX(tblClean[Gender],MATCH(A114,tblClean[CustomerID],0)),"")</f>
        <v>Male</v>
      </c>
      <c r="D114" s="19" t="str">
        <f>tblRFM[[#This Row],[AgeGroup]]</f>
        <v>25-39</v>
      </c>
      <c r="E114" s="19" t="str">
        <f>tblRFM[[#This Row],[City/Region]]</f>
        <v>Patna</v>
      </c>
      <c r="F114" s="19" t="str">
        <f>tblRFM[[#This Row],[IncomeBracket]]</f>
        <v>Mid</v>
      </c>
      <c r="G114" s="19" t="str">
        <f>tblRFM[[#This Row],[CustomerType]]</f>
        <v>New</v>
      </c>
      <c r="H114" s="19" t="str">
        <f>tblRFM[[#This Row],[EngagementLevel]]</f>
        <v>High</v>
      </c>
      <c r="I114" s="19" t="str">
        <f ca="1">tblRFM[[#This Row],[CustomerSegment]]</f>
        <v>At Risk</v>
      </c>
      <c r="J114" s="19" t="str">
        <f>tblRFM[[#This Row],[ProductPreference]]</f>
        <v>Electronics</v>
      </c>
      <c r="K114" s="18" t="str">
        <f>IFERROR(INDEX(tblClean[PurchaseChannel],MATCH(A114,tblClean[CustomerID],0)),"")</f>
        <v>Online</v>
      </c>
      <c r="L114" s="23">
        <f ca="1">tblRFM[[#This Row],[RFM_Recency]]</f>
        <v>96</v>
      </c>
      <c r="M114" s="23">
        <f>tblRFM[[#This Row],[RFM_Frequency]]</f>
        <v>2</v>
      </c>
      <c r="N114" s="23">
        <f>tblRFM[[#This Row],[RFM_Monetary]]</f>
        <v>34888</v>
      </c>
      <c r="O114" s="19" t="str">
        <f ca="1">tblRFM[[#This Row],[RFM_Score]]</f>
        <v>224</v>
      </c>
      <c r="P114" s="19">
        <f>IFERROR(tblRFM[[#This Row],[SatisfactionIndex]],"")</f>
        <v>3.25</v>
      </c>
      <c r="Q114" s="19">
        <f>IFERROR(tblRFM[[#This Row],[Satisfaction]],"")</f>
        <v>4</v>
      </c>
      <c r="R114" s="19">
        <f>IFERROR(tblRFM[[#This Row],[RecommendationLikelihood]],"")</f>
        <v>5</v>
      </c>
      <c r="S114" s="19">
        <f>COUNTIFS(tblTransactions[CustomerID],A114)</f>
        <v>2</v>
      </c>
      <c r="T114" s="18" t="str">
        <f>IFERROR(INDEX(tblClean[DiscountSensitivity],MATCH(A114,tblClean[CustomerID],0)),"")</f>
        <v>Medium</v>
      </c>
    </row>
    <row r="115" spans="1:20" ht="15" customHeight="1" x14ac:dyDescent="0.3">
      <c r="A115" s="16" t="str">
        <f>tblRFM[[#This Row],[CustomerID]]</f>
        <v>C0113</v>
      </c>
      <c r="B115" s="16" t="str">
        <f>tblRFM[[#This Row],[Name]]</f>
        <v>Deepak Patel</v>
      </c>
      <c r="C115" s="18" t="str">
        <f>IFERROR(INDEX(tblClean[Gender],MATCH(A115,tblClean[CustomerID],0)),"")</f>
        <v>Male</v>
      </c>
      <c r="D115" s="16" t="str">
        <f>tblRFM[[#This Row],[AgeGroup]]</f>
        <v>55+</v>
      </c>
      <c r="E115" s="16" t="str">
        <f>tblRFM[[#This Row],[City/Region]]</f>
        <v>Pune</v>
      </c>
      <c r="F115" s="16" t="str">
        <f>tblRFM[[#This Row],[IncomeBracket]]</f>
        <v>High</v>
      </c>
      <c r="G115" s="16" t="str">
        <f>tblRFM[[#This Row],[CustomerType]]</f>
        <v>Returning</v>
      </c>
      <c r="H115" s="16" t="str">
        <f>tblRFM[[#This Row],[EngagementLevel]]</f>
        <v>High</v>
      </c>
      <c r="I115" s="16" t="str">
        <f ca="1">tblRFM[[#This Row],[CustomerSegment]]</f>
        <v>At Risk</v>
      </c>
      <c r="J115" s="16" t="str">
        <f>tblRFM[[#This Row],[ProductPreference]]</f>
        <v>Fashion</v>
      </c>
      <c r="K115" s="18" t="str">
        <f>IFERROR(INDEX(tblClean[PurchaseChannel],MATCH(A115,tblClean[CustomerID],0)),"")</f>
        <v>Offline</v>
      </c>
      <c r="L115" s="22">
        <f ca="1">tblRFM[[#This Row],[RFM_Recency]]</f>
        <v>316</v>
      </c>
      <c r="M115" s="22">
        <f>tblRFM[[#This Row],[RFM_Frequency]]</f>
        <v>1</v>
      </c>
      <c r="N115" s="22">
        <f>tblRFM[[#This Row],[RFM_Monetary]]</f>
        <v>20751</v>
      </c>
      <c r="O115" s="16" t="str">
        <f ca="1">tblRFM[[#This Row],[RFM_Score]]</f>
        <v>113</v>
      </c>
      <c r="P115" s="16">
        <f>IFERROR(tblRFM[[#This Row],[SatisfactionIndex]],"")</f>
        <v>3.25</v>
      </c>
      <c r="Q115" s="16">
        <f>IFERROR(tblRFM[[#This Row],[Satisfaction]],"")</f>
        <v>5</v>
      </c>
      <c r="R115" s="16">
        <f>IFERROR(tblRFM[[#This Row],[RecommendationLikelihood]],"")</f>
        <v>3</v>
      </c>
      <c r="S115" s="16">
        <f>COUNTIFS(tblTransactions[CustomerID],A115)</f>
        <v>1</v>
      </c>
      <c r="T115" s="18" t="str">
        <f>IFERROR(INDEX(tblClean[DiscountSensitivity],MATCH(A115,tblClean[CustomerID],0)),"")</f>
        <v>Medium</v>
      </c>
    </row>
    <row r="116" spans="1:20" ht="15" customHeight="1" x14ac:dyDescent="0.3">
      <c r="A116" s="19" t="str">
        <f>tblRFM[[#This Row],[CustomerID]]</f>
        <v>C0114</v>
      </c>
      <c r="B116" s="19" t="str">
        <f>tblRFM[[#This Row],[Name]]</f>
        <v>Amit Reddy</v>
      </c>
      <c r="C116" s="18" t="str">
        <f>IFERROR(INDEX(tblClean[Gender],MATCH(A116,tblClean[CustomerID],0)),"")</f>
        <v>Male</v>
      </c>
      <c r="D116" s="19" t="str">
        <f>tblRFM[[#This Row],[AgeGroup]]</f>
        <v>55+</v>
      </c>
      <c r="E116" s="19" t="str">
        <f>tblRFM[[#This Row],[City/Region]]</f>
        <v>Ahmedabad</v>
      </c>
      <c r="F116" s="19" t="str">
        <f>tblRFM[[#This Row],[IncomeBracket]]</f>
        <v>Low</v>
      </c>
      <c r="G116" s="19" t="str">
        <f>tblRFM[[#This Row],[CustomerType]]</f>
        <v>New</v>
      </c>
      <c r="H116" s="19" t="str">
        <f>tblRFM[[#This Row],[EngagementLevel]]</f>
        <v>Low</v>
      </c>
      <c r="I116" s="19" t="str">
        <f ca="1">tblRFM[[#This Row],[CustomerSegment]]</f>
        <v>High Value</v>
      </c>
      <c r="J116" s="19" t="str">
        <f>tblRFM[[#This Row],[ProductPreference]]</f>
        <v>Beauty</v>
      </c>
      <c r="K116" s="18" t="str">
        <f>IFERROR(INDEX(tblClean[PurchaseChannel],MATCH(A116,tblClean[CustomerID],0)),"")</f>
        <v>Online</v>
      </c>
      <c r="L116" s="23">
        <f ca="1">tblRFM[[#This Row],[RFM_Recency]]</f>
        <v>208</v>
      </c>
      <c r="M116" s="23">
        <f>tblRFM[[#This Row],[RFM_Frequency]]</f>
        <v>3</v>
      </c>
      <c r="N116" s="23">
        <f>tblRFM[[#This Row],[RFM_Monetary]]</f>
        <v>52888</v>
      </c>
      <c r="O116" s="19" t="str">
        <f ca="1">tblRFM[[#This Row],[RFM_Score]]</f>
        <v>125</v>
      </c>
      <c r="P116" s="19">
        <f>IFERROR(tblRFM[[#This Row],[SatisfactionIndex]],"")</f>
        <v>2.5</v>
      </c>
      <c r="Q116" s="19">
        <f>IFERROR(tblRFM[[#This Row],[Satisfaction]],"")</f>
        <v>3</v>
      </c>
      <c r="R116" s="19">
        <f>IFERROR(tblRFM[[#This Row],[RecommendationLikelihood]],"")</f>
        <v>4</v>
      </c>
      <c r="S116" s="19">
        <f>COUNTIFS(tblTransactions[CustomerID],A116)</f>
        <v>3</v>
      </c>
      <c r="T116" s="18" t="str">
        <f>IFERROR(INDEX(tblClean[DiscountSensitivity],MATCH(A116,tblClean[CustomerID],0)),"")</f>
        <v>Low</v>
      </c>
    </row>
    <row r="117" spans="1:20" ht="15" customHeight="1" x14ac:dyDescent="0.3">
      <c r="A117" s="16" t="str">
        <f>tblRFM[[#This Row],[CustomerID]]</f>
        <v>C0115</v>
      </c>
      <c r="B117" s="16" t="str">
        <f>tblRFM[[#This Row],[Name]]</f>
        <v>Vijay Joshi</v>
      </c>
      <c r="C117" s="18" t="str">
        <f>IFERROR(INDEX(tblClean[Gender],MATCH(A117,tblClean[CustomerID],0)),"")</f>
        <v>Male</v>
      </c>
      <c r="D117" s="16" t="str">
        <f>tblRFM[[#This Row],[AgeGroup]]</f>
        <v>55+</v>
      </c>
      <c r="E117" s="16" t="str">
        <f>tblRFM[[#This Row],[City/Region]]</f>
        <v>Chennai</v>
      </c>
      <c r="F117" s="16" t="str">
        <f>tblRFM[[#This Row],[IncomeBracket]]</f>
        <v>High</v>
      </c>
      <c r="G117" s="16" t="str">
        <f>tblRFM[[#This Row],[CustomerType]]</f>
        <v>Returning</v>
      </c>
      <c r="H117" s="16" t="str">
        <f>tblRFM[[#This Row],[EngagementLevel]]</f>
        <v>Low</v>
      </c>
      <c r="I117" s="16" t="str">
        <f ca="1">tblRFM[[#This Row],[CustomerSegment]]</f>
        <v>High Value</v>
      </c>
      <c r="J117" s="16" t="str">
        <f>tblRFM[[#This Row],[ProductPreference]]</f>
        <v>Beauty</v>
      </c>
      <c r="K117" s="18" t="str">
        <f>IFERROR(INDEX(tblClean[PurchaseChannel],MATCH(A117,tblClean[CustomerID],0)),"")</f>
        <v>Offline</v>
      </c>
      <c r="L117" s="22">
        <f ca="1">tblRFM[[#This Row],[RFM_Recency]]</f>
        <v>328</v>
      </c>
      <c r="M117" s="22">
        <f>tblRFM[[#This Row],[RFM_Frequency]]</f>
        <v>8</v>
      </c>
      <c r="N117" s="22">
        <f>tblRFM[[#This Row],[RFM_Monetary]]</f>
        <v>119755</v>
      </c>
      <c r="O117" s="16" t="str">
        <f ca="1">tblRFM[[#This Row],[RFM_Score]]</f>
        <v>155</v>
      </c>
      <c r="P117" s="16">
        <f>IFERROR(tblRFM[[#This Row],[SatisfactionIndex]],"")</f>
        <v>2.25</v>
      </c>
      <c r="Q117" s="16">
        <f>IFERROR(tblRFM[[#This Row],[Satisfaction]],"")</f>
        <v>3</v>
      </c>
      <c r="R117" s="16">
        <f>IFERROR(tblRFM[[#This Row],[RecommendationLikelihood]],"")</f>
        <v>3</v>
      </c>
      <c r="S117" s="16">
        <f>COUNTIFS(tblTransactions[CustomerID],A117)</f>
        <v>8</v>
      </c>
      <c r="T117" s="18" t="str">
        <f>IFERROR(INDEX(tblClean[DiscountSensitivity],MATCH(A117,tblClean[CustomerID],0)),"")</f>
        <v>Low</v>
      </c>
    </row>
    <row r="118" spans="1:20" ht="15" customHeight="1" x14ac:dyDescent="0.3">
      <c r="A118" s="19" t="str">
        <f>tblRFM[[#This Row],[CustomerID]]</f>
        <v>C0116</v>
      </c>
      <c r="B118" s="19" t="str">
        <f>tblRFM[[#This Row],[Name]]</f>
        <v>Anil Mehta</v>
      </c>
      <c r="C118" s="18" t="str">
        <f>IFERROR(INDEX(tblClean[Gender],MATCH(A118,tblClean[CustomerID],0)),"")</f>
        <v>Male</v>
      </c>
      <c r="D118" s="19" t="str">
        <f>tblRFM[[#This Row],[AgeGroup]]</f>
        <v>55+</v>
      </c>
      <c r="E118" s="19" t="str">
        <f>tblRFM[[#This Row],[City/Region]]</f>
        <v>Hyderabad</v>
      </c>
      <c r="F118" s="19" t="str">
        <f>tblRFM[[#This Row],[IncomeBracket]]</f>
        <v>Mid</v>
      </c>
      <c r="G118" s="19" t="str">
        <f>tblRFM[[#This Row],[CustomerType]]</f>
        <v>New</v>
      </c>
      <c r="H118" s="19" t="str">
        <f>tblRFM[[#This Row],[EngagementLevel]]</f>
        <v>Low</v>
      </c>
      <c r="I118" s="19" t="str">
        <f ca="1">tblRFM[[#This Row],[CustomerSegment]]</f>
        <v>High Value</v>
      </c>
      <c r="J118" s="19" t="str">
        <f>tblRFM[[#This Row],[ProductPreference]]</f>
        <v>Grocery</v>
      </c>
      <c r="K118" s="18" t="str">
        <f>IFERROR(INDEX(tblClean[PurchaseChannel],MATCH(A118,tblClean[CustomerID],0)),"")</f>
        <v>Offline</v>
      </c>
      <c r="L118" s="23">
        <f ca="1">tblRFM[[#This Row],[RFM_Recency]]</f>
        <v>280</v>
      </c>
      <c r="M118" s="23">
        <f>tblRFM[[#This Row],[RFM_Frequency]]</f>
        <v>9</v>
      </c>
      <c r="N118" s="23">
        <f>tblRFM[[#This Row],[RFM_Monetary]]</f>
        <v>78962</v>
      </c>
      <c r="O118" s="19" t="str">
        <f ca="1">tblRFM[[#This Row],[RFM_Score]]</f>
        <v>155</v>
      </c>
      <c r="P118" s="19">
        <f>IFERROR(tblRFM[[#This Row],[SatisfactionIndex]],"")</f>
        <v>3.75</v>
      </c>
      <c r="Q118" s="19">
        <f>IFERROR(tblRFM[[#This Row],[Satisfaction]],"")</f>
        <v>3</v>
      </c>
      <c r="R118" s="19">
        <f>IFERROR(tblRFM[[#This Row],[RecommendationLikelihood]],"")</f>
        <v>9</v>
      </c>
      <c r="S118" s="19">
        <f>COUNTIFS(tblTransactions[CustomerID],A118)</f>
        <v>9</v>
      </c>
      <c r="T118" s="18" t="str">
        <f>IFERROR(INDEX(tblClean[DiscountSensitivity],MATCH(A118,tblClean[CustomerID],0)),"")</f>
        <v>Low</v>
      </c>
    </row>
    <row r="119" spans="1:20" ht="15" customHeight="1" x14ac:dyDescent="0.3">
      <c r="A119" s="16" t="str">
        <f>tblRFM[[#This Row],[CustomerID]]</f>
        <v>C0117</v>
      </c>
      <c r="B119" s="16" t="str">
        <f>tblRFM[[#This Row],[Name]]</f>
        <v>Sneha Mishra</v>
      </c>
      <c r="C119" s="18" t="str">
        <f>IFERROR(INDEX(tblClean[Gender],MATCH(A119,tblClean[CustomerID],0)),"")</f>
        <v>Female</v>
      </c>
      <c r="D119" s="16" t="str">
        <f>tblRFM[[#This Row],[AgeGroup]]</f>
        <v>25-39</v>
      </c>
      <c r="E119" s="16" t="str">
        <f>tblRFM[[#This Row],[City/Region]]</f>
        <v>Bangalore</v>
      </c>
      <c r="F119" s="16" t="str">
        <f>tblRFM[[#This Row],[IncomeBracket]]</f>
        <v>High</v>
      </c>
      <c r="G119" s="16" t="str">
        <f>tblRFM[[#This Row],[CustomerType]]</f>
        <v>New</v>
      </c>
      <c r="H119" s="16" t="str">
        <f>tblRFM[[#This Row],[EngagementLevel]]</f>
        <v>High</v>
      </c>
      <c r="I119" s="16" t="str">
        <f ca="1">tblRFM[[#This Row],[CustomerSegment]]</f>
        <v>At Risk</v>
      </c>
      <c r="J119" s="16" t="str">
        <f>tblRFM[[#This Row],[ProductPreference]]</f>
        <v>Electronics</v>
      </c>
      <c r="K119" s="18" t="str">
        <f>IFERROR(INDEX(tblClean[PurchaseChannel],MATCH(A119,tblClean[CustomerID],0)),"")</f>
        <v>Online</v>
      </c>
      <c r="L119" s="22">
        <f ca="1">tblRFM[[#This Row],[RFM_Recency]]</f>
        <v>370</v>
      </c>
      <c r="M119" s="22">
        <f>tblRFM[[#This Row],[RFM_Frequency]]</f>
        <v>1</v>
      </c>
      <c r="N119" s="22">
        <f>tblRFM[[#This Row],[RFM_Monetary]]</f>
        <v>13491</v>
      </c>
      <c r="O119" s="16" t="str">
        <f ca="1">tblRFM[[#This Row],[RFM_Score]]</f>
        <v>112</v>
      </c>
      <c r="P119" s="16">
        <f>IFERROR(tblRFM[[#This Row],[SatisfactionIndex]],"")</f>
        <v>4.5</v>
      </c>
      <c r="Q119" s="16">
        <f>IFERROR(tblRFM[[#This Row],[Satisfaction]],"")</f>
        <v>4</v>
      </c>
      <c r="R119" s="16">
        <f>IFERROR(tblRFM[[#This Row],[RecommendationLikelihood]],"")</f>
        <v>10</v>
      </c>
      <c r="S119" s="16">
        <f>COUNTIFS(tblTransactions[CustomerID],A119)</f>
        <v>1</v>
      </c>
      <c r="T119" s="18" t="str">
        <f>IFERROR(INDEX(tblClean[DiscountSensitivity],MATCH(A119,tblClean[CustomerID],0)),"")</f>
        <v>High</v>
      </c>
    </row>
    <row r="120" spans="1:20" ht="15" customHeight="1" x14ac:dyDescent="0.3">
      <c r="A120" s="19" t="str">
        <f>tblRFM[[#This Row],[CustomerID]]</f>
        <v>C0118</v>
      </c>
      <c r="B120" s="19" t="str">
        <f>tblRFM[[#This Row],[Name]]</f>
        <v>Nisha Mishra</v>
      </c>
      <c r="C120" s="18" t="str">
        <f>IFERROR(INDEX(tblClean[Gender],MATCH(A120,tblClean[CustomerID],0)),"")</f>
        <v>Female</v>
      </c>
      <c r="D120" s="19" t="str">
        <f>tblRFM[[#This Row],[AgeGroup]]</f>
        <v>40-54</v>
      </c>
      <c r="E120" s="19" t="str">
        <f>tblRFM[[#This Row],[City/Region]]</f>
        <v>Patna</v>
      </c>
      <c r="F120" s="19" t="str">
        <f>tblRFM[[#This Row],[IncomeBracket]]</f>
        <v>Mid</v>
      </c>
      <c r="G120" s="19" t="str">
        <f>tblRFM[[#This Row],[CustomerType]]</f>
        <v>New</v>
      </c>
      <c r="H120" s="19" t="str">
        <f>tblRFM[[#This Row],[EngagementLevel]]</f>
        <v>Medium</v>
      </c>
      <c r="I120" s="19" t="str">
        <f ca="1">tblRFM[[#This Row],[CustomerSegment]]</f>
        <v>High Value</v>
      </c>
      <c r="J120" s="19" t="str">
        <f>tblRFM[[#This Row],[ProductPreference]]</f>
        <v>Grocery</v>
      </c>
      <c r="K120" s="18" t="str">
        <f>IFERROR(INDEX(tblClean[PurchaseChannel],MATCH(A120,tblClean[CustomerID],0)),"")</f>
        <v>Online</v>
      </c>
      <c r="L120" s="23">
        <f ca="1">tblRFM[[#This Row],[RFM_Recency]]</f>
        <v>178</v>
      </c>
      <c r="M120" s="23">
        <f>tblRFM[[#This Row],[RFM_Frequency]]</f>
        <v>9</v>
      </c>
      <c r="N120" s="23">
        <f>tblRFM[[#This Row],[RFM_Monetary]]</f>
        <v>70849</v>
      </c>
      <c r="O120" s="19" t="str">
        <f ca="1">tblRFM[[#This Row],[RFM_Score]]</f>
        <v>255</v>
      </c>
      <c r="P120" s="19">
        <f>IFERROR(tblRFM[[#This Row],[SatisfactionIndex]],"")</f>
        <v>2.75</v>
      </c>
      <c r="Q120" s="19">
        <f>IFERROR(tblRFM[[#This Row],[Satisfaction]],"")</f>
        <v>2</v>
      </c>
      <c r="R120" s="19">
        <f>IFERROR(tblRFM[[#This Row],[RecommendationLikelihood]],"")</f>
        <v>7</v>
      </c>
      <c r="S120" s="19">
        <f>COUNTIFS(tblTransactions[CustomerID],A120)</f>
        <v>9</v>
      </c>
      <c r="T120" s="18" t="str">
        <f>IFERROR(INDEX(tblClean[DiscountSensitivity],MATCH(A120,tblClean[CustomerID],0)),"")</f>
        <v>Low</v>
      </c>
    </row>
    <row r="121" spans="1:20" ht="15" customHeight="1" x14ac:dyDescent="0.3">
      <c r="A121" s="16" t="str">
        <f>tblRFM[[#This Row],[CustomerID]]</f>
        <v>C0119</v>
      </c>
      <c r="B121" s="16" t="str">
        <f>tblRFM[[#This Row],[Name]]</f>
        <v>Priya Pillai</v>
      </c>
      <c r="C121" s="18" t="str">
        <f>IFERROR(INDEX(tblClean[Gender],MATCH(A121,tblClean[CustomerID],0)),"")</f>
        <v>Female</v>
      </c>
      <c r="D121" s="16" t="str">
        <f>tblRFM[[#This Row],[AgeGroup]]</f>
        <v>55+</v>
      </c>
      <c r="E121" s="16" t="str">
        <f>tblRFM[[#This Row],[City/Region]]</f>
        <v>Patna</v>
      </c>
      <c r="F121" s="16" t="str">
        <f>tblRFM[[#This Row],[IncomeBracket]]</f>
        <v>Mid</v>
      </c>
      <c r="G121" s="16" t="str">
        <f>tblRFM[[#This Row],[CustomerType]]</f>
        <v>New</v>
      </c>
      <c r="H121" s="16" t="str">
        <f>tblRFM[[#This Row],[EngagementLevel]]</f>
        <v>High</v>
      </c>
      <c r="I121" s="16" t="str">
        <f ca="1">tblRFM[[#This Row],[CustomerSegment]]</f>
        <v>General</v>
      </c>
      <c r="J121" s="16" t="str">
        <f>tblRFM[[#This Row],[ProductPreference]]</f>
        <v>Home Decor</v>
      </c>
      <c r="K121" s="18" t="str">
        <f>IFERROR(INDEX(tblClean[PurchaseChannel],MATCH(A121,tblClean[CustomerID],0)),"")</f>
        <v>Online</v>
      </c>
      <c r="L121" s="22">
        <f ca="1">tblRFM[[#This Row],[RFM_Recency]]</f>
        <v>100</v>
      </c>
      <c r="M121" s="22">
        <f>tblRFM[[#This Row],[RFM_Frequency]]</f>
        <v>3</v>
      </c>
      <c r="N121" s="22">
        <f>tblRFM[[#This Row],[RFM_Monetary]]</f>
        <v>34962</v>
      </c>
      <c r="O121" s="16" t="str">
        <f ca="1">tblRFM[[#This Row],[RFM_Score]]</f>
        <v>224</v>
      </c>
      <c r="P121" s="16">
        <f>IFERROR(tblRFM[[#This Row],[SatisfactionIndex]],"")</f>
        <v>3.25</v>
      </c>
      <c r="Q121" s="16">
        <f>IFERROR(tblRFM[[#This Row],[Satisfaction]],"")</f>
        <v>2</v>
      </c>
      <c r="R121" s="16">
        <f>IFERROR(tblRFM[[#This Row],[RecommendationLikelihood]],"")</f>
        <v>9</v>
      </c>
      <c r="S121" s="16">
        <f>COUNTIFS(tblTransactions[CustomerID],A121)</f>
        <v>3</v>
      </c>
      <c r="T121" s="18" t="str">
        <f>IFERROR(INDEX(tblClean[DiscountSensitivity],MATCH(A121,tblClean[CustomerID],0)),"")</f>
        <v>High</v>
      </c>
    </row>
    <row r="122" spans="1:20" ht="15" customHeight="1" x14ac:dyDescent="0.3">
      <c r="A122" s="19" t="str">
        <f>tblRFM[[#This Row],[CustomerID]]</f>
        <v>C0120</v>
      </c>
      <c r="B122" s="19" t="str">
        <f>tblRFM[[#This Row],[Name]]</f>
        <v>Divya Jain</v>
      </c>
      <c r="C122" s="18" t="str">
        <f>IFERROR(INDEX(tblClean[Gender],MATCH(A122,tblClean[CustomerID],0)),"")</f>
        <v>Female</v>
      </c>
      <c r="D122" s="19" t="str">
        <f>tblRFM[[#This Row],[AgeGroup]]</f>
        <v>40-54</v>
      </c>
      <c r="E122" s="19" t="str">
        <f>tblRFM[[#This Row],[City/Region]]</f>
        <v>Bhubaneswar</v>
      </c>
      <c r="F122" s="19" t="str">
        <f>tblRFM[[#This Row],[IncomeBracket]]</f>
        <v>Mid</v>
      </c>
      <c r="G122" s="19" t="str">
        <f>tblRFM[[#This Row],[CustomerType]]</f>
        <v>New</v>
      </c>
      <c r="H122" s="19" t="str">
        <f>tblRFM[[#This Row],[EngagementLevel]]</f>
        <v>Low</v>
      </c>
      <c r="I122" s="19" t="str">
        <f ca="1">tblRFM[[#This Row],[CustomerSegment]]</f>
        <v>At Risk</v>
      </c>
      <c r="J122" s="19" t="str">
        <f>tblRFM[[#This Row],[ProductPreference]]</f>
        <v>Grocery</v>
      </c>
      <c r="K122" s="18" t="str">
        <f>IFERROR(INDEX(tblClean[PurchaseChannel],MATCH(A122,tblClean[CustomerID],0)),"")</f>
        <v>Online</v>
      </c>
      <c r="L122" s="23">
        <f ca="1">tblRFM[[#This Row],[RFM_Recency]]</f>
        <v>343</v>
      </c>
      <c r="M122" s="23">
        <f>tblRFM[[#This Row],[RFM_Frequency]]</f>
        <v>2</v>
      </c>
      <c r="N122" s="23">
        <f>tblRFM[[#This Row],[RFM_Monetary]]</f>
        <v>29734</v>
      </c>
      <c r="O122" s="19" t="str">
        <f ca="1">tblRFM[[#This Row],[RFM_Score]]</f>
        <v>123</v>
      </c>
      <c r="P122" s="19">
        <f>IFERROR(tblRFM[[#This Row],[SatisfactionIndex]],"")</f>
        <v>3</v>
      </c>
      <c r="Q122" s="19">
        <f>IFERROR(tblRFM[[#This Row],[Satisfaction]],"")</f>
        <v>2</v>
      </c>
      <c r="R122" s="19">
        <f>IFERROR(tblRFM[[#This Row],[RecommendationLikelihood]],"")</f>
        <v>8</v>
      </c>
      <c r="S122" s="19">
        <f>COUNTIFS(tblTransactions[CustomerID],A122)</f>
        <v>2</v>
      </c>
      <c r="T122" s="18" t="str">
        <f>IFERROR(INDEX(tblClean[DiscountSensitivity],MATCH(A122,tblClean[CustomerID],0)),"")</f>
        <v>High</v>
      </c>
    </row>
    <row r="123" spans="1:20" ht="15" customHeight="1" x14ac:dyDescent="0.3">
      <c r="A123" s="16" t="str">
        <f>tblRFM[[#This Row],[CustomerID]]</f>
        <v>C0121</v>
      </c>
      <c r="B123" s="16" t="str">
        <f>tblRFM[[#This Row],[Name]]</f>
        <v>Rohit Gupta</v>
      </c>
      <c r="C123" s="18" t="str">
        <f>IFERROR(INDEX(tblClean[Gender],MATCH(A123,tblClean[CustomerID],0)),"")</f>
        <v>Male</v>
      </c>
      <c r="D123" s="16" t="str">
        <f>tblRFM[[#This Row],[AgeGroup]]</f>
        <v>55+</v>
      </c>
      <c r="E123" s="16" t="str">
        <f>tblRFM[[#This Row],[City/Region]]</f>
        <v>Coimbatore</v>
      </c>
      <c r="F123" s="16" t="str">
        <f>tblRFM[[#This Row],[IncomeBracket]]</f>
        <v>Mid</v>
      </c>
      <c r="G123" s="16" t="str">
        <f>tblRFM[[#This Row],[CustomerType]]</f>
        <v>Returning</v>
      </c>
      <c r="H123" s="16" t="str">
        <f>tblRFM[[#This Row],[EngagementLevel]]</f>
        <v>Medium</v>
      </c>
      <c r="I123" s="16" t="str">
        <f ca="1">tblRFM[[#This Row],[CustomerSegment]]</f>
        <v>General</v>
      </c>
      <c r="J123" s="16" t="str">
        <f>tblRFM[[#This Row],[ProductPreference]]</f>
        <v>Beauty</v>
      </c>
      <c r="K123" s="18" t="str">
        <f>IFERROR(INDEX(tblClean[PurchaseChannel],MATCH(A123,tblClean[CustomerID],0)),"")</f>
        <v>Offline</v>
      </c>
      <c r="L123" s="22">
        <f ca="1">tblRFM[[#This Row],[RFM_Recency]]</f>
        <v>35</v>
      </c>
      <c r="M123" s="22">
        <f>tblRFM[[#This Row],[RFM_Frequency]]</f>
        <v>2</v>
      </c>
      <c r="N123" s="22">
        <f>tblRFM[[#This Row],[RFM_Monetary]]</f>
        <v>41260</v>
      </c>
      <c r="O123" s="16" t="str">
        <f ca="1">tblRFM[[#This Row],[RFM_Score]]</f>
        <v>424</v>
      </c>
      <c r="P123" s="16">
        <f>IFERROR(tblRFM[[#This Row],[SatisfactionIndex]],"")</f>
        <v>2.25</v>
      </c>
      <c r="Q123" s="16">
        <f>IFERROR(tblRFM[[#This Row],[Satisfaction]],"")</f>
        <v>3</v>
      </c>
      <c r="R123" s="16">
        <f>IFERROR(tblRFM[[#This Row],[RecommendationLikelihood]],"")</f>
        <v>3</v>
      </c>
      <c r="S123" s="16">
        <f>COUNTIFS(tblTransactions[CustomerID],A123)</f>
        <v>2</v>
      </c>
      <c r="T123" s="18" t="str">
        <f>IFERROR(INDEX(tblClean[DiscountSensitivity],MATCH(A123,tblClean[CustomerID],0)),"")</f>
        <v>Low</v>
      </c>
    </row>
    <row r="124" spans="1:20" ht="15" customHeight="1" x14ac:dyDescent="0.3">
      <c r="A124" s="19" t="str">
        <f>tblRFM[[#This Row],[CustomerID]]</f>
        <v>C0122</v>
      </c>
      <c r="B124" s="19" t="str">
        <f>tblRFM[[#This Row],[Name]]</f>
        <v>Nisha Singh</v>
      </c>
      <c r="C124" s="18" t="str">
        <f>IFERROR(INDEX(tblClean[Gender],MATCH(A124,tblClean[CustomerID],0)),"")</f>
        <v>Female</v>
      </c>
      <c r="D124" s="19" t="str">
        <f>tblRFM[[#This Row],[AgeGroup]]</f>
        <v>40-54</v>
      </c>
      <c r="E124" s="19" t="str">
        <f>tblRFM[[#This Row],[City/Region]]</f>
        <v>Noida</v>
      </c>
      <c r="F124" s="19" t="str">
        <f>tblRFM[[#This Row],[IncomeBracket]]</f>
        <v>Mid</v>
      </c>
      <c r="G124" s="19" t="str">
        <f>tblRFM[[#This Row],[CustomerType]]</f>
        <v>New</v>
      </c>
      <c r="H124" s="19" t="str">
        <f>tblRFM[[#This Row],[EngagementLevel]]</f>
        <v>High</v>
      </c>
      <c r="I124" s="19" t="str">
        <f ca="1">tblRFM[[#This Row],[CustomerSegment]]</f>
        <v>High Value</v>
      </c>
      <c r="J124" s="19" t="str">
        <f>tblRFM[[#This Row],[ProductPreference]]</f>
        <v>Grocery</v>
      </c>
      <c r="K124" s="18" t="str">
        <f>IFERROR(INDEX(tblClean[PurchaseChannel],MATCH(A124,tblClean[CustomerID],0)),"")</f>
        <v>Online</v>
      </c>
      <c r="L124" s="23">
        <f ca="1">tblRFM[[#This Row],[RFM_Recency]]</f>
        <v>118</v>
      </c>
      <c r="M124" s="23">
        <f>tblRFM[[#This Row],[RFM_Frequency]]</f>
        <v>9</v>
      </c>
      <c r="N124" s="23">
        <f>tblRFM[[#This Row],[RFM_Monetary]]</f>
        <v>152424</v>
      </c>
      <c r="O124" s="19" t="str">
        <f ca="1">tblRFM[[#This Row],[RFM_Score]]</f>
        <v>255</v>
      </c>
      <c r="P124" s="19">
        <f>IFERROR(tblRFM[[#This Row],[SatisfactionIndex]],"")</f>
        <v>4</v>
      </c>
      <c r="Q124" s="19">
        <f>IFERROR(tblRFM[[#This Row],[Satisfaction]],"")</f>
        <v>3</v>
      </c>
      <c r="R124" s="19">
        <f>IFERROR(tblRFM[[#This Row],[RecommendationLikelihood]],"")</f>
        <v>10</v>
      </c>
      <c r="S124" s="19">
        <f>COUNTIFS(tblTransactions[CustomerID],A124)</f>
        <v>9</v>
      </c>
      <c r="T124" s="18" t="str">
        <f>IFERROR(INDEX(tblClean[DiscountSensitivity],MATCH(A124,tblClean[CustomerID],0)),"")</f>
        <v>Low</v>
      </c>
    </row>
    <row r="125" spans="1:20" ht="15" customHeight="1" x14ac:dyDescent="0.3">
      <c r="A125" s="16" t="str">
        <f>tblRFM[[#This Row],[CustomerID]]</f>
        <v>C0123</v>
      </c>
      <c r="B125" s="16" t="str">
        <f>tblRFM[[#This Row],[Name]]</f>
        <v>Tarun Iyer</v>
      </c>
      <c r="C125" s="18" t="str">
        <f>IFERROR(INDEX(tblClean[Gender],MATCH(A125,tblClean[CustomerID],0)),"")</f>
        <v>Male</v>
      </c>
      <c r="D125" s="16" t="str">
        <f>tblRFM[[#This Row],[AgeGroup]]</f>
        <v>40-54</v>
      </c>
      <c r="E125" s="16" t="str">
        <f>tblRFM[[#This Row],[City/Region]]</f>
        <v>Lucknow</v>
      </c>
      <c r="F125" s="16" t="str">
        <f>tblRFM[[#This Row],[IncomeBracket]]</f>
        <v>Mid</v>
      </c>
      <c r="G125" s="16" t="str">
        <f>tblRFM[[#This Row],[CustomerType]]</f>
        <v>New</v>
      </c>
      <c r="H125" s="16" t="str">
        <f>tblRFM[[#This Row],[EngagementLevel]]</f>
        <v>High</v>
      </c>
      <c r="I125" s="16" t="str">
        <f ca="1">tblRFM[[#This Row],[CustomerSegment]]</f>
        <v>At Risk</v>
      </c>
      <c r="J125" s="16" t="str">
        <f>tblRFM[[#This Row],[ProductPreference]]</f>
        <v>Beauty</v>
      </c>
      <c r="K125" s="18" t="str">
        <f>IFERROR(INDEX(tblClean[PurchaseChannel],MATCH(A125,tblClean[CustomerID],0)),"")</f>
        <v>Offline</v>
      </c>
      <c r="L125" s="22">
        <f ca="1">tblRFM[[#This Row],[RFM_Recency]]</f>
        <v>224</v>
      </c>
      <c r="M125" s="22">
        <f>tblRFM[[#This Row],[RFM_Frequency]]</f>
        <v>1</v>
      </c>
      <c r="N125" s="22">
        <f>tblRFM[[#This Row],[RFM_Monetary]]</f>
        <v>12732</v>
      </c>
      <c r="O125" s="16" t="str">
        <f ca="1">tblRFM[[#This Row],[RFM_Score]]</f>
        <v>112</v>
      </c>
      <c r="P125" s="16">
        <f>IFERROR(tblRFM[[#This Row],[SatisfactionIndex]],"")</f>
        <v>0.75</v>
      </c>
      <c r="Q125" s="16">
        <f>IFERROR(tblRFM[[#This Row],[Satisfaction]],"")</f>
        <v>1</v>
      </c>
      <c r="R125" s="16">
        <f>IFERROR(tblRFM[[#This Row],[RecommendationLikelihood]],"")</f>
        <v>1</v>
      </c>
      <c r="S125" s="16">
        <f>COUNTIFS(tblTransactions[CustomerID],A125)</f>
        <v>1</v>
      </c>
      <c r="T125" s="18" t="str">
        <f>IFERROR(INDEX(tblClean[DiscountSensitivity],MATCH(A125,tblClean[CustomerID],0)),"")</f>
        <v>High</v>
      </c>
    </row>
    <row r="126" spans="1:20" ht="15" customHeight="1" x14ac:dyDescent="0.3">
      <c r="A126" s="19" t="str">
        <f>tblRFM[[#This Row],[CustomerID]]</f>
        <v>C0124</v>
      </c>
      <c r="B126" s="19" t="str">
        <f>tblRFM[[#This Row],[Name]]</f>
        <v>Sunita Kumar</v>
      </c>
      <c r="C126" s="18" t="str">
        <f>IFERROR(INDEX(tblClean[Gender],MATCH(A126,tblClean[CustomerID],0)),"")</f>
        <v>Female</v>
      </c>
      <c r="D126" s="19" t="str">
        <f>tblRFM[[#This Row],[AgeGroup]]</f>
        <v>25-39</v>
      </c>
      <c r="E126" s="19" t="str">
        <f>tblRFM[[#This Row],[City/Region]]</f>
        <v>Hyderabad</v>
      </c>
      <c r="F126" s="19" t="str">
        <f>tblRFM[[#This Row],[IncomeBracket]]</f>
        <v>Mid</v>
      </c>
      <c r="G126" s="19" t="str">
        <f>tblRFM[[#This Row],[CustomerType]]</f>
        <v>Returning</v>
      </c>
      <c r="H126" s="19" t="str">
        <f>tblRFM[[#This Row],[EngagementLevel]]</f>
        <v>Low</v>
      </c>
      <c r="I126" s="19" t="str">
        <f ca="1">tblRFM[[#This Row],[CustomerSegment]]</f>
        <v>High Value</v>
      </c>
      <c r="J126" s="19" t="str">
        <f>tblRFM[[#This Row],[ProductPreference]]</f>
        <v>Fashion</v>
      </c>
      <c r="K126" s="18" t="str">
        <f>IFERROR(INDEX(tblClean[PurchaseChannel],MATCH(A126,tblClean[CustomerID],0)),"")</f>
        <v>Online</v>
      </c>
      <c r="L126" s="23">
        <f ca="1">tblRFM[[#This Row],[RFM_Recency]]</f>
        <v>53</v>
      </c>
      <c r="M126" s="23">
        <f>tblRFM[[#This Row],[RFM_Frequency]]</f>
        <v>5</v>
      </c>
      <c r="N126" s="23">
        <f>tblRFM[[#This Row],[RFM_Monetary]]</f>
        <v>54565</v>
      </c>
      <c r="O126" s="19" t="str">
        <f ca="1">tblRFM[[#This Row],[RFM_Score]]</f>
        <v>435</v>
      </c>
      <c r="P126" s="19">
        <f>IFERROR(tblRFM[[#This Row],[SatisfactionIndex]],"")</f>
        <v>3</v>
      </c>
      <c r="Q126" s="19">
        <f>IFERROR(tblRFM[[#This Row],[Satisfaction]],"")</f>
        <v>4</v>
      </c>
      <c r="R126" s="19">
        <f>IFERROR(tblRFM[[#This Row],[RecommendationLikelihood]],"")</f>
        <v>4</v>
      </c>
      <c r="S126" s="19">
        <f>COUNTIFS(tblTransactions[CustomerID],A126)</f>
        <v>5</v>
      </c>
      <c r="T126" s="18" t="str">
        <f>IFERROR(INDEX(tblClean[DiscountSensitivity],MATCH(A126,tblClean[CustomerID],0)),"")</f>
        <v>High</v>
      </c>
    </row>
    <row r="127" spans="1:20" ht="15" customHeight="1" x14ac:dyDescent="0.3">
      <c r="A127" s="16" t="str">
        <f>tblRFM[[#This Row],[CustomerID]]</f>
        <v>C0125</v>
      </c>
      <c r="B127" s="16" t="str">
        <f>tblRFM[[#This Row],[Name]]</f>
        <v>Rohit Mehta</v>
      </c>
      <c r="C127" s="18" t="str">
        <f>IFERROR(INDEX(tblClean[Gender],MATCH(A127,tblClean[CustomerID],0)),"")</f>
        <v>Male</v>
      </c>
      <c r="D127" s="16" t="str">
        <f>tblRFM[[#This Row],[AgeGroup]]</f>
        <v>25-39</v>
      </c>
      <c r="E127" s="16" t="str">
        <f>tblRFM[[#This Row],[City/Region]]</f>
        <v>Surat</v>
      </c>
      <c r="F127" s="16" t="str">
        <f>tblRFM[[#This Row],[IncomeBracket]]</f>
        <v>High</v>
      </c>
      <c r="G127" s="16" t="str">
        <f>tblRFM[[#This Row],[CustomerType]]</f>
        <v>New</v>
      </c>
      <c r="H127" s="16" t="str">
        <f>tblRFM[[#This Row],[EngagementLevel]]</f>
        <v>High</v>
      </c>
      <c r="I127" s="16" t="str">
        <f ca="1">tblRFM[[#This Row],[CustomerSegment]]</f>
        <v>High Value</v>
      </c>
      <c r="J127" s="16" t="str">
        <f>tblRFM[[#This Row],[ProductPreference]]</f>
        <v>Home Decor</v>
      </c>
      <c r="K127" s="18" t="str">
        <f>IFERROR(INDEX(tblClean[PurchaseChannel],MATCH(A127,tblClean[CustomerID],0)),"")</f>
        <v>Offline</v>
      </c>
      <c r="L127" s="22">
        <f ca="1">tblRFM[[#This Row],[RFM_Recency]]</f>
        <v>295</v>
      </c>
      <c r="M127" s="22">
        <f>tblRFM[[#This Row],[RFM_Frequency]]</f>
        <v>9</v>
      </c>
      <c r="N127" s="22">
        <f>tblRFM[[#This Row],[RFM_Monetary]]</f>
        <v>107762</v>
      </c>
      <c r="O127" s="16" t="str">
        <f ca="1">tblRFM[[#This Row],[RFM_Score]]</f>
        <v>155</v>
      </c>
      <c r="P127" s="16">
        <f>IFERROR(tblRFM[[#This Row],[SatisfactionIndex]],"")</f>
        <v>3.75</v>
      </c>
      <c r="Q127" s="16">
        <f>IFERROR(tblRFM[[#This Row],[Satisfaction]],"")</f>
        <v>4</v>
      </c>
      <c r="R127" s="16">
        <f>IFERROR(tblRFM[[#This Row],[RecommendationLikelihood]],"")</f>
        <v>7</v>
      </c>
      <c r="S127" s="16">
        <f>COUNTIFS(tblTransactions[CustomerID],A127)</f>
        <v>9</v>
      </c>
      <c r="T127" s="18" t="str">
        <f>IFERROR(INDEX(tblClean[DiscountSensitivity],MATCH(A127,tblClean[CustomerID],0)),"")</f>
        <v>Medium</v>
      </c>
    </row>
    <row r="128" spans="1:20" ht="15" customHeight="1" x14ac:dyDescent="0.3">
      <c r="A128" s="19" t="str">
        <f>tblRFM[[#This Row],[CustomerID]]</f>
        <v>C0126</v>
      </c>
      <c r="B128" s="19" t="str">
        <f>tblRFM[[#This Row],[Name]]</f>
        <v>Naveen Gupta</v>
      </c>
      <c r="C128" s="18" t="str">
        <f>IFERROR(INDEX(tblClean[Gender],MATCH(A128,tblClean[CustomerID],0)),"")</f>
        <v>Male</v>
      </c>
      <c r="D128" s="19" t="str">
        <f>tblRFM[[#This Row],[AgeGroup]]</f>
        <v>25-39</v>
      </c>
      <c r="E128" s="19" t="str">
        <f>tblRFM[[#This Row],[City/Region]]</f>
        <v>Bangalore</v>
      </c>
      <c r="F128" s="19" t="str">
        <f>tblRFM[[#This Row],[IncomeBracket]]</f>
        <v>Mid</v>
      </c>
      <c r="G128" s="19" t="str">
        <f>tblRFM[[#This Row],[CustomerType]]</f>
        <v>New</v>
      </c>
      <c r="H128" s="19" t="str">
        <f>tblRFM[[#This Row],[EngagementLevel]]</f>
        <v>Medium</v>
      </c>
      <c r="I128" s="19" t="str">
        <f ca="1">tblRFM[[#This Row],[CustomerSegment]]</f>
        <v>General</v>
      </c>
      <c r="J128" s="19" t="str">
        <f>tblRFM[[#This Row],[ProductPreference]]</f>
        <v>Fashion</v>
      </c>
      <c r="K128" s="18" t="str">
        <f>IFERROR(INDEX(tblClean[PurchaseChannel],MATCH(A128,tblClean[CustomerID],0)),"")</f>
        <v>Offline</v>
      </c>
      <c r="L128" s="23">
        <f ca="1">tblRFM[[#This Row],[RFM_Recency]]</f>
        <v>356</v>
      </c>
      <c r="M128" s="23">
        <f>tblRFM[[#This Row],[RFM_Frequency]]</f>
        <v>4</v>
      </c>
      <c r="N128" s="23">
        <f>tblRFM[[#This Row],[RFM_Monetary]]</f>
        <v>41245</v>
      </c>
      <c r="O128" s="19" t="str">
        <f ca="1">tblRFM[[#This Row],[RFM_Score]]</f>
        <v>134</v>
      </c>
      <c r="P128" s="19">
        <f>IFERROR(tblRFM[[#This Row],[SatisfactionIndex]],"")</f>
        <v>4</v>
      </c>
      <c r="Q128" s="19">
        <f>IFERROR(tblRFM[[#This Row],[Satisfaction]],"")</f>
        <v>4</v>
      </c>
      <c r="R128" s="19">
        <f>IFERROR(tblRFM[[#This Row],[RecommendationLikelihood]],"")</f>
        <v>8</v>
      </c>
      <c r="S128" s="19">
        <f>COUNTIFS(tblTransactions[CustomerID],A128)</f>
        <v>4</v>
      </c>
      <c r="T128" s="18" t="str">
        <f>IFERROR(INDEX(tblClean[DiscountSensitivity],MATCH(A128,tblClean[CustomerID],0)),"")</f>
        <v>Low</v>
      </c>
    </row>
    <row r="129" spans="1:20" ht="15" customHeight="1" x14ac:dyDescent="0.3">
      <c r="A129" s="16" t="str">
        <f>tblRFM[[#This Row],[CustomerID]]</f>
        <v>C0127</v>
      </c>
      <c r="B129" s="16" t="str">
        <f>tblRFM[[#This Row],[Name]]</f>
        <v>Tarun Mishra</v>
      </c>
      <c r="C129" s="18" t="str">
        <f>IFERROR(INDEX(tblClean[Gender],MATCH(A129,tblClean[CustomerID],0)),"")</f>
        <v>Male</v>
      </c>
      <c r="D129" s="16" t="str">
        <f>tblRFM[[#This Row],[AgeGroup]]</f>
        <v>40-54</v>
      </c>
      <c r="E129" s="16" t="str">
        <f>tblRFM[[#This Row],[City/Region]]</f>
        <v>Pune</v>
      </c>
      <c r="F129" s="16" t="str">
        <f>tblRFM[[#This Row],[IncomeBracket]]</f>
        <v>High</v>
      </c>
      <c r="G129" s="16" t="str">
        <f>tblRFM[[#This Row],[CustomerType]]</f>
        <v>Returning</v>
      </c>
      <c r="H129" s="16" t="str">
        <f>tblRFM[[#This Row],[EngagementLevel]]</f>
        <v>High</v>
      </c>
      <c r="I129" s="16" t="str">
        <f ca="1">tblRFM[[#This Row],[CustomerSegment]]</f>
        <v>High Value</v>
      </c>
      <c r="J129" s="16" t="str">
        <f>tblRFM[[#This Row],[ProductPreference]]</f>
        <v>Grocery</v>
      </c>
      <c r="K129" s="18" t="str">
        <f>IFERROR(INDEX(tblClean[PurchaseChannel],MATCH(A129,tblClean[CustomerID],0)),"")</f>
        <v>Offline</v>
      </c>
      <c r="L129" s="22">
        <f ca="1">tblRFM[[#This Row],[RFM_Recency]]</f>
        <v>298</v>
      </c>
      <c r="M129" s="22">
        <f>tblRFM[[#This Row],[RFM_Frequency]]</f>
        <v>7</v>
      </c>
      <c r="N129" s="22">
        <f>tblRFM[[#This Row],[RFM_Monetary]]</f>
        <v>91505</v>
      </c>
      <c r="O129" s="16" t="str">
        <f ca="1">tblRFM[[#This Row],[RFM_Score]]</f>
        <v>145</v>
      </c>
      <c r="P129" s="16">
        <f>IFERROR(tblRFM[[#This Row],[SatisfactionIndex]],"")</f>
        <v>2.5</v>
      </c>
      <c r="Q129" s="16">
        <f>IFERROR(tblRFM[[#This Row],[Satisfaction]],"")</f>
        <v>4</v>
      </c>
      <c r="R129" s="16">
        <f>IFERROR(tblRFM[[#This Row],[RecommendationLikelihood]],"")</f>
        <v>2</v>
      </c>
      <c r="S129" s="16">
        <f>COUNTIFS(tblTransactions[CustomerID],A129)</f>
        <v>7</v>
      </c>
      <c r="T129" s="18" t="str">
        <f>IFERROR(INDEX(tblClean[DiscountSensitivity],MATCH(A129,tblClean[CustomerID],0)),"")</f>
        <v>High</v>
      </c>
    </row>
    <row r="130" spans="1:20" ht="15" customHeight="1" x14ac:dyDescent="0.3">
      <c r="A130" s="19" t="str">
        <f>tblRFM[[#This Row],[CustomerID]]</f>
        <v>C0128</v>
      </c>
      <c r="B130" s="19" t="str">
        <f>tblRFM[[#This Row],[Name]]</f>
        <v>Amit Joshi</v>
      </c>
      <c r="C130" s="18" t="str">
        <f>IFERROR(INDEX(tblClean[Gender],MATCH(A130,tblClean[CustomerID],0)),"")</f>
        <v>Male</v>
      </c>
      <c r="D130" s="19" t="str">
        <f>tblRFM[[#This Row],[AgeGroup]]</f>
        <v>40-54</v>
      </c>
      <c r="E130" s="19" t="str">
        <f>tblRFM[[#This Row],[City/Region]]</f>
        <v>Mumbai</v>
      </c>
      <c r="F130" s="19" t="str">
        <f>tblRFM[[#This Row],[IncomeBracket]]</f>
        <v>Mid</v>
      </c>
      <c r="G130" s="19" t="str">
        <f>tblRFM[[#This Row],[CustomerType]]</f>
        <v>New</v>
      </c>
      <c r="H130" s="19" t="str">
        <f>tblRFM[[#This Row],[EngagementLevel]]</f>
        <v>Medium</v>
      </c>
      <c r="I130" s="19" t="str">
        <f ca="1">tblRFM[[#This Row],[CustomerSegment]]</f>
        <v>High Value</v>
      </c>
      <c r="J130" s="19" t="str">
        <f>tblRFM[[#This Row],[ProductPreference]]</f>
        <v>Beauty</v>
      </c>
      <c r="K130" s="18" t="str">
        <f>IFERROR(INDEX(tblClean[PurchaseChannel],MATCH(A130,tblClean[CustomerID],0)),"")</f>
        <v>Offline</v>
      </c>
      <c r="L130" s="23">
        <f ca="1">tblRFM[[#This Row],[RFM_Recency]]</f>
        <v>18</v>
      </c>
      <c r="M130" s="23">
        <f>tblRFM[[#This Row],[RFM_Frequency]]</f>
        <v>5</v>
      </c>
      <c r="N130" s="23">
        <f>tblRFM[[#This Row],[RFM_Monetary]]</f>
        <v>80047</v>
      </c>
      <c r="O130" s="19" t="str">
        <f ca="1">tblRFM[[#This Row],[RFM_Score]]</f>
        <v>535</v>
      </c>
      <c r="P130" s="19">
        <f>IFERROR(tblRFM[[#This Row],[SatisfactionIndex]],"")</f>
        <v>3.5</v>
      </c>
      <c r="Q130" s="19">
        <f>IFERROR(tblRFM[[#This Row],[Satisfaction]],"")</f>
        <v>5</v>
      </c>
      <c r="R130" s="19">
        <f>IFERROR(tblRFM[[#This Row],[RecommendationLikelihood]],"")</f>
        <v>4</v>
      </c>
      <c r="S130" s="19">
        <f>COUNTIFS(tblTransactions[CustomerID],A130)</f>
        <v>5</v>
      </c>
      <c r="T130" s="18" t="str">
        <f>IFERROR(INDEX(tblClean[DiscountSensitivity],MATCH(A130,tblClean[CustomerID],0)),"")</f>
        <v>Low</v>
      </c>
    </row>
    <row r="131" spans="1:20" ht="15" customHeight="1" x14ac:dyDescent="0.3">
      <c r="A131" s="16" t="str">
        <f>tblRFM[[#This Row],[CustomerID]]</f>
        <v>C0129</v>
      </c>
      <c r="B131" s="16" t="str">
        <f>tblRFM[[#This Row],[Name]]</f>
        <v>Ajay Gupta</v>
      </c>
      <c r="C131" s="18" t="str">
        <f>IFERROR(INDEX(tblClean[Gender],MATCH(A131,tblClean[CustomerID],0)),"")</f>
        <v>Male</v>
      </c>
      <c r="D131" s="16" t="str">
        <f>tblRFM[[#This Row],[AgeGroup]]</f>
        <v>25-39</v>
      </c>
      <c r="E131" s="16" t="str">
        <f>tblRFM[[#This Row],[City/Region]]</f>
        <v>Nagpur</v>
      </c>
      <c r="F131" s="16" t="str">
        <f>tblRFM[[#This Row],[IncomeBracket]]</f>
        <v>High</v>
      </c>
      <c r="G131" s="16" t="str">
        <f>tblRFM[[#This Row],[CustomerType]]</f>
        <v>New</v>
      </c>
      <c r="H131" s="16" t="str">
        <f>tblRFM[[#This Row],[EngagementLevel]]</f>
        <v>Low</v>
      </c>
      <c r="I131" s="16" t="str">
        <f ca="1">tblRFM[[#This Row],[CustomerSegment]]</f>
        <v>At Risk</v>
      </c>
      <c r="J131" s="16" t="str">
        <f>tblRFM[[#This Row],[ProductPreference]]</f>
        <v>Home Decor</v>
      </c>
      <c r="K131" s="18" t="str">
        <f>IFERROR(INDEX(tblClean[PurchaseChannel],MATCH(A131,tblClean[CustomerID],0)),"")</f>
        <v>Online</v>
      </c>
      <c r="L131" s="22">
        <f ca="1">tblRFM[[#This Row],[RFM_Recency]]</f>
        <v>279</v>
      </c>
      <c r="M131" s="22">
        <f>tblRFM[[#This Row],[RFM_Frequency]]</f>
        <v>1</v>
      </c>
      <c r="N131" s="22">
        <f>tblRFM[[#This Row],[RFM_Monetary]]</f>
        <v>21390</v>
      </c>
      <c r="O131" s="16" t="str">
        <f ca="1">tblRFM[[#This Row],[RFM_Score]]</f>
        <v>113</v>
      </c>
      <c r="P131" s="16">
        <f>IFERROR(tblRFM[[#This Row],[SatisfactionIndex]],"")</f>
        <v>2.75</v>
      </c>
      <c r="Q131" s="16">
        <f>IFERROR(tblRFM[[#This Row],[Satisfaction]],"")</f>
        <v>3</v>
      </c>
      <c r="R131" s="16">
        <f>IFERROR(tblRFM[[#This Row],[RecommendationLikelihood]],"")</f>
        <v>5</v>
      </c>
      <c r="S131" s="16">
        <f>COUNTIFS(tblTransactions[CustomerID],A131)</f>
        <v>1</v>
      </c>
      <c r="T131" s="18" t="str">
        <f>IFERROR(INDEX(tblClean[DiscountSensitivity],MATCH(A131,tblClean[CustomerID],0)),"")</f>
        <v>High</v>
      </c>
    </row>
    <row r="132" spans="1:20" ht="15" customHeight="1" x14ac:dyDescent="0.3">
      <c r="A132" s="19" t="str">
        <f>tblRFM[[#This Row],[CustomerID]]</f>
        <v>C0130</v>
      </c>
      <c r="B132" s="19" t="str">
        <f>tblRFM[[#This Row],[Name]]</f>
        <v>Meena Kumar</v>
      </c>
      <c r="C132" s="18" t="str">
        <f>IFERROR(INDEX(tblClean[Gender],MATCH(A132,tblClean[CustomerID],0)),"")</f>
        <v>Female</v>
      </c>
      <c r="D132" s="19" t="str">
        <f>tblRFM[[#This Row],[AgeGroup]]</f>
        <v>40-54</v>
      </c>
      <c r="E132" s="19" t="str">
        <f>tblRFM[[#This Row],[City/Region]]</f>
        <v>Bhubaneswar</v>
      </c>
      <c r="F132" s="19" t="str">
        <f>tblRFM[[#This Row],[IncomeBracket]]</f>
        <v>High</v>
      </c>
      <c r="G132" s="19" t="str">
        <f>tblRFM[[#This Row],[CustomerType]]</f>
        <v>New</v>
      </c>
      <c r="H132" s="19" t="str">
        <f>tblRFM[[#This Row],[EngagementLevel]]</f>
        <v>Low</v>
      </c>
      <c r="I132" s="19" t="str">
        <f ca="1">tblRFM[[#This Row],[CustomerSegment]]</f>
        <v>High Value</v>
      </c>
      <c r="J132" s="19" t="str">
        <f>tblRFM[[#This Row],[ProductPreference]]</f>
        <v>Sports</v>
      </c>
      <c r="K132" s="18" t="str">
        <f>IFERROR(INDEX(tblClean[PurchaseChannel],MATCH(A132,tblClean[CustomerID],0)),"")</f>
        <v>Offline</v>
      </c>
      <c r="L132" s="23">
        <f ca="1">tblRFM[[#This Row],[RFM_Recency]]</f>
        <v>286</v>
      </c>
      <c r="M132" s="23">
        <f>tblRFM[[#This Row],[RFM_Frequency]]</f>
        <v>7</v>
      </c>
      <c r="N132" s="23">
        <f>tblRFM[[#This Row],[RFM_Monetary]]</f>
        <v>82618</v>
      </c>
      <c r="O132" s="19" t="str">
        <f ca="1">tblRFM[[#This Row],[RFM_Score]]</f>
        <v>145</v>
      </c>
      <c r="P132" s="19">
        <f>IFERROR(tblRFM[[#This Row],[SatisfactionIndex]],"")</f>
        <v>1.75</v>
      </c>
      <c r="Q132" s="19">
        <f>IFERROR(tblRFM[[#This Row],[Satisfaction]],"")</f>
        <v>2</v>
      </c>
      <c r="R132" s="19">
        <f>IFERROR(tblRFM[[#This Row],[RecommendationLikelihood]],"")</f>
        <v>3</v>
      </c>
      <c r="S132" s="19">
        <f>COUNTIFS(tblTransactions[CustomerID],A132)</f>
        <v>7</v>
      </c>
      <c r="T132" s="18" t="str">
        <f>IFERROR(INDEX(tblClean[DiscountSensitivity],MATCH(A132,tblClean[CustomerID],0)),"")</f>
        <v>Medium</v>
      </c>
    </row>
    <row r="133" spans="1:20" ht="15" customHeight="1" x14ac:dyDescent="0.3">
      <c r="A133" s="16" t="str">
        <f>tblRFM[[#This Row],[CustomerID]]</f>
        <v>C0131</v>
      </c>
      <c r="B133" s="16" t="str">
        <f>tblRFM[[#This Row],[Name]]</f>
        <v>Priya Reddy</v>
      </c>
      <c r="C133" s="18" t="str">
        <f>IFERROR(INDEX(tblClean[Gender],MATCH(A133,tblClean[CustomerID],0)),"")</f>
        <v>Female</v>
      </c>
      <c r="D133" s="16" t="str">
        <f>tblRFM[[#This Row],[AgeGroup]]</f>
        <v>40-54</v>
      </c>
      <c r="E133" s="16" t="str">
        <f>tblRFM[[#This Row],[City/Region]]</f>
        <v>Surat</v>
      </c>
      <c r="F133" s="16" t="str">
        <f>tblRFM[[#This Row],[IncomeBracket]]</f>
        <v>Mid</v>
      </c>
      <c r="G133" s="16" t="str">
        <f>tblRFM[[#This Row],[CustomerType]]</f>
        <v>Returning</v>
      </c>
      <c r="H133" s="16" t="str">
        <f>tblRFM[[#This Row],[EngagementLevel]]</f>
        <v>Low</v>
      </c>
      <c r="I133" s="16" t="str">
        <f ca="1">tblRFM[[#This Row],[CustomerSegment]]</f>
        <v>High Value</v>
      </c>
      <c r="J133" s="16" t="str">
        <f>tblRFM[[#This Row],[ProductPreference]]</f>
        <v>Fashion</v>
      </c>
      <c r="K133" s="18" t="str">
        <f>IFERROR(INDEX(tblClean[PurchaseChannel],MATCH(A133,tblClean[CustomerID],0)),"")</f>
        <v>Online</v>
      </c>
      <c r="L133" s="22">
        <f ca="1">tblRFM[[#This Row],[RFM_Recency]]</f>
        <v>154</v>
      </c>
      <c r="M133" s="22">
        <f>tblRFM[[#This Row],[RFM_Frequency]]</f>
        <v>8</v>
      </c>
      <c r="N133" s="22">
        <f>tblRFM[[#This Row],[RFM_Monetary]]</f>
        <v>89973</v>
      </c>
      <c r="O133" s="16" t="str">
        <f ca="1">tblRFM[[#This Row],[RFM_Score]]</f>
        <v>255</v>
      </c>
      <c r="P133" s="16">
        <f>IFERROR(tblRFM[[#This Row],[SatisfactionIndex]],"")</f>
        <v>4.25</v>
      </c>
      <c r="Q133" s="16">
        <f>IFERROR(tblRFM[[#This Row],[Satisfaction]],"")</f>
        <v>4</v>
      </c>
      <c r="R133" s="16">
        <f>IFERROR(tblRFM[[#This Row],[RecommendationLikelihood]],"")</f>
        <v>9</v>
      </c>
      <c r="S133" s="16">
        <f>COUNTIFS(tblTransactions[CustomerID],A133)</f>
        <v>8</v>
      </c>
      <c r="T133" s="18" t="str">
        <f>IFERROR(INDEX(tblClean[DiscountSensitivity],MATCH(A133,tblClean[CustomerID],0)),"")</f>
        <v>High</v>
      </c>
    </row>
    <row r="134" spans="1:20" ht="15" customHeight="1" x14ac:dyDescent="0.3">
      <c r="A134" s="19" t="str">
        <f>tblRFM[[#This Row],[CustomerID]]</f>
        <v>C0132</v>
      </c>
      <c r="B134" s="19" t="str">
        <f>tblRFM[[#This Row],[Name]]</f>
        <v>Naveen Iyer</v>
      </c>
      <c r="C134" s="18" t="str">
        <f>IFERROR(INDEX(tblClean[Gender],MATCH(A134,tblClean[CustomerID],0)),"")</f>
        <v>Male</v>
      </c>
      <c r="D134" s="19" t="str">
        <f>tblRFM[[#This Row],[AgeGroup]]</f>
        <v>40-54</v>
      </c>
      <c r="E134" s="19" t="str">
        <f>tblRFM[[#This Row],[City/Region]]</f>
        <v>Surat</v>
      </c>
      <c r="F134" s="19" t="str">
        <f>tblRFM[[#This Row],[IncomeBracket]]</f>
        <v>Mid</v>
      </c>
      <c r="G134" s="19" t="str">
        <f>tblRFM[[#This Row],[CustomerType]]</f>
        <v>New</v>
      </c>
      <c r="H134" s="19" t="str">
        <f>tblRFM[[#This Row],[EngagementLevel]]</f>
        <v>High</v>
      </c>
      <c r="I134" s="19" t="str">
        <f ca="1">tblRFM[[#This Row],[CustomerSegment]]</f>
        <v>Loyal</v>
      </c>
      <c r="J134" s="19" t="str">
        <f>tblRFM[[#This Row],[ProductPreference]]</f>
        <v>Sports</v>
      </c>
      <c r="K134" s="18" t="str">
        <f>IFERROR(INDEX(tblClean[PurchaseChannel],MATCH(A134,tblClean[CustomerID],0)),"")</f>
        <v>Offline</v>
      </c>
      <c r="L134" s="23">
        <f ca="1">tblRFM[[#This Row],[RFM_Recency]]</f>
        <v>118</v>
      </c>
      <c r="M134" s="23">
        <f>tblRFM[[#This Row],[RFM_Frequency]]</f>
        <v>8</v>
      </c>
      <c r="N134" s="23">
        <f>tblRFM[[#This Row],[RFM_Monetary]]</f>
        <v>107296</v>
      </c>
      <c r="O134" s="19" t="str">
        <f ca="1">tblRFM[[#This Row],[RFM_Score]]</f>
        <v>255</v>
      </c>
      <c r="P134" s="19">
        <f>IFERROR(tblRFM[[#This Row],[SatisfactionIndex]],"")</f>
        <v>5</v>
      </c>
      <c r="Q134" s="19">
        <f>IFERROR(tblRFM[[#This Row],[Satisfaction]],"")</f>
        <v>5</v>
      </c>
      <c r="R134" s="19">
        <f>IFERROR(tblRFM[[#This Row],[RecommendationLikelihood]],"")</f>
        <v>10</v>
      </c>
      <c r="S134" s="19">
        <f>COUNTIFS(tblTransactions[CustomerID],A134)</f>
        <v>8</v>
      </c>
      <c r="T134" s="18" t="str">
        <f>IFERROR(INDEX(tblClean[DiscountSensitivity],MATCH(A134,tblClean[CustomerID],0)),"")</f>
        <v>Medium</v>
      </c>
    </row>
    <row r="135" spans="1:20" ht="15" customHeight="1" x14ac:dyDescent="0.3">
      <c r="A135" s="16" t="str">
        <f>tblRFM[[#This Row],[CustomerID]]</f>
        <v>C0133</v>
      </c>
      <c r="B135" s="16" t="str">
        <f>tblRFM[[#This Row],[Name]]</f>
        <v>Ritu Reddy</v>
      </c>
      <c r="C135" s="18" t="str">
        <f>IFERROR(INDEX(tblClean[Gender],MATCH(A135,tblClean[CustomerID],0)),"")</f>
        <v>Female</v>
      </c>
      <c r="D135" s="16" t="str">
        <f>tblRFM[[#This Row],[AgeGroup]]</f>
        <v>55+</v>
      </c>
      <c r="E135" s="16" t="str">
        <f>tblRFM[[#This Row],[City/Region]]</f>
        <v>Chennai</v>
      </c>
      <c r="F135" s="16" t="str">
        <f>tblRFM[[#This Row],[IncomeBracket]]</f>
        <v>Mid</v>
      </c>
      <c r="G135" s="16" t="str">
        <f>tblRFM[[#This Row],[CustomerType]]</f>
        <v>New</v>
      </c>
      <c r="H135" s="16" t="str">
        <f>tblRFM[[#This Row],[EngagementLevel]]</f>
        <v>High</v>
      </c>
      <c r="I135" s="16" t="str">
        <f ca="1">tblRFM[[#This Row],[CustomerSegment]]</f>
        <v>General</v>
      </c>
      <c r="J135" s="16" t="str">
        <f>tblRFM[[#This Row],[ProductPreference]]</f>
        <v>Home Decor</v>
      </c>
      <c r="K135" s="18" t="str">
        <f>IFERROR(INDEX(tblClean[PurchaseChannel],MATCH(A135,tblClean[CustomerID],0)),"")</f>
        <v>Offline</v>
      </c>
      <c r="L135" s="22">
        <f ca="1">tblRFM[[#This Row],[RFM_Recency]]</f>
        <v>223</v>
      </c>
      <c r="M135" s="22">
        <f>tblRFM[[#This Row],[RFM_Frequency]]</f>
        <v>3</v>
      </c>
      <c r="N135" s="22">
        <f>tblRFM[[#This Row],[RFM_Monetary]]</f>
        <v>40265</v>
      </c>
      <c r="O135" s="16" t="str">
        <f ca="1">tblRFM[[#This Row],[RFM_Score]]</f>
        <v>124</v>
      </c>
      <c r="P135" s="16">
        <f>IFERROR(tblRFM[[#This Row],[SatisfactionIndex]],"")</f>
        <v>2.75</v>
      </c>
      <c r="Q135" s="16">
        <f>IFERROR(tblRFM[[#This Row],[Satisfaction]],"")</f>
        <v>1</v>
      </c>
      <c r="R135" s="16">
        <f>IFERROR(tblRFM[[#This Row],[RecommendationLikelihood]],"")</f>
        <v>9</v>
      </c>
      <c r="S135" s="16">
        <f>COUNTIFS(tblTransactions[CustomerID],A135)</f>
        <v>3</v>
      </c>
      <c r="T135" s="18" t="str">
        <f>IFERROR(INDEX(tblClean[DiscountSensitivity],MATCH(A135,tblClean[CustomerID],0)),"")</f>
        <v>High</v>
      </c>
    </row>
    <row r="136" spans="1:20" ht="15" customHeight="1" x14ac:dyDescent="0.3">
      <c r="A136" s="19" t="str">
        <f>tblRFM[[#This Row],[CustomerID]]</f>
        <v>C0134</v>
      </c>
      <c r="B136" s="19" t="str">
        <f>tblRFM[[#This Row],[Name]]</f>
        <v>Vijay Verma</v>
      </c>
      <c r="C136" s="18" t="str">
        <f>IFERROR(INDEX(tblClean[Gender],MATCH(A136,tblClean[CustomerID],0)),"")</f>
        <v>Male</v>
      </c>
      <c r="D136" s="19" t="str">
        <f>tblRFM[[#This Row],[AgeGroup]]</f>
        <v>40-54</v>
      </c>
      <c r="E136" s="19" t="str">
        <f>tblRFM[[#This Row],[City/Region]]</f>
        <v>Vadodara</v>
      </c>
      <c r="F136" s="19" t="str">
        <f>tblRFM[[#This Row],[IncomeBracket]]</f>
        <v>High</v>
      </c>
      <c r="G136" s="19" t="str">
        <f>tblRFM[[#This Row],[CustomerType]]</f>
        <v>New</v>
      </c>
      <c r="H136" s="19" t="str">
        <f>tblRFM[[#This Row],[EngagementLevel]]</f>
        <v>High</v>
      </c>
      <c r="I136" s="19" t="str">
        <f ca="1">tblRFM[[#This Row],[CustomerSegment]]</f>
        <v>High Value</v>
      </c>
      <c r="J136" s="19" t="str">
        <f>tblRFM[[#This Row],[ProductPreference]]</f>
        <v>Grocery</v>
      </c>
      <c r="K136" s="18" t="str">
        <f>IFERROR(INDEX(tblClean[PurchaseChannel],MATCH(A136,tblClean[CustomerID],0)),"")</f>
        <v>Offline</v>
      </c>
      <c r="L136" s="23">
        <f ca="1">tblRFM[[#This Row],[RFM_Recency]]</f>
        <v>291</v>
      </c>
      <c r="M136" s="23">
        <f>tblRFM[[#This Row],[RFM_Frequency]]</f>
        <v>4</v>
      </c>
      <c r="N136" s="23">
        <f>tblRFM[[#This Row],[RFM_Monetary]]</f>
        <v>71709</v>
      </c>
      <c r="O136" s="19" t="str">
        <f ca="1">tblRFM[[#This Row],[RFM_Score]]</f>
        <v>135</v>
      </c>
      <c r="P136" s="19">
        <f>IFERROR(tblRFM[[#This Row],[SatisfactionIndex]],"")</f>
        <v>3.5</v>
      </c>
      <c r="Q136" s="19">
        <f>IFERROR(tblRFM[[#This Row],[Satisfaction]],"")</f>
        <v>3</v>
      </c>
      <c r="R136" s="19">
        <f>IFERROR(tblRFM[[#This Row],[RecommendationLikelihood]],"")</f>
        <v>8</v>
      </c>
      <c r="S136" s="19">
        <f>COUNTIFS(tblTransactions[CustomerID],A136)</f>
        <v>4</v>
      </c>
      <c r="T136" s="18" t="str">
        <f>IFERROR(INDEX(tblClean[DiscountSensitivity],MATCH(A136,tblClean[CustomerID],0)),"")</f>
        <v>Medium</v>
      </c>
    </row>
    <row r="137" spans="1:20" ht="15" customHeight="1" x14ac:dyDescent="0.3">
      <c r="A137" s="16" t="str">
        <f>tblRFM[[#This Row],[CustomerID]]</f>
        <v>C0135</v>
      </c>
      <c r="B137" s="16" t="str">
        <f>tblRFM[[#This Row],[Name]]</f>
        <v>Swati Nair</v>
      </c>
      <c r="C137" s="18" t="str">
        <f>IFERROR(INDEX(tblClean[Gender],MATCH(A137,tblClean[CustomerID],0)),"")</f>
        <v>Female</v>
      </c>
      <c r="D137" s="16" t="str">
        <f>tblRFM[[#This Row],[AgeGroup]]</f>
        <v>25-39</v>
      </c>
      <c r="E137" s="16" t="str">
        <f>tblRFM[[#This Row],[City/Region]]</f>
        <v>Ahmedabad</v>
      </c>
      <c r="F137" s="16" t="str">
        <f>tblRFM[[#This Row],[IncomeBracket]]</f>
        <v>High</v>
      </c>
      <c r="G137" s="16" t="str">
        <f>tblRFM[[#This Row],[CustomerType]]</f>
        <v>New</v>
      </c>
      <c r="H137" s="16" t="str">
        <f>tblRFM[[#This Row],[EngagementLevel]]</f>
        <v>Low</v>
      </c>
      <c r="I137" s="16" t="str">
        <f ca="1">tblRFM[[#This Row],[CustomerSegment]]</f>
        <v>At Risk</v>
      </c>
      <c r="J137" s="16" t="str">
        <f>tblRFM[[#This Row],[ProductPreference]]</f>
        <v>Fashion</v>
      </c>
      <c r="K137" s="18" t="str">
        <f>IFERROR(INDEX(tblClean[PurchaseChannel],MATCH(A137,tblClean[CustomerID],0)),"")</f>
        <v>Online</v>
      </c>
      <c r="L137" s="22">
        <f ca="1">tblRFM[[#This Row],[RFM_Recency]]</f>
        <v>252</v>
      </c>
      <c r="M137" s="22">
        <f>tblRFM[[#This Row],[RFM_Frequency]]</f>
        <v>2</v>
      </c>
      <c r="N137" s="22">
        <f>tblRFM[[#This Row],[RFM_Monetary]]</f>
        <v>27506</v>
      </c>
      <c r="O137" s="16" t="str">
        <f ca="1">tblRFM[[#This Row],[RFM_Score]]</f>
        <v>123</v>
      </c>
      <c r="P137" s="16">
        <f>IFERROR(tblRFM[[#This Row],[SatisfactionIndex]],"")</f>
        <v>4.25</v>
      </c>
      <c r="Q137" s="16">
        <f>IFERROR(tblRFM[[#This Row],[Satisfaction]],"")</f>
        <v>5</v>
      </c>
      <c r="R137" s="16">
        <f>IFERROR(tblRFM[[#This Row],[RecommendationLikelihood]],"")</f>
        <v>7</v>
      </c>
      <c r="S137" s="16">
        <f>COUNTIFS(tblTransactions[CustomerID],A137)</f>
        <v>2</v>
      </c>
      <c r="T137" s="18" t="str">
        <f>IFERROR(INDEX(tblClean[DiscountSensitivity],MATCH(A137,tblClean[CustomerID],0)),"")</f>
        <v>Low</v>
      </c>
    </row>
    <row r="138" spans="1:20" ht="15" customHeight="1" x14ac:dyDescent="0.3">
      <c r="A138" s="19" t="str">
        <f>tblRFM[[#This Row],[CustomerID]]</f>
        <v>C0136</v>
      </c>
      <c r="B138" s="19" t="str">
        <f>tblRFM[[#This Row],[Name]]</f>
        <v>Divya Pillai</v>
      </c>
      <c r="C138" s="18" t="str">
        <f>IFERROR(INDEX(tblClean[Gender],MATCH(A138,tblClean[CustomerID],0)),"")</f>
        <v>Female</v>
      </c>
      <c r="D138" s="19" t="str">
        <f>tblRFM[[#This Row],[AgeGroup]]</f>
        <v>55+</v>
      </c>
      <c r="E138" s="19" t="str">
        <f>tblRFM[[#This Row],[City/Region]]</f>
        <v>Vadodara</v>
      </c>
      <c r="F138" s="19" t="str">
        <f>tblRFM[[#This Row],[IncomeBracket]]</f>
        <v>Mid</v>
      </c>
      <c r="G138" s="19" t="str">
        <f>tblRFM[[#This Row],[CustomerType]]</f>
        <v>Returning</v>
      </c>
      <c r="H138" s="19" t="str">
        <f>tblRFM[[#This Row],[EngagementLevel]]</f>
        <v>Medium</v>
      </c>
      <c r="I138" s="19" t="str">
        <f ca="1">tblRFM[[#This Row],[CustomerSegment]]</f>
        <v>High Value</v>
      </c>
      <c r="J138" s="19" t="str">
        <f>tblRFM[[#This Row],[ProductPreference]]</f>
        <v>Electronics</v>
      </c>
      <c r="K138" s="18" t="str">
        <f>IFERROR(INDEX(tblClean[PurchaseChannel],MATCH(A138,tblClean[CustomerID],0)),"")</f>
        <v>Offline</v>
      </c>
      <c r="L138" s="23">
        <f ca="1">tblRFM[[#This Row],[RFM_Recency]]</f>
        <v>302</v>
      </c>
      <c r="M138" s="23">
        <f>tblRFM[[#This Row],[RFM_Frequency]]</f>
        <v>7</v>
      </c>
      <c r="N138" s="23">
        <f>tblRFM[[#This Row],[RFM_Monetary]]</f>
        <v>74030</v>
      </c>
      <c r="O138" s="19" t="str">
        <f ca="1">tblRFM[[#This Row],[RFM_Score]]</f>
        <v>145</v>
      </c>
      <c r="P138" s="19">
        <f>IFERROR(tblRFM[[#This Row],[SatisfactionIndex]],"")</f>
        <v>1.75</v>
      </c>
      <c r="Q138" s="19">
        <f>IFERROR(tblRFM[[#This Row],[Satisfaction]],"")</f>
        <v>1</v>
      </c>
      <c r="R138" s="19">
        <f>IFERROR(tblRFM[[#This Row],[RecommendationLikelihood]],"")</f>
        <v>5</v>
      </c>
      <c r="S138" s="19">
        <f>COUNTIFS(tblTransactions[CustomerID],A138)</f>
        <v>7</v>
      </c>
      <c r="T138" s="18" t="str">
        <f>IFERROR(INDEX(tblClean[DiscountSensitivity],MATCH(A138,tblClean[CustomerID],0)),"")</f>
        <v>Low</v>
      </c>
    </row>
    <row r="139" spans="1:20" ht="15" customHeight="1" x14ac:dyDescent="0.3">
      <c r="A139" s="16" t="str">
        <f>tblRFM[[#This Row],[CustomerID]]</f>
        <v>C0137</v>
      </c>
      <c r="B139" s="16" t="str">
        <f>tblRFM[[#This Row],[Name]]</f>
        <v>Manoj Singh</v>
      </c>
      <c r="C139" s="18" t="str">
        <f>IFERROR(INDEX(tblClean[Gender],MATCH(A139,tblClean[CustomerID],0)),"")</f>
        <v>Male</v>
      </c>
      <c r="D139" s="16" t="str">
        <f>tblRFM[[#This Row],[AgeGroup]]</f>
        <v>40-54</v>
      </c>
      <c r="E139" s="16" t="str">
        <f>tblRFM[[#This Row],[City/Region]]</f>
        <v>Ahmedabad</v>
      </c>
      <c r="F139" s="16" t="str">
        <f>tblRFM[[#This Row],[IncomeBracket]]</f>
        <v>Mid</v>
      </c>
      <c r="G139" s="16" t="str">
        <f>tblRFM[[#This Row],[CustomerType]]</f>
        <v>New</v>
      </c>
      <c r="H139" s="16" t="str">
        <f>tblRFM[[#This Row],[EngagementLevel]]</f>
        <v>High</v>
      </c>
      <c r="I139" s="16" t="str">
        <f ca="1">tblRFM[[#This Row],[CustomerSegment]]</f>
        <v>High Value</v>
      </c>
      <c r="J139" s="16" t="str">
        <f>tblRFM[[#This Row],[ProductPreference]]</f>
        <v>Fashion</v>
      </c>
      <c r="K139" s="18" t="str">
        <f>IFERROR(INDEX(tblClean[PurchaseChannel],MATCH(A139,tblClean[CustomerID],0)),"")</f>
        <v>Offline</v>
      </c>
      <c r="L139" s="22">
        <f ca="1">tblRFM[[#This Row],[RFM_Recency]]</f>
        <v>315</v>
      </c>
      <c r="M139" s="22">
        <f>tblRFM[[#This Row],[RFM_Frequency]]</f>
        <v>9</v>
      </c>
      <c r="N139" s="22">
        <f>tblRFM[[#This Row],[RFM_Monetary]]</f>
        <v>154391</v>
      </c>
      <c r="O139" s="16" t="str">
        <f ca="1">tblRFM[[#This Row],[RFM_Score]]</f>
        <v>155</v>
      </c>
      <c r="P139" s="16">
        <f>IFERROR(tblRFM[[#This Row],[SatisfactionIndex]],"")</f>
        <v>1.75</v>
      </c>
      <c r="Q139" s="16">
        <f>IFERROR(tblRFM[[#This Row],[Satisfaction]],"")</f>
        <v>1</v>
      </c>
      <c r="R139" s="16">
        <f>IFERROR(tblRFM[[#This Row],[RecommendationLikelihood]],"")</f>
        <v>5</v>
      </c>
      <c r="S139" s="16">
        <f>COUNTIFS(tblTransactions[CustomerID],A139)</f>
        <v>9</v>
      </c>
      <c r="T139" s="18" t="str">
        <f>IFERROR(INDEX(tblClean[DiscountSensitivity],MATCH(A139,tblClean[CustomerID],0)),"")</f>
        <v>Low</v>
      </c>
    </row>
    <row r="140" spans="1:20" ht="15" customHeight="1" x14ac:dyDescent="0.3">
      <c r="A140" s="19" t="str">
        <f>tblRFM[[#This Row],[CustomerID]]</f>
        <v>C0138</v>
      </c>
      <c r="B140" s="19" t="str">
        <f>tblRFM[[#This Row],[Name]]</f>
        <v>Nisha Rao</v>
      </c>
      <c r="C140" s="18" t="str">
        <f>IFERROR(INDEX(tblClean[Gender],MATCH(A140,tblClean[CustomerID],0)),"")</f>
        <v>Female</v>
      </c>
      <c r="D140" s="19" t="str">
        <f>tblRFM[[#This Row],[AgeGroup]]</f>
        <v>40-54</v>
      </c>
      <c r="E140" s="19" t="str">
        <f>tblRFM[[#This Row],[City/Region]]</f>
        <v>Coimbatore</v>
      </c>
      <c r="F140" s="19" t="str">
        <f>tblRFM[[#This Row],[IncomeBracket]]</f>
        <v>High</v>
      </c>
      <c r="G140" s="19" t="str">
        <f>tblRFM[[#This Row],[CustomerType]]</f>
        <v>New</v>
      </c>
      <c r="H140" s="19" t="str">
        <f>tblRFM[[#This Row],[EngagementLevel]]</f>
        <v>High</v>
      </c>
      <c r="I140" s="19" t="str">
        <f ca="1">tblRFM[[#This Row],[CustomerSegment]]</f>
        <v>General</v>
      </c>
      <c r="J140" s="19" t="str">
        <f>tblRFM[[#This Row],[ProductPreference]]</f>
        <v>Home Decor</v>
      </c>
      <c r="K140" s="18" t="str">
        <f>IFERROR(INDEX(tblClean[PurchaseChannel],MATCH(A140,tblClean[CustomerID],0)),"")</f>
        <v>Offline</v>
      </c>
      <c r="L140" s="23">
        <f ca="1">tblRFM[[#This Row],[RFM_Recency]]</f>
        <v>147</v>
      </c>
      <c r="M140" s="23">
        <f>tblRFM[[#This Row],[RFM_Frequency]]</f>
        <v>3</v>
      </c>
      <c r="N140" s="23">
        <f>tblRFM[[#This Row],[RFM_Monetary]]</f>
        <v>43091</v>
      </c>
      <c r="O140" s="19" t="str">
        <f ca="1">tblRFM[[#This Row],[RFM_Score]]</f>
        <v>224</v>
      </c>
      <c r="P140" s="19">
        <f>IFERROR(tblRFM[[#This Row],[SatisfactionIndex]],"")</f>
        <v>3.5</v>
      </c>
      <c r="Q140" s="19">
        <f>IFERROR(tblRFM[[#This Row],[Satisfaction]],"")</f>
        <v>3</v>
      </c>
      <c r="R140" s="19">
        <f>IFERROR(tblRFM[[#This Row],[RecommendationLikelihood]],"")</f>
        <v>8</v>
      </c>
      <c r="S140" s="19">
        <f>COUNTIFS(tblTransactions[CustomerID],A140)</f>
        <v>3</v>
      </c>
      <c r="T140" s="18" t="str">
        <f>IFERROR(INDEX(tblClean[DiscountSensitivity],MATCH(A140,tblClean[CustomerID],0)),"")</f>
        <v>Medium</v>
      </c>
    </row>
    <row r="141" spans="1:20" ht="15" customHeight="1" x14ac:dyDescent="0.3">
      <c r="A141" s="16" t="str">
        <f>tblRFM[[#This Row],[CustomerID]]</f>
        <v>C0139</v>
      </c>
      <c r="B141" s="16" t="str">
        <f>tblRFM[[#This Row],[Name]]</f>
        <v>Rekha Reddy</v>
      </c>
      <c r="C141" s="18" t="str">
        <f>IFERROR(INDEX(tblClean[Gender],MATCH(A141,tblClean[CustomerID],0)),"")</f>
        <v>Female</v>
      </c>
      <c r="D141" s="16" t="str">
        <f>tblRFM[[#This Row],[AgeGroup]]</f>
        <v>55+</v>
      </c>
      <c r="E141" s="16" t="str">
        <f>tblRFM[[#This Row],[City/Region]]</f>
        <v>Ahmedabad</v>
      </c>
      <c r="F141" s="16" t="str">
        <f>tblRFM[[#This Row],[IncomeBracket]]</f>
        <v>High</v>
      </c>
      <c r="G141" s="16" t="str">
        <f>tblRFM[[#This Row],[CustomerType]]</f>
        <v>New</v>
      </c>
      <c r="H141" s="16" t="str">
        <f>tblRFM[[#This Row],[EngagementLevel]]</f>
        <v>Medium</v>
      </c>
      <c r="I141" s="16" t="str">
        <f ca="1">tblRFM[[#This Row],[CustomerSegment]]</f>
        <v>At Risk</v>
      </c>
      <c r="J141" s="16" t="str">
        <f>tblRFM[[#This Row],[ProductPreference]]</f>
        <v>Sports</v>
      </c>
      <c r="K141" s="18" t="str">
        <f>IFERROR(INDEX(tblClean[PurchaseChannel],MATCH(A141,tblClean[CustomerID],0)),"")</f>
        <v>Offline</v>
      </c>
      <c r="L141" s="22">
        <f ca="1">tblRFM[[#This Row],[RFM_Recency]]</f>
        <v>214</v>
      </c>
      <c r="M141" s="22">
        <f>tblRFM[[#This Row],[RFM_Frequency]]</f>
        <v>1</v>
      </c>
      <c r="N141" s="22">
        <f>tblRFM[[#This Row],[RFM_Monetary]]</f>
        <v>9172</v>
      </c>
      <c r="O141" s="16" t="str">
        <f ca="1">tblRFM[[#This Row],[RFM_Score]]</f>
        <v>112</v>
      </c>
      <c r="P141" s="16">
        <f>IFERROR(tblRFM[[#This Row],[SatisfactionIndex]],"")</f>
        <v>1.5</v>
      </c>
      <c r="Q141" s="16">
        <f>IFERROR(tblRFM[[#This Row],[Satisfaction]],"")</f>
        <v>1</v>
      </c>
      <c r="R141" s="16">
        <f>IFERROR(tblRFM[[#This Row],[RecommendationLikelihood]],"")</f>
        <v>4</v>
      </c>
      <c r="S141" s="16">
        <f>COUNTIFS(tblTransactions[CustomerID],A141)</f>
        <v>1</v>
      </c>
      <c r="T141" s="18" t="str">
        <f>IFERROR(INDEX(tblClean[DiscountSensitivity],MATCH(A141,tblClean[CustomerID],0)),"")</f>
        <v>Medium</v>
      </c>
    </row>
    <row r="142" spans="1:20" ht="15" customHeight="1" x14ac:dyDescent="0.3">
      <c r="A142" s="19" t="str">
        <f>tblRFM[[#This Row],[CustomerID]]</f>
        <v>C0140</v>
      </c>
      <c r="B142" s="19" t="str">
        <f>tblRFM[[#This Row],[Name]]</f>
        <v>Sunita Joshi</v>
      </c>
      <c r="C142" s="18" t="str">
        <f>IFERROR(INDEX(tblClean[Gender],MATCH(A142,tblClean[CustomerID],0)),"")</f>
        <v>Female</v>
      </c>
      <c r="D142" s="19" t="str">
        <f>tblRFM[[#This Row],[AgeGroup]]</f>
        <v>25-39</v>
      </c>
      <c r="E142" s="19" t="str">
        <f>tblRFM[[#This Row],[City/Region]]</f>
        <v>Pune</v>
      </c>
      <c r="F142" s="19" t="str">
        <f>tblRFM[[#This Row],[IncomeBracket]]</f>
        <v>Mid</v>
      </c>
      <c r="G142" s="19" t="str">
        <f>tblRFM[[#This Row],[CustomerType]]</f>
        <v>Returning</v>
      </c>
      <c r="H142" s="19" t="str">
        <f>tblRFM[[#This Row],[EngagementLevel]]</f>
        <v>Medium</v>
      </c>
      <c r="I142" s="19" t="str">
        <f ca="1">tblRFM[[#This Row],[CustomerSegment]]</f>
        <v>Loyal</v>
      </c>
      <c r="J142" s="19" t="str">
        <f>tblRFM[[#This Row],[ProductPreference]]</f>
        <v>Beauty</v>
      </c>
      <c r="K142" s="18" t="str">
        <f>IFERROR(INDEX(tblClean[PurchaseChannel],MATCH(A142,tblClean[CustomerID],0)),"")</f>
        <v>Offline</v>
      </c>
      <c r="L142" s="23">
        <f ca="1">tblRFM[[#This Row],[RFM_Recency]]</f>
        <v>272</v>
      </c>
      <c r="M142" s="23">
        <f>tblRFM[[#This Row],[RFM_Frequency]]</f>
        <v>4</v>
      </c>
      <c r="N142" s="23">
        <f>tblRFM[[#This Row],[RFM_Monetary]]</f>
        <v>63889</v>
      </c>
      <c r="O142" s="19" t="str">
        <f ca="1">tblRFM[[#This Row],[RFM_Score]]</f>
        <v>135</v>
      </c>
      <c r="P142" s="19">
        <f>IFERROR(tblRFM[[#This Row],[SatisfactionIndex]],"")</f>
        <v>5</v>
      </c>
      <c r="Q142" s="19">
        <f>IFERROR(tblRFM[[#This Row],[Satisfaction]],"")</f>
        <v>5</v>
      </c>
      <c r="R142" s="19">
        <f>IFERROR(tblRFM[[#This Row],[RecommendationLikelihood]],"")</f>
        <v>10</v>
      </c>
      <c r="S142" s="19">
        <f>COUNTIFS(tblTransactions[CustomerID],A142)</f>
        <v>4</v>
      </c>
      <c r="T142" s="18" t="str">
        <f>IFERROR(INDEX(tblClean[DiscountSensitivity],MATCH(A142,tblClean[CustomerID],0)),"")</f>
        <v>Low</v>
      </c>
    </row>
    <row r="143" spans="1:20" ht="15" customHeight="1" x14ac:dyDescent="0.3">
      <c r="A143" s="16" t="str">
        <f>tblRFM[[#This Row],[CustomerID]]</f>
        <v>C0141</v>
      </c>
      <c r="B143" s="16" t="str">
        <f>tblRFM[[#This Row],[Name]]</f>
        <v>Kunal Nair</v>
      </c>
      <c r="C143" s="18" t="str">
        <f>IFERROR(INDEX(tblClean[Gender],MATCH(A143,tblClean[CustomerID],0)),"")</f>
        <v>Male</v>
      </c>
      <c r="D143" s="16" t="str">
        <f>tblRFM[[#This Row],[AgeGroup]]</f>
        <v>55+</v>
      </c>
      <c r="E143" s="16" t="str">
        <f>tblRFM[[#This Row],[City/Region]]</f>
        <v>Bhopal</v>
      </c>
      <c r="F143" s="16" t="str">
        <f>tblRFM[[#This Row],[IncomeBracket]]</f>
        <v>High</v>
      </c>
      <c r="G143" s="16" t="str">
        <f>tblRFM[[#This Row],[CustomerType]]</f>
        <v>Returning</v>
      </c>
      <c r="H143" s="16" t="str">
        <f>tblRFM[[#This Row],[EngagementLevel]]</f>
        <v>Medium</v>
      </c>
      <c r="I143" s="16" t="str">
        <f ca="1">tblRFM[[#This Row],[CustomerSegment]]</f>
        <v>Loyal</v>
      </c>
      <c r="J143" s="16" t="str">
        <f>tblRFM[[#This Row],[ProductPreference]]</f>
        <v>Beauty</v>
      </c>
      <c r="K143" s="18" t="str">
        <f>IFERROR(INDEX(tblClean[PurchaseChannel],MATCH(A143,tblClean[CustomerID],0)),"")</f>
        <v>Offline</v>
      </c>
      <c r="L143" s="22">
        <f ca="1">tblRFM[[#This Row],[RFM_Recency]]</f>
        <v>98</v>
      </c>
      <c r="M143" s="22">
        <f>tblRFM[[#This Row],[RFM_Frequency]]</f>
        <v>4</v>
      </c>
      <c r="N143" s="22">
        <f>tblRFM[[#This Row],[RFM_Monetary]]</f>
        <v>63932</v>
      </c>
      <c r="O143" s="16" t="str">
        <f ca="1">tblRFM[[#This Row],[RFM_Score]]</f>
        <v>235</v>
      </c>
      <c r="P143" s="16">
        <f>IFERROR(tblRFM[[#This Row],[SatisfactionIndex]],"")</f>
        <v>4.5</v>
      </c>
      <c r="Q143" s="16">
        <f>IFERROR(tblRFM[[#This Row],[Satisfaction]],"")</f>
        <v>4</v>
      </c>
      <c r="R143" s="16">
        <f>IFERROR(tblRFM[[#This Row],[RecommendationLikelihood]],"")</f>
        <v>10</v>
      </c>
      <c r="S143" s="16">
        <f>COUNTIFS(tblTransactions[CustomerID],A143)</f>
        <v>4</v>
      </c>
      <c r="T143" s="18" t="str">
        <f>IFERROR(INDEX(tblClean[DiscountSensitivity],MATCH(A143,tblClean[CustomerID],0)),"")</f>
        <v>High</v>
      </c>
    </row>
    <row r="144" spans="1:20" ht="15" customHeight="1" x14ac:dyDescent="0.3">
      <c r="A144" s="19" t="str">
        <f>tblRFM[[#This Row],[CustomerID]]</f>
        <v>C0142</v>
      </c>
      <c r="B144" s="19" t="str">
        <f>tblRFM[[#This Row],[Name]]</f>
        <v>Geeta Sharma</v>
      </c>
      <c r="C144" s="18" t="str">
        <f>IFERROR(INDEX(tblClean[Gender],MATCH(A144,tblClean[CustomerID],0)),"")</f>
        <v>Female</v>
      </c>
      <c r="D144" s="19" t="str">
        <f>tblRFM[[#This Row],[AgeGroup]]</f>
        <v>40-54</v>
      </c>
      <c r="E144" s="19" t="str">
        <f>tblRFM[[#This Row],[City/Region]]</f>
        <v>Patna</v>
      </c>
      <c r="F144" s="19" t="str">
        <f>tblRFM[[#This Row],[IncomeBracket]]</f>
        <v>Mid</v>
      </c>
      <c r="G144" s="19" t="str">
        <f>tblRFM[[#This Row],[CustomerType]]</f>
        <v>New</v>
      </c>
      <c r="H144" s="19" t="str">
        <f>tblRFM[[#This Row],[EngagementLevel]]</f>
        <v>Medium</v>
      </c>
      <c r="I144" s="19" t="str">
        <f ca="1">tblRFM[[#This Row],[CustomerSegment]]</f>
        <v>General</v>
      </c>
      <c r="J144" s="19" t="str">
        <f>tblRFM[[#This Row],[ProductPreference]]</f>
        <v>Sports</v>
      </c>
      <c r="K144" s="18" t="str">
        <f>IFERROR(INDEX(tblClean[PurchaseChannel],MATCH(A144,tblClean[CustomerID],0)),"")</f>
        <v>Offline</v>
      </c>
      <c r="L144" s="23">
        <f ca="1">tblRFM[[#This Row],[RFM_Recency]]</f>
        <v>59</v>
      </c>
      <c r="M144" s="23">
        <f>tblRFM[[#This Row],[RFM_Frequency]]</f>
        <v>4</v>
      </c>
      <c r="N144" s="23">
        <f>tblRFM[[#This Row],[RFM_Monetary]]</f>
        <v>39858</v>
      </c>
      <c r="O144" s="19" t="str">
        <f ca="1">tblRFM[[#This Row],[RFM_Score]]</f>
        <v>434</v>
      </c>
      <c r="P144" s="19">
        <f>IFERROR(tblRFM[[#This Row],[SatisfactionIndex]],"")</f>
        <v>2</v>
      </c>
      <c r="Q144" s="19">
        <f>IFERROR(tblRFM[[#This Row],[Satisfaction]],"")</f>
        <v>2</v>
      </c>
      <c r="R144" s="19">
        <f>IFERROR(tblRFM[[#This Row],[RecommendationLikelihood]],"")</f>
        <v>4</v>
      </c>
      <c r="S144" s="19">
        <f>COUNTIFS(tblTransactions[CustomerID],A144)</f>
        <v>4</v>
      </c>
      <c r="T144" s="18" t="str">
        <f>IFERROR(INDEX(tblClean[DiscountSensitivity],MATCH(A144,tblClean[CustomerID],0)),"")</f>
        <v>Low</v>
      </c>
    </row>
    <row r="145" spans="1:20" ht="15" customHeight="1" x14ac:dyDescent="0.3">
      <c r="A145" s="16" t="str">
        <f>tblRFM[[#This Row],[CustomerID]]</f>
        <v>C0143</v>
      </c>
      <c r="B145" s="16" t="str">
        <f>tblRFM[[#This Row],[Name]]</f>
        <v>Deepak Mehta</v>
      </c>
      <c r="C145" s="18" t="str">
        <f>IFERROR(INDEX(tblClean[Gender],MATCH(A145,tblClean[CustomerID],0)),"")</f>
        <v>Male</v>
      </c>
      <c r="D145" s="16" t="str">
        <f>tblRFM[[#This Row],[AgeGroup]]</f>
        <v>25-39</v>
      </c>
      <c r="E145" s="16" t="str">
        <f>tblRFM[[#This Row],[City/Region]]</f>
        <v>Surat</v>
      </c>
      <c r="F145" s="16" t="str">
        <f>tblRFM[[#This Row],[IncomeBracket]]</f>
        <v>Mid</v>
      </c>
      <c r="G145" s="16" t="str">
        <f>tblRFM[[#This Row],[CustomerType]]</f>
        <v>New</v>
      </c>
      <c r="H145" s="16" t="str">
        <f>tblRFM[[#This Row],[EngagementLevel]]</f>
        <v>Medium</v>
      </c>
      <c r="I145" s="16" t="str">
        <f ca="1">tblRFM[[#This Row],[CustomerSegment]]</f>
        <v>At Risk</v>
      </c>
      <c r="J145" s="16" t="str">
        <f>tblRFM[[#This Row],[ProductPreference]]</f>
        <v>Grocery</v>
      </c>
      <c r="K145" s="18" t="str">
        <f>IFERROR(INDEX(tblClean[PurchaseChannel],MATCH(A145,tblClean[CustomerID],0)),"")</f>
        <v>Online</v>
      </c>
      <c r="L145" s="22">
        <f ca="1">tblRFM[[#This Row],[RFM_Recency]]</f>
        <v>210</v>
      </c>
      <c r="M145" s="22">
        <f>tblRFM[[#This Row],[RFM_Frequency]]</f>
        <v>2</v>
      </c>
      <c r="N145" s="22">
        <f>tblRFM[[#This Row],[RFM_Monetary]]</f>
        <v>31017</v>
      </c>
      <c r="O145" s="16" t="str">
        <f ca="1">tblRFM[[#This Row],[RFM_Score]]</f>
        <v>124</v>
      </c>
      <c r="P145" s="16">
        <f>IFERROR(tblRFM[[#This Row],[SatisfactionIndex]],"")</f>
        <v>2.75</v>
      </c>
      <c r="Q145" s="16">
        <f>IFERROR(tblRFM[[#This Row],[Satisfaction]],"")</f>
        <v>1</v>
      </c>
      <c r="R145" s="16">
        <f>IFERROR(tblRFM[[#This Row],[RecommendationLikelihood]],"")</f>
        <v>9</v>
      </c>
      <c r="S145" s="16">
        <f>COUNTIFS(tblTransactions[CustomerID],A145)</f>
        <v>2</v>
      </c>
      <c r="T145" s="18" t="str">
        <f>IFERROR(INDEX(tblClean[DiscountSensitivity],MATCH(A145,tblClean[CustomerID],0)),"")</f>
        <v>Medium</v>
      </c>
    </row>
    <row r="146" spans="1:20" ht="15" customHeight="1" x14ac:dyDescent="0.3">
      <c r="A146" s="19" t="str">
        <f>tblRFM[[#This Row],[CustomerID]]</f>
        <v>C0144</v>
      </c>
      <c r="B146" s="19" t="str">
        <f>tblRFM[[#This Row],[Name]]</f>
        <v>Pooja Patel</v>
      </c>
      <c r="C146" s="18" t="str">
        <f>IFERROR(INDEX(tblClean[Gender],MATCH(A146,tblClean[CustomerID],0)),"")</f>
        <v>Female</v>
      </c>
      <c r="D146" s="19" t="str">
        <f>tblRFM[[#This Row],[AgeGroup]]</f>
        <v>25-39</v>
      </c>
      <c r="E146" s="19" t="str">
        <f>tblRFM[[#This Row],[City/Region]]</f>
        <v>Surat</v>
      </c>
      <c r="F146" s="19" t="str">
        <f>tblRFM[[#This Row],[IncomeBracket]]</f>
        <v>High</v>
      </c>
      <c r="G146" s="19" t="str">
        <f>tblRFM[[#This Row],[CustomerType]]</f>
        <v>New</v>
      </c>
      <c r="H146" s="19" t="str">
        <f>tblRFM[[#This Row],[EngagementLevel]]</f>
        <v>High</v>
      </c>
      <c r="I146" s="19" t="str">
        <f ca="1">tblRFM[[#This Row],[CustomerSegment]]</f>
        <v>High Value</v>
      </c>
      <c r="J146" s="19" t="str">
        <f>tblRFM[[#This Row],[ProductPreference]]</f>
        <v>Electronics</v>
      </c>
      <c r="K146" s="18" t="str">
        <f>IFERROR(INDEX(tblClean[PurchaseChannel],MATCH(A146,tblClean[CustomerID],0)),"")</f>
        <v>Offline</v>
      </c>
      <c r="L146" s="23">
        <f ca="1">tblRFM[[#This Row],[RFM_Recency]]</f>
        <v>351</v>
      </c>
      <c r="M146" s="23">
        <f>tblRFM[[#This Row],[RFM_Frequency]]</f>
        <v>4</v>
      </c>
      <c r="N146" s="23">
        <f>tblRFM[[#This Row],[RFM_Monetary]]</f>
        <v>52684</v>
      </c>
      <c r="O146" s="19" t="str">
        <f ca="1">tblRFM[[#This Row],[RFM_Score]]</f>
        <v>135</v>
      </c>
      <c r="P146" s="19">
        <f>IFERROR(tblRFM[[#This Row],[SatisfactionIndex]],"")</f>
        <v>3</v>
      </c>
      <c r="Q146" s="19">
        <f>IFERROR(tblRFM[[#This Row],[Satisfaction]],"")</f>
        <v>3</v>
      </c>
      <c r="R146" s="19">
        <f>IFERROR(tblRFM[[#This Row],[RecommendationLikelihood]],"")</f>
        <v>6</v>
      </c>
      <c r="S146" s="19">
        <f>COUNTIFS(tblTransactions[CustomerID],A146)</f>
        <v>4</v>
      </c>
      <c r="T146" s="18" t="str">
        <f>IFERROR(INDEX(tblClean[DiscountSensitivity],MATCH(A146,tblClean[CustomerID],0)),"")</f>
        <v>High</v>
      </c>
    </row>
    <row r="147" spans="1:20" ht="15" customHeight="1" x14ac:dyDescent="0.3">
      <c r="A147" s="16" t="str">
        <f>tblRFM[[#This Row],[CustomerID]]</f>
        <v>C0145</v>
      </c>
      <c r="B147" s="16" t="str">
        <f>tblRFM[[#This Row],[Name]]</f>
        <v>Amit Nair</v>
      </c>
      <c r="C147" s="18" t="str">
        <f>IFERROR(INDEX(tblClean[Gender],MATCH(A147,tblClean[CustomerID],0)),"")</f>
        <v>Male</v>
      </c>
      <c r="D147" s="16" t="str">
        <f>tblRFM[[#This Row],[AgeGroup]]</f>
        <v>&lt;25</v>
      </c>
      <c r="E147" s="16" t="str">
        <f>tblRFM[[#This Row],[City/Region]]</f>
        <v>Ahmedabad</v>
      </c>
      <c r="F147" s="16" t="str">
        <f>tblRFM[[#This Row],[IncomeBracket]]</f>
        <v>Mid</v>
      </c>
      <c r="G147" s="16" t="str">
        <f>tblRFM[[#This Row],[CustomerType]]</f>
        <v>New</v>
      </c>
      <c r="H147" s="16" t="str">
        <f>tblRFM[[#This Row],[EngagementLevel]]</f>
        <v>Low</v>
      </c>
      <c r="I147" s="16" t="str">
        <f ca="1">tblRFM[[#This Row],[CustomerSegment]]</f>
        <v>High Value</v>
      </c>
      <c r="J147" s="16" t="str">
        <f>tblRFM[[#This Row],[ProductPreference]]</f>
        <v>Grocery</v>
      </c>
      <c r="K147" s="18" t="str">
        <f>IFERROR(INDEX(tblClean[PurchaseChannel],MATCH(A147,tblClean[CustomerID],0)),"")</f>
        <v>Online</v>
      </c>
      <c r="L147" s="22">
        <f ca="1">tblRFM[[#This Row],[RFM_Recency]]</f>
        <v>35</v>
      </c>
      <c r="M147" s="22">
        <f>tblRFM[[#This Row],[RFM_Frequency]]</f>
        <v>6</v>
      </c>
      <c r="N147" s="22">
        <f>tblRFM[[#This Row],[RFM_Monetary]]</f>
        <v>61634</v>
      </c>
      <c r="O147" s="16" t="str">
        <f ca="1">tblRFM[[#This Row],[RFM_Score]]</f>
        <v>445</v>
      </c>
      <c r="P147" s="16">
        <f>IFERROR(tblRFM[[#This Row],[SatisfactionIndex]],"")</f>
        <v>4</v>
      </c>
      <c r="Q147" s="16">
        <f>IFERROR(tblRFM[[#This Row],[Satisfaction]],"")</f>
        <v>3</v>
      </c>
      <c r="R147" s="16">
        <f>IFERROR(tblRFM[[#This Row],[RecommendationLikelihood]],"")</f>
        <v>10</v>
      </c>
      <c r="S147" s="16">
        <f>COUNTIFS(tblTransactions[CustomerID],A147)</f>
        <v>6</v>
      </c>
      <c r="T147" s="18" t="str">
        <f>IFERROR(INDEX(tblClean[DiscountSensitivity],MATCH(A147,tblClean[CustomerID],0)),"")</f>
        <v>Medium</v>
      </c>
    </row>
    <row r="148" spans="1:20" ht="15" customHeight="1" x14ac:dyDescent="0.3">
      <c r="A148" s="19" t="str">
        <f>tblRFM[[#This Row],[CustomerID]]</f>
        <v>C0146</v>
      </c>
      <c r="B148" s="19" t="str">
        <f>tblRFM[[#This Row],[Name]]</f>
        <v>Rekha Kumar</v>
      </c>
      <c r="C148" s="18" t="str">
        <f>IFERROR(INDEX(tblClean[Gender],MATCH(A148,tblClean[CustomerID],0)),"")</f>
        <v>Female</v>
      </c>
      <c r="D148" s="19" t="str">
        <f>tblRFM[[#This Row],[AgeGroup]]</f>
        <v>40-54</v>
      </c>
      <c r="E148" s="19" t="str">
        <f>tblRFM[[#This Row],[City/Region]]</f>
        <v>Kolkata</v>
      </c>
      <c r="F148" s="19" t="str">
        <f>tblRFM[[#This Row],[IncomeBracket]]</f>
        <v>Mid</v>
      </c>
      <c r="G148" s="19" t="str">
        <f>tblRFM[[#This Row],[CustomerType]]</f>
        <v>Returning</v>
      </c>
      <c r="H148" s="19" t="str">
        <f>tblRFM[[#This Row],[EngagementLevel]]</f>
        <v>Low</v>
      </c>
      <c r="I148" s="19" t="str">
        <f ca="1">tblRFM[[#This Row],[CustomerSegment]]</f>
        <v>At Risk</v>
      </c>
      <c r="J148" s="19" t="str">
        <f>tblRFM[[#This Row],[ProductPreference]]</f>
        <v>Beauty</v>
      </c>
      <c r="K148" s="18" t="str">
        <f>IFERROR(INDEX(tblClean[PurchaseChannel],MATCH(A148,tblClean[CustomerID],0)),"")</f>
        <v>Online</v>
      </c>
      <c r="L148" s="23">
        <f ca="1">tblRFM[[#This Row],[RFM_Recency]]</f>
        <v>364</v>
      </c>
      <c r="M148" s="23">
        <f>tblRFM[[#This Row],[RFM_Frequency]]</f>
        <v>1</v>
      </c>
      <c r="N148" s="23">
        <f>tblRFM[[#This Row],[RFM_Monetary]]</f>
        <v>20079</v>
      </c>
      <c r="O148" s="19" t="str">
        <f ca="1">tblRFM[[#This Row],[RFM_Score]]</f>
        <v>113</v>
      </c>
      <c r="P148" s="19">
        <f>IFERROR(tblRFM[[#This Row],[SatisfactionIndex]],"")</f>
        <v>2.25</v>
      </c>
      <c r="Q148" s="19">
        <f>IFERROR(tblRFM[[#This Row],[Satisfaction]],"")</f>
        <v>3</v>
      </c>
      <c r="R148" s="19">
        <f>IFERROR(tblRFM[[#This Row],[RecommendationLikelihood]],"")</f>
        <v>3</v>
      </c>
      <c r="S148" s="19">
        <f>COUNTIFS(tblTransactions[CustomerID],A148)</f>
        <v>1</v>
      </c>
      <c r="T148" s="18" t="str">
        <f>IFERROR(INDEX(tblClean[DiscountSensitivity],MATCH(A148,tblClean[CustomerID],0)),"")</f>
        <v>High</v>
      </c>
    </row>
    <row r="149" spans="1:20" ht="15" customHeight="1" x14ac:dyDescent="0.3">
      <c r="A149" s="16" t="str">
        <f>tblRFM[[#This Row],[CustomerID]]</f>
        <v>C0147</v>
      </c>
      <c r="B149" s="16" t="str">
        <f>tblRFM[[#This Row],[Name]]</f>
        <v>Meena Rao</v>
      </c>
      <c r="C149" s="18" t="str">
        <f>IFERROR(INDEX(tblClean[Gender],MATCH(A149,tblClean[CustomerID],0)),"")</f>
        <v>Female</v>
      </c>
      <c r="D149" s="16" t="str">
        <f>tblRFM[[#This Row],[AgeGroup]]</f>
        <v>40-54</v>
      </c>
      <c r="E149" s="16" t="str">
        <f>tblRFM[[#This Row],[City/Region]]</f>
        <v>Pune</v>
      </c>
      <c r="F149" s="16" t="str">
        <f>tblRFM[[#This Row],[IncomeBracket]]</f>
        <v>Mid</v>
      </c>
      <c r="G149" s="16" t="str">
        <f>tblRFM[[#This Row],[CustomerType]]</f>
        <v>New</v>
      </c>
      <c r="H149" s="16" t="str">
        <f>tblRFM[[#This Row],[EngagementLevel]]</f>
        <v>High</v>
      </c>
      <c r="I149" s="16" t="str">
        <f ca="1">tblRFM[[#This Row],[CustomerSegment]]</f>
        <v>Loyal</v>
      </c>
      <c r="J149" s="16" t="str">
        <f>tblRFM[[#This Row],[ProductPreference]]</f>
        <v>Sports</v>
      </c>
      <c r="K149" s="18" t="str">
        <f>IFERROR(INDEX(tblClean[PurchaseChannel],MATCH(A149,tblClean[CustomerID],0)),"")</f>
        <v>Online</v>
      </c>
      <c r="L149" s="22">
        <f ca="1">tblRFM[[#This Row],[RFM_Recency]]</f>
        <v>27</v>
      </c>
      <c r="M149" s="22">
        <f>tblRFM[[#This Row],[RFM_Frequency]]</f>
        <v>8</v>
      </c>
      <c r="N149" s="22">
        <f>tblRFM[[#This Row],[RFM_Monetary]]</f>
        <v>69853</v>
      </c>
      <c r="O149" s="16" t="str">
        <f ca="1">tblRFM[[#This Row],[RFM_Score]]</f>
        <v>555</v>
      </c>
      <c r="P149" s="16">
        <f>IFERROR(tblRFM[[#This Row],[SatisfactionIndex]],"")</f>
        <v>3.25</v>
      </c>
      <c r="Q149" s="16">
        <f>IFERROR(tblRFM[[#This Row],[Satisfaction]],"")</f>
        <v>4</v>
      </c>
      <c r="R149" s="16">
        <f>IFERROR(tblRFM[[#This Row],[RecommendationLikelihood]],"")</f>
        <v>5</v>
      </c>
      <c r="S149" s="16">
        <f>COUNTIFS(tblTransactions[CustomerID],A149)</f>
        <v>8</v>
      </c>
      <c r="T149" s="18" t="str">
        <f>IFERROR(INDEX(tblClean[DiscountSensitivity],MATCH(A149,tblClean[CustomerID],0)),"")</f>
        <v>Medium</v>
      </c>
    </row>
    <row r="150" spans="1:20" ht="15" customHeight="1" x14ac:dyDescent="0.3">
      <c r="A150" s="19" t="str">
        <f>tblRFM[[#This Row],[CustomerID]]</f>
        <v>C0148</v>
      </c>
      <c r="B150" s="19" t="str">
        <f>tblRFM[[#This Row],[Name]]</f>
        <v>Amit Joshi</v>
      </c>
      <c r="C150" s="18" t="str">
        <f>IFERROR(INDEX(tblClean[Gender],MATCH(A150,tblClean[CustomerID],0)),"")</f>
        <v>Male</v>
      </c>
      <c r="D150" s="19" t="str">
        <f>tblRFM[[#This Row],[AgeGroup]]</f>
        <v>40-54</v>
      </c>
      <c r="E150" s="19" t="str">
        <f>tblRFM[[#This Row],[City/Region]]</f>
        <v>Chandigarh</v>
      </c>
      <c r="F150" s="19" t="str">
        <f>tblRFM[[#This Row],[IncomeBracket]]</f>
        <v>High</v>
      </c>
      <c r="G150" s="19" t="str">
        <f>tblRFM[[#This Row],[CustomerType]]</f>
        <v>Returning</v>
      </c>
      <c r="H150" s="19" t="str">
        <f>tblRFM[[#This Row],[EngagementLevel]]</f>
        <v>Low</v>
      </c>
      <c r="I150" s="19" t="str">
        <f ca="1">tblRFM[[#This Row],[CustomerSegment]]</f>
        <v>High Value</v>
      </c>
      <c r="J150" s="19" t="str">
        <f>tblRFM[[#This Row],[ProductPreference]]</f>
        <v>Sports</v>
      </c>
      <c r="K150" s="18" t="str">
        <f>IFERROR(INDEX(tblClean[PurchaseChannel],MATCH(A150,tblClean[CustomerID],0)),"")</f>
        <v>Online</v>
      </c>
      <c r="L150" s="23">
        <f ca="1">tblRFM[[#This Row],[RFM_Recency]]</f>
        <v>127</v>
      </c>
      <c r="M150" s="23">
        <f>tblRFM[[#This Row],[RFM_Frequency]]</f>
        <v>9</v>
      </c>
      <c r="N150" s="23">
        <f>tblRFM[[#This Row],[RFM_Monetary]]</f>
        <v>118508</v>
      </c>
      <c r="O150" s="19" t="str">
        <f ca="1">tblRFM[[#This Row],[RFM_Score]]</f>
        <v>255</v>
      </c>
      <c r="P150" s="19">
        <f>IFERROR(tblRFM[[#This Row],[SatisfactionIndex]],"")</f>
        <v>2</v>
      </c>
      <c r="Q150" s="19">
        <f>IFERROR(tblRFM[[#This Row],[Satisfaction]],"")</f>
        <v>2</v>
      </c>
      <c r="R150" s="19">
        <f>IFERROR(tblRFM[[#This Row],[RecommendationLikelihood]],"")</f>
        <v>4</v>
      </c>
      <c r="S150" s="19">
        <f>COUNTIFS(tblTransactions[CustomerID],A150)</f>
        <v>9</v>
      </c>
      <c r="T150" s="18" t="str">
        <f>IFERROR(INDEX(tblClean[DiscountSensitivity],MATCH(A150,tblClean[CustomerID],0)),"")</f>
        <v>Medium</v>
      </c>
    </row>
    <row r="151" spans="1:20" ht="15" customHeight="1" x14ac:dyDescent="0.3">
      <c r="A151" s="16" t="str">
        <f>tblRFM[[#This Row],[CustomerID]]</f>
        <v>C0149</v>
      </c>
      <c r="B151" s="16" t="str">
        <f>tblRFM[[#This Row],[Name]]</f>
        <v>Nisha Gupta</v>
      </c>
      <c r="C151" s="18" t="str">
        <f>IFERROR(INDEX(tblClean[Gender],MATCH(A151,tblClean[CustomerID],0)),"")</f>
        <v>Female</v>
      </c>
      <c r="D151" s="16" t="str">
        <f>tblRFM[[#This Row],[AgeGroup]]</f>
        <v>25-39</v>
      </c>
      <c r="E151" s="16" t="str">
        <f>tblRFM[[#This Row],[City/Region]]</f>
        <v>Surat</v>
      </c>
      <c r="F151" s="16" t="str">
        <f>tblRFM[[#This Row],[IncomeBracket]]</f>
        <v>Mid</v>
      </c>
      <c r="G151" s="16" t="str">
        <f>tblRFM[[#This Row],[CustomerType]]</f>
        <v>Returning</v>
      </c>
      <c r="H151" s="16" t="str">
        <f>tblRFM[[#This Row],[EngagementLevel]]</f>
        <v>Medium</v>
      </c>
      <c r="I151" s="16" t="str">
        <f ca="1">tblRFM[[#This Row],[CustomerSegment]]</f>
        <v>General</v>
      </c>
      <c r="J151" s="16" t="str">
        <f>tblRFM[[#This Row],[ProductPreference]]</f>
        <v>Sports</v>
      </c>
      <c r="K151" s="18" t="str">
        <f>IFERROR(INDEX(tblClean[PurchaseChannel],MATCH(A151,tblClean[CustomerID],0)),"")</f>
        <v>Offline</v>
      </c>
      <c r="L151" s="22">
        <f ca="1">tblRFM[[#This Row],[RFM_Recency]]</f>
        <v>74</v>
      </c>
      <c r="M151" s="22">
        <f>tblRFM[[#This Row],[RFM_Frequency]]</f>
        <v>3</v>
      </c>
      <c r="N151" s="22">
        <f>tblRFM[[#This Row],[RFM_Monetary]]</f>
        <v>36718</v>
      </c>
      <c r="O151" s="16" t="str">
        <f ca="1">tblRFM[[#This Row],[RFM_Score]]</f>
        <v>324</v>
      </c>
      <c r="P151" s="16">
        <f>IFERROR(tblRFM[[#This Row],[SatisfactionIndex]],"")</f>
        <v>2</v>
      </c>
      <c r="Q151" s="16">
        <f>IFERROR(tblRFM[[#This Row],[Satisfaction]],"")</f>
        <v>2</v>
      </c>
      <c r="R151" s="16">
        <f>IFERROR(tblRFM[[#This Row],[RecommendationLikelihood]],"")</f>
        <v>4</v>
      </c>
      <c r="S151" s="16">
        <f>COUNTIFS(tblTransactions[CustomerID],A151)</f>
        <v>3</v>
      </c>
      <c r="T151" s="18" t="str">
        <f>IFERROR(INDEX(tblClean[DiscountSensitivity],MATCH(A151,tblClean[CustomerID],0)),"")</f>
        <v>Medium</v>
      </c>
    </row>
    <row r="152" spans="1:20" ht="15" customHeight="1" x14ac:dyDescent="0.3">
      <c r="A152" s="19" t="str">
        <f>tblRFM[[#This Row],[CustomerID]]</f>
        <v>C0150</v>
      </c>
      <c r="B152" s="19" t="str">
        <f>tblRFM[[#This Row],[Name]]</f>
        <v>Suresh Mehta</v>
      </c>
      <c r="C152" s="18" t="str">
        <f>IFERROR(INDEX(tblClean[Gender],MATCH(A152,tblClean[CustomerID],0)),"")</f>
        <v>Male</v>
      </c>
      <c r="D152" s="19" t="str">
        <f>tblRFM[[#This Row],[AgeGroup]]</f>
        <v>25-39</v>
      </c>
      <c r="E152" s="19" t="str">
        <f>tblRFM[[#This Row],[City/Region]]</f>
        <v>Nagpur</v>
      </c>
      <c r="F152" s="19" t="str">
        <f>tblRFM[[#This Row],[IncomeBracket]]</f>
        <v>High</v>
      </c>
      <c r="G152" s="19" t="str">
        <f>tblRFM[[#This Row],[CustomerType]]</f>
        <v>Returning</v>
      </c>
      <c r="H152" s="19" t="str">
        <f>tblRFM[[#This Row],[EngagementLevel]]</f>
        <v>Low</v>
      </c>
      <c r="I152" s="19" t="str">
        <f ca="1">tblRFM[[#This Row],[CustomerSegment]]</f>
        <v>High Value</v>
      </c>
      <c r="J152" s="19" t="str">
        <f>tblRFM[[#This Row],[ProductPreference]]</f>
        <v>Fashion</v>
      </c>
      <c r="K152" s="18" t="str">
        <f>IFERROR(INDEX(tblClean[PurchaseChannel],MATCH(A152,tblClean[CustomerID],0)),"")</f>
        <v>Offline</v>
      </c>
      <c r="L152" s="23">
        <f ca="1">tblRFM[[#This Row],[RFM_Recency]]</f>
        <v>211</v>
      </c>
      <c r="M152" s="23">
        <f>tblRFM[[#This Row],[RFM_Frequency]]</f>
        <v>5</v>
      </c>
      <c r="N152" s="23">
        <f>tblRFM[[#This Row],[RFM_Monetary]]</f>
        <v>60658</v>
      </c>
      <c r="O152" s="19" t="str">
        <f ca="1">tblRFM[[#This Row],[RFM_Score]]</f>
        <v>135</v>
      </c>
      <c r="P152" s="19">
        <f>IFERROR(tblRFM[[#This Row],[SatisfactionIndex]],"")</f>
        <v>2.75</v>
      </c>
      <c r="Q152" s="19">
        <f>IFERROR(tblRFM[[#This Row],[Satisfaction]],"")</f>
        <v>4</v>
      </c>
      <c r="R152" s="19">
        <f>IFERROR(tblRFM[[#This Row],[RecommendationLikelihood]],"")</f>
        <v>3</v>
      </c>
      <c r="S152" s="19">
        <f>COUNTIFS(tblTransactions[CustomerID],A152)</f>
        <v>5</v>
      </c>
      <c r="T152" s="18" t="str">
        <f>IFERROR(INDEX(tblClean[DiscountSensitivity],MATCH(A152,tblClean[CustomerID],0)),"")</f>
        <v>Medium</v>
      </c>
    </row>
    <row r="153" spans="1:20" ht="15" customHeight="1" x14ac:dyDescent="0.3">
      <c r="A153" s="16" t="str">
        <f>tblRFM[[#This Row],[CustomerID]]</f>
        <v>C0151</v>
      </c>
      <c r="B153" s="16" t="str">
        <f>tblRFM[[#This Row],[Name]]</f>
        <v>Swati Reddy</v>
      </c>
      <c r="C153" s="18" t="str">
        <f>IFERROR(INDEX(tblClean[Gender],MATCH(A153,tblClean[CustomerID],0)),"")</f>
        <v>Female</v>
      </c>
      <c r="D153" s="16" t="str">
        <f>tblRFM[[#This Row],[AgeGroup]]</f>
        <v>25-39</v>
      </c>
      <c r="E153" s="16" t="str">
        <f>tblRFM[[#This Row],[City/Region]]</f>
        <v>Coimbatore</v>
      </c>
      <c r="F153" s="16" t="str">
        <f>tblRFM[[#This Row],[IncomeBracket]]</f>
        <v>High</v>
      </c>
      <c r="G153" s="16" t="str">
        <f>tblRFM[[#This Row],[CustomerType]]</f>
        <v>New</v>
      </c>
      <c r="H153" s="16" t="str">
        <f>tblRFM[[#This Row],[EngagementLevel]]</f>
        <v>Low</v>
      </c>
      <c r="I153" s="16" t="str">
        <f ca="1">tblRFM[[#This Row],[CustomerSegment]]</f>
        <v>High Value</v>
      </c>
      <c r="J153" s="16" t="str">
        <f>tblRFM[[#This Row],[ProductPreference]]</f>
        <v>Fashion</v>
      </c>
      <c r="K153" s="18" t="str">
        <f>IFERROR(INDEX(tblClean[PurchaseChannel],MATCH(A153,tblClean[CustomerID],0)),"")</f>
        <v>Online</v>
      </c>
      <c r="L153" s="22">
        <f ca="1">tblRFM[[#This Row],[RFM_Recency]]</f>
        <v>169</v>
      </c>
      <c r="M153" s="22">
        <f>tblRFM[[#This Row],[RFM_Frequency]]</f>
        <v>7</v>
      </c>
      <c r="N153" s="22">
        <f>tblRFM[[#This Row],[RFM_Monetary]]</f>
        <v>86667</v>
      </c>
      <c r="O153" s="16" t="str">
        <f ca="1">tblRFM[[#This Row],[RFM_Score]]</f>
        <v>245</v>
      </c>
      <c r="P153" s="16">
        <f>IFERROR(tblRFM[[#This Row],[SatisfactionIndex]],"")</f>
        <v>4.25</v>
      </c>
      <c r="Q153" s="16">
        <f>IFERROR(tblRFM[[#This Row],[Satisfaction]],"")</f>
        <v>5</v>
      </c>
      <c r="R153" s="16">
        <f>IFERROR(tblRFM[[#This Row],[RecommendationLikelihood]],"")</f>
        <v>7</v>
      </c>
      <c r="S153" s="16">
        <f>COUNTIFS(tblTransactions[CustomerID],A153)</f>
        <v>7</v>
      </c>
      <c r="T153" s="18" t="str">
        <f>IFERROR(INDEX(tblClean[DiscountSensitivity],MATCH(A153,tblClean[CustomerID],0)),"")</f>
        <v>High</v>
      </c>
    </row>
    <row r="154" spans="1:20" ht="15" customHeight="1" x14ac:dyDescent="0.3">
      <c r="A154" s="19" t="str">
        <f>tblRFM[[#This Row],[CustomerID]]</f>
        <v>C0152</v>
      </c>
      <c r="B154" s="19" t="str">
        <f>tblRFM[[#This Row],[Name]]</f>
        <v>Pooja Mehta</v>
      </c>
      <c r="C154" s="18" t="str">
        <f>IFERROR(INDEX(tblClean[Gender],MATCH(A154,tblClean[CustomerID],0)),"")</f>
        <v>Female</v>
      </c>
      <c r="D154" s="19" t="str">
        <f>tblRFM[[#This Row],[AgeGroup]]</f>
        <v>40-54</v>
      </c>
      <c r="E154" s="19" t="str">
        <f>tblRFM[[#This Row],[City/Region]]</f>
        <v>Mumbai</v>
      </c>
      <c r="F154" s="19" t="str">
        <f>tblRFM[[#This Row],[IncomeBracket]]</f>
        <v>Mid</v>
      </c>
      <c r="G154" s="19" t="str">
        <f>tblRFM[[#This Row],[CustomerType]]</f>
        <v>New</v>
      </c>
      <c r="H154" s="19" t="str">
        <f>tblRFM[[#This Row],[EngagementLevel]]</f>
        <v>Medium</v>
      </c>
      <c r="I154" s="19" t="str">
        <f ca="1">tblRFM[[#This Row],[CustomerSegment]]</f>
        <v>High Value</v>
      </c>
      <c r="J154" s="19" t="str">
        <f>tblRFM[[#This Row],[ProductPreference]]</f>
        <v>Grocery</v>
      </c>
      <c r="K154" s="18" t="str">
        <f>IFERROR(INDEX(tblClean[PurchaseChannel],MATCH(A154,tblClean[CustomerID],0)),"")</f>
        <v>Offline</v>
      </c>
      <c r="L154" s="23">
        <f ca="1">tblRFM[[#This Row],[RFM_Recency]]</f>
        <v>80</v>
      </c>
      <c r="M154" s="23">
        <f>tblRFM[[#This Row],[RFM_Frequency]]</f>
        <v>10</v>
      </c>
      <c r="N154" s="23">
        <f>tblRFM[[#This Row],[RFM_Monetary]]</f>
        <v>143606</v>
      </c>
      <c r="O154" s="19" t="str">
        <f ca="1">tblRFM[[#This Row],[RFM_Score]]</f>
        <v>355</v>
      </c>
      <c r="P154" s="19">
        <f>IFERROR(tblRFM[[#This Row],[SatisfactionIndex]],"")</f>
        <v>2.5</v>
      </c>
      <c r="Q154" s="19">
        <f>IFERROR(tblRFM[[#This Row],[Satisfaction]],"")</f>
        <v>4</v>
      </c>
      <c r="R154" s="19">
        <f>IFERROR(tblRFM[[#This Row],[RecommendationLikelihood]],"")</f>
        <v>2</v>
      </c>
      <c r="S154" s="19">
        <f>COUNTIFS(tblTransactions[CustomerID],A154)</f>
        <v>10</v>
      </c>
      <c r="T154" s="18" t="str">
        <f>IFERROR(INDEX(tblClean[DiscountSensitivity],MATCH(A154,tblClean[CustomerID],0)),"")</f>
        <v>High</v>
      </c>
    </row>
    <row r="155" spans="1:20" ht="15" customHeight="1" x14ac:dyDescent="0.3">
      <c r="A155" s="16" t="str">
        <f>tblRFM[[#This Row],[CustomerID]]</f>
        <v>C0153</v>
      </c>
      <c r="B155" s="16" t="str">
        <f>tblRFM[[#This Row],[Name]]</f>
        <v>Sneha Pillai</v>
      </c>
      <c r="C155" s="18" t="str">
        <f>IFERROR(INDEX(tblClean[Gender],MATCH(A155,tblClean[CustomerID],0)),"")</f>
        <v>Female</v>
      </c>
      <c r="D155" s="16" t="str">
        <f>tblRFM[[#This Row],[AgeGroup]]</f>
        <v>40-54</v>
      </c>
      <c r="E155" s="16" t="str">
        <f>tblRFM[[#This Row],[City/Region]]</f>
        <v>Nagpur</v>
      </c>
      <c r="F155" s="16" t="str">
        <f>tblRFM[[#This Row],[IncomeBracket]]</f>
        <v>High</v>
      </c>
      <c r="G155" s="16" t="str">
        <f>tblRFM[[#This Row],[CustomerType]]</f>
        <v>New</v>
      </c>
      <c r="H155" s="16" t="str">
        <f>tblRFM[[#This Row],[EngagementLevel]]</f>
        <v>High</v>
      </c>
      <c r="I155" s="16" t="str">
        <f ca="1">tblRFM[[#This Row],[CustomerSegment]]</f>
        <v>High Value</v>
      </c>
      <c r="J155" s="16" t="str">
        <f>tblRFM[[#This Row],[ProductPreference]]</f>
        <v>Fashion</v>
      </c>
      <c r="K155" s="18" t="str">
        <f>IFERROR(INDEX(tblClean[PurchaseChannel],MATCH(A155,tblClean[CustomerID],0)),"")</f>
        <v>Online</v>
      </c>
      <c r="L155" s="22">
        <f ca="1">tblRFM[[#This Row],[RFM_Recency]]</f>
        <v>216</v>
      </c>
      <c r="M155" s="22">
        <f>tblRFM[[#This Row],[RFM_Frequency]]</f>
        <v>9</v>
      </c>
      <c r="N155" s="22">
        <f>tblRFM[[#This Row],[RFM_Monetary]]</f>
        <v>144829</v>
      </c>
      <c r="O155" s="16" t="str">
        <f ca="1">tblRFM[[#This Row],[RFM_Score]]</f>
        <v>155</v>
      </c>
      <c r="P155" s="16">
        <f>IFERROR(tblRFM[[#This Row],[SatisfactionIndex]],"")</f>
        <v>2.75</v>
      </c>
      <c r="Q155" s="16">
        <f>IFERROR(tblRFM[[#This Row],[Satisfaction]],"")</f>
        <v>1</v>
      </c>
      <c r="R155" s="16">
        <f>IFERROR(tblRFM[[#This Row],[RecommendationLikelihood]],"")</f>
        <v>9</v>
      </c>
      <c r="S155" s="16">
        <f>COUNTIFS(tblTransactions[CustomerID],A155)</f>
        <v>9</v>
      </c>
      <c r="T155" s="18" t="str">
        <f>IFERROR(INDEX(tblClean[DiscountSensitivity],MATCH(A155,tblClean[CustomerID],0)),"")</f>
        <v>Low</v>
      </c>
    </row>
    <row r="156" spans="1:20" ht="15" customHeight="1" x14ac:dyDescent="0.3">
      <c r="A156" s="19" t="str">
        <f>tblRFM[[#This Row],[CustomerID]]</f>
        <v>C0154</v>
      </c>
      <c r="B156" s="19" t="str">
        <f>tblRFM[[#This Row],[Name]]</f>
        <v>Ravi Singh</v>
      </c>
      <c r="C156" s="18" t="str">
        <f>IFERROR(INDEX(tblClean[Gender],MATCH(A156,tblClean[CustomerID],0)),"")</f>
        <v>Male</v>
      </c>
      <c r="D156" s="19" t="str">
        <f>tblRFM[[#This Row],[AgeGroup]]</f>
        <v>25-39</v>
      </c>
      <c r="E156" s="19" t="str">
        <f>tblRFM[[#This Row],[City/Region]]</f>
        <v>Pune</v>
      </c>
      <c r="F156" s="19" t="str">
        <f>tblRFM[[#This Row],[IncomeBracket]]</f>
        <v>High</v>
      </c>
      <c r="G156" s="19" t="str">
        <f>tblRFM[[#This Row],[CustomerType]]</f>
        <v>New</v>
      </c>
      <c r="H156" s="19" t="str">
        <f>tblRFM[[#This Row],[EngagementLevel]]</f>
        <v>Low</v>
      </c>
      <c r="I156" s="19" t="str">
        <f ca="1">tblRFM[[#This Row],[CustomerSegment]]</f>
        <v>High Value</v>
      </c>
      <c r="J156" s="19" t="str">
        <f>tblRFM[[#This Row],[ProductPreference]]</f>
        <v>Beauty</v>
      </c>
      <c r="K156" s="18" t="str">
        <f>IFERROR(INDEX(tblClean[PurchaseChannel],MATCH(A156,tblClean[CustomerID],0)),"")</f>
        <v>Offline</v>
      </c>
      <c r="L156" s="23">
        <f ca="1">tblRFM[[#This Row],[RFM_Recency]]</f>
        <v>261</v>
      </c>
      <c r="M156" s="23">
        <f>tblRFM[[#This Row],[RFM_Frequency]]</f>
        <v>8</v>
      </c>
      <c r="N156" s="23">
        <f>tblRFM[[#This Row],[RFM_Monetary]]</f>
        <v>108828</v>
      </c>
      <c r="O156" s="19" t="str">
        <f ca="1">tblRFM[[#This Row],[RFM_Score]]</f>
        <v>155</v>
      </c>
      <c r="P156" s="19">
        <f>IFERROR(tblRFM[[#This Row],[SatisfactionIndex]],"")</f>
        <v>3.5</v>
      </c>
      <c r="Q156" s="19">
        <f>IFERROR(tblRFM[[#This Row],[Satisfaction]],"")</f>
        <v>3</v>
      </c>
      <c r="R156" s="19">
        <f>IFERROR(tblRFM[[#This Row],[RecommendationLikelihood]],"")</f>
        <v>8</v>
      </c>
      <c r="S156" s="19">
        <f>COUNTIFS(tblTransactions[CustomerID],A156)</f>
        <v>8</v>
      </c>
      <c r="T156" s="18" t="str">
        <f>IFERROR(INDEX(tblClean[DiscountSensitivity],MATCH(A156,tblClean[CustomerID],0)),"")</f>
        <v>Medium</v>
      </c>
    </row>
    <row r="157" spans="1:20" ht="15" customHeight="1" x14ac:dyDescent="0.3">
      <c r="A157" s="16" t="str">
        <f>tblRFM[[#This Row],[CustomerID]]</f>
        <v>C0155</v>
      </c>
      <c r="B157" s="16" t="str">
        <f>tblRFM[[#This Row],[Name]]</f>
        <v>Naveen Mehta</v>
      </c>
      <c r="C157" s="18" t="str">
        <f>IFERROR(INDEX(tblClean[Gender],MATCH(A157,tblClean[CustomerID],0)),"")</f>
        <v>Male</v>
      </c>
      <c r="D157" s="16" t="str">
        <f>tblRFM[[#This Row],[AgeGroup]]</f>
        <v>25-39</v>
      </c>
      <c r="E157" s="16" t="str">
        <f>tblRFM[[#This Row],[City/Region]]</f>
        <v>Delhi</v>
      </c>
      <c r="F157" s="16" t="str">
        <f>tblRFM[[#This Row],[IncomeBracket]]</f>
        <v>Mid</v>
      </c>
      <c r="G157" s="16" t="str">
        <f>tblRFM[[#This Row],[CustomerType]]</f>
        <v>Returning</v>
      </c>
      <c r="H157" s="16" t="str">
        <f>tblRFM[[#This Row],[EngagementLevel]]</f>
        <v>Low</v>
      </c>
      <c r="I157" s="16" t="str">
        <f ca="1">tblRFM[[#This Row],[CustomerSegment]]</f>
        <v>Loyal</v>
      </c>
      <c r="J157" s="16" t="str">
        <f>tblRFM[[#This Row],[ProductPreference]]</f>
        <v>Grocery</v>
      </c>
      <c r="K157" s="18" t="str">
        <f>IFERROR(INDEX(tblClean[PurchaseChannel],MATCH(A157,tblClean[CustomerID],0)),"")</f>
        <v>Online</v>
      </c>
      <c r="L157" s="22">
        <f ca="1">tblRFM[[#This Row],[RFM_Recency]]</f>
        <v>84</v>
      </c>
      <c r="M157" s="22">
        <f>tblRFM[[#This Row],[RFM_Frequency]]</f>
        <v>8</v>
      </c>
      <c r="N157" s="22">
        <f>tblRFM[[#This Row],[RFM_Monetary]]</f>
        <v>88868</v>
      </c>
      <c r="O157" s="16" t="str">
        <f ca="1">tblRFM[[#This Row],[RFM_Score]]</f>
        <v>355</v>
      </c>
      <c r="P157" s="16">
        <f>IFERROR(tblRFM[[#This Row],[SatisfactionIndex]],"")</f>
        <v>4.5</v>
      </c>
      <c r="Q157" s="16">
        <f>IFERROR(tblRFM[[#This Row],[Satisfaction]],"")</f>
        <v>4</v>
      </c>
      <c r="R157" s="16">
        <f>IFERROR(tblRFM[[#This Row],[RecommendationLikelihood]],"")</f>
        <v>10</v>
      </c>
      <c r="S157" s="16">
        <f>COUNTIFS(tblTransactions[CustomerID],A157)</f>
        <v>8</v>
      </c>
      <c r="T157" s="18" t="str">
        <f>IFERROR(INDEX(tblClean[DiscountSensitivity],MATCH(A157,tblClean[CustomerID],0)),"")</f>
        <v>Low</v>
      </c>
    </row>
    <row r="158" spans="1:20" ht="15" customHeight="1" x14ac:dyDescent="0.3">
      <c r="A158" s="19" t="str">
        <f>tblRFM[[#This Row],[CustomerID]]</f>
        <v>C0156</v>
      </c>
      <c r="B158" s="19" t="str">
        <f>tblRFM[[#This Row],[Name]]</f>
        <v>Vijay Sharma</v>
      </c>
      <c r="C158" s="18" t="str">
        <f>IFERROR(INDEX(tblClean[Gender],MATCH(A158,tblClean[CustomerID],0)),"")</f>
        <v>Male</v>
      </c>
      <c r="D158" s="19" t="str">
        <f>tblRFM[[#This Row],[AgeGroup]]</f>
        <v>25-39</v>
      </c>
      <c r="E158" s="19" t="str">
        <f>tblRFM[[#This Row],[City/Region]]</f>
        <v>Patna</v>
      </c>
      <c r="F158" s="19" t="str">
        <f>tblRFM[[#This Row],[IncomeBracket]]</f>
        <v>Mid</v>
      </c>
      <c r="G158" s="19" t="str">
        <f>tblRFM[[#This Row],[CustomerType]]</f>
        <v>Returning</v>
      </c>
      <c r="H158" s="19" t="str">
        <f>tblRFM[[#This Row],[EngagementLevel]]</f>
        <v>Low</v>
      </c>
      <c r="I158" s="19" t="str">
        <f ca="1">tblRFM[[#This Row],[CustomerSegment]]</f>
        <v>High Value</v>
      </c>
      <c r="J158" s="19" t="str">
        <f>tblRFM[[#This Row],[ProductPreference]]</f>
        <v>Home Decor</v>
      </c>
      <c r="K158" s="18" t="str">
        <f>IFERROR(INDEX(tblClean[PurchaseChannel],MATCH(A158,tblClean[CustomerID],0)),"")</f>
        <v>Offline</v>
      </c>
      <c r="L158" s="23">
        <f ca="1">tblRFM[[#This Row],[RFM_Recency]]</f>
        <v>55</v>
      </c>
      <c r="M158" s="23">
        <f>tblRFM[[#This Row],[RFM_Frequency]]</f>
        <v>8</v>
      </c>
      <c r="N158" s="23">
        <f>tblRFM[[#This Row],[RFM_Monetary]]</f>
        <v>79388</v>
      </c>
      <c r="O158" s="19" t="str">
        <f ca="1">tblRFM[[#This Row],[RFM_Score]]</f>
        <v>455</v>
      </c>
      <c r="P158" s="19">
        <f>IFERROR(tblRFM[[#This Row],[SatisfactionIndex]],"")</f>
        <v>2.5</v>
      </c>
      <c r="Q158" s="19">
        <f>IFERROR(tblRFM[[#This Row],[Satisfaction]],"")</f>
        <v>1</v>
      </c>
      <c r="R158" s="19">
        <f>IFERROR(tblRFM[[#This Row],[RecommendationLikelihood]],"")</f>
        <v>8</v>
      </c>
      <c r="S158" s="19">
        <f>COUNTIFS(tblTransactions[CustomerID],A158)</f>
        <v>8</v>
      </c>
      <c r="T158" s="18" t="str">
        <f>IFERROR(INDEX(tblClean[DiscountSensitivity],MATCH(A158,tblClean[CustomerID],0)),"")</f>
        <v>High</v>
      </c>
    </row>
    <row r="159" spans="1:20" ht="15" customHeight="1" x14ac:dyDescent="0.3">
      <c r="A159" s="16" t="str">
        <f>tblRFM[[#This Row],[CustomerID]]</f>
        <v>C0157</v>
      </c>
      <c r="B159" s="16" t="str">
        <f>tblRFM[[#This Row],[Name]]</f>
        <v>Rekha Mehta</v>
      </c>
      <c r="C159" s="18" t="str">
        <f>IFERROR(INDEX(tblClean[Gender],MATCH(A159,tblClean[CustomerID],0)),"")</f>
        <v>Female</v>
      </c>
      <c r="D159" s="16" t="str">
        <f>tblRFM[[#This Row],[AgeGroup]]</f>
        <v>25-39</v>
      </c>
      <c r="E159" s="16" t="str">
        <f>tblRFM[[#This Row],[City/Region]]</f>
        <v>Ahmedabad</v>
      </c>
      <c r="F159" s="16" t="str">
        <f>tblRFM[[#This Row],[IncomeBracket]]</f>
        <v>Mid</v>
      </c>
      <c r="G159" s="16" t="str">
        <f>tblRFM[[#This Row],[CustomerType]]</f>
        <v>New</v>
      </c>
      <c r="H159" s="16" t="str">
        <f>tblRFM[[#This Row],[EngagementLevel]]</f>
        <v>High</v>
      </c>
      <c r="I159" s="16" t="str">
        <f ca="1">tblRFM[[#This Row],[CustomerSegment]]</f>
        <v>At Risk</v>
      </c>
      <c r="J159" s="16" t="str">
        <f>tblRFM[[#This Row],[ProductPreference]]</f>
        <v>Beauty</v>
      </c>
      <c r="K159" s="18" t="str">
        <f>IFERROR(INDEX(tblClean[PurchaseChannel],MATCH(A159,tblClean[CustomerID],0)),"")</f>
        <v>Offline</v>
      </c>
      <c r="L159" s="22">
        <f ca="1">tblRFM[[#This Row],[RFM_Recency]]</f>
        <v>147</v>
      </c>
      <c r="M159" s="22">
        <f>tblRFM[[#This Row],[RFM_Frequency]]</f>
        <v>1</v>
      </c>
      <c r="N159" s="22">
        <f>tblRFM[[#This Row],[RFM_Monetary]]</f>
        <v>6260</v>
      </c>
      <c r="O159" s="16" t="str">
        <f ca="1">tblRFM[[#This Row],[RFM_Score]]</f>
        <v>212</v>
      </c>
      <c r="P159" s="16">
        <f>IFERROR(tblRFM[[#This Row],[SatisfactionIndex]],"")</f>
        <v>3.75</v>
      </c>
      <c r="Q159" s="16">
        <f>IFERROR(tblRFM[[#This Row],[Satisfaction]],"")</f>
        <v>3</v>
      </c>
      <c r="R159" s="16">
        <f>IFERROR(tblRFM[[#This Row],[RecommendationLikelihood]],"")</f>
        <v>9</v>
      </c>
      <c r="S159" s="16">
        <f>COUNTIFS(tblTransactions[CustomerID],A159)</f>
        <v>1</v>
      </c>
      <c r="T159" s="18" t="str">
        <f>IFERROR(INDEX(tblClean[DiscountSensitivity],MATCH(A159,tblClean[CustomerID],0)),"")</f>
        <v>Medium</v>
      </c>
    </row>
    <row r="160" spans="1:20" ht="15" customHeight="1" x14ac:dyDescent="0.3">
      <c r="A160" s="19" t="str">
        <f>tblRFM[[#This Row],[CustomerID]]</f>
        <v>C0158</v>
      </c>
      <c r="B160" s="19" t="str">
        <f>tblRFM[[#This Row],[Name]]</f>
        <v>Divya Verma</v>
      </c>
      <c r="C160" s="18" t="str">
        <f>IFERROR(INDEX(tblClean[Gender],MATCH(A160,tblClean[CustomerID],0)),"")</f>
        <v>Female</v>
      </c>
      <c r="D160" s="19" t="str">
        <f>tblRFM[[#This Row],[AgeGroup]]</f>
        <v>40-54</v>
      </c>
      <c r="E160" s="19" t="str">
        <f>tblRFM[[#This Row],[City/Region]]</f>
        <v>Vadodara</v>
      </c>
      <c r="F160" s="19" t="str">
        <f>tblRFM[[#This Row],[IncomeBracket]]</f>
        <v>Mid</v>
      </c>
      <c r="G160" s="19" t="str">
        <f>tblRFM[[#This Row],[CustomerType]]</f>
        <v>New</v>
      </c>
      <c r="H160" s="19" t="str">
        <f>tblRFM[[#This Row],[EngagementLevel]]</f>
        <v>High</v>
      </c>
      <c r="I160" s="19" t="str">
        <f ca="1">tblRFM[[#This Row],[CustomerSegment]]</f>
        <v>At Risk</v>
      </c>
      <c r="J160" s="19" t="str">
        <f>tblRFM[[#This Row],[ProductPreference]]</f>
        <v>Beauty</v>
      </c>
      <c r="K160" s="18" t="str">
        <f>IFERROR(INDEX(tblClean[PurchaseChannel],MATCH(A160,tblClean[CustomerID],0)),"")</f>
        <v>Online</v>
      </c>
      <c r="L160" s="23">
        <f ca="1">tblRFM[[#This Row],[RFM_Recency]]</f>
        <v>242</v>
      </c>
      <c r="M160" s="23">
        <f>tblRFM[[#This Row],[RFM_Frequency]]</f>
        <v>1</v>
      </c>
      <c r="N160" s="23">
        <f>tblRFM[[#This Row],[RFM_Monetary]]</f>
        <v>6605</v>
      </c>
      <c r="O160" s="19" t="str">
        <f ca="1">tblRFM[[#This Row],[RFM_Score]]</f>
        <v>112</v>
      </c>
      <c r="P160" s="19">
        <f>IFERROR(tblRFM[[#This Row],[SatisfactionIndex]],"")</f>
        <v>3.75</v>
      </c>
      <c r="Q160" s="19">
        <f>IFERROR(tblRFM[[#This Row],[Satisfaction]],"")</f>
        <v>4</v>
      </c>
      <c r="R160" s="19">
        <f>IFERROR(tblRFM[[#This Row],[RecommendationLikelihood]],"")</f>
        <v>7</v>
      </c>
      <c r="S160" s="19">
        <f>COUNTIFS(tblTransactions[CustomerID],A160)</f>
        <v>1</v>
      </c>
      <c r="T160" s="18" t="str">
        <f>IFERROR(INDEX(tblClean[DiscountSensitivity],MATCH(A160,tblClean[CustomerID],0)),"")</f>
        <v>Low</v>
      </c>
    </row>
    <row r="161" spans="1:20" ht="15" customHeight="1" x14ac:dyDescent="0.3">
      <c r="A161" s="16" t="str">
        <f>tblRFM[[#This Row],[CustomerID]]</f>
        <v>C0159</v>
      </c>
      <c r="B161" s="16" t="str">
        <f>tblRFM[[#This Row],[Name]]</f>
        <v>Rohit Kumar</v>
      </c>
      <c r="C161" s="18" t="str">
        <f>IFERROR(INDEX(tblClean[Gender],MATCH(A161,tblClean[CustomerID],0)),"")</f>
        <v>Male</v>
      </c>
      <c r="D161" s="16" t="str">
        <f>tblRFM[[#This Row],[AgeGroup]]</f>
        <v>25-39</v>
      </c>
      <c r="E161" s="16" t="str">
        <f>tblRFM[[#This Row],[City/Region]]</f>
        <v>Mumbai</v>
      </c>
      <c r="F161" s="16" t="str">
        <f>tblRFM[[#This Row],[IncomeBracket]]</f>
        <v>High</v>
      </c>
      <c r="G161" s="16" t="str">
        <f>tblRFM[[#This Row],[CustomerType]]</f>
        <v>Returning</v>
      </c>
      <c r="H161" s="16" t="str">
        <f>tblRFM[[#This Row],[EngagementLevel]]</f>
        <v>Low</v>
      </c>
      <c r="I161" s="16" t="str">
        <f ca="1">tblRFM[[#This Row],[CustomerSegment]]</f>
        <v>High Value</v>
      </c>
      <c r="J161" s="16" t="str">
        <f>tblRFM[[#This Row],[ProductPreference]]</f>
        <v>Electronics</v>
      </c>
      <c r="K161" s="18" t="str">
        <f>IFERROR(INDEX(tblClean[PurchaseChannel],MATCH(A161,tblClean[CustomerID],0)),"")</f>
        <v>Offline</v>
      </c>
      <c r="L161" s="22">
        <f ca="1">tblRFM[[#This Row],[RFM_Recency]]</f>
        <v>230</v>
      </c>
      <c r="M161" s="22">
        <f>tblRFM[[#This Row],[RFM_Frequency]]</f>
        <v>5</v>
      </c>
      <c r="N161" s="22">
        <f>tblRFM[[#This Row],[RFM_Monetary]]</f>
        <v>64383</v>
      </c>
      <c r="O161" s="16" t="str">
        <f ca="1">tblRFM[[#This Row],[RFM_Score]]</f>
        <v>135</v>
      </c>
      <c r="P161" s="16">
        <f>IFERROR(tblRFM[[#This Row],[SatisfactionIndex]],"")</f>
        <v>2.25</v>
      </c>
      <c r="Q161" s="16">
        <f>IFERROR(tblRFM[[#This Row],[Satisfaction]],"")</f>
        <v>2</v>
      </c>
      <c r="R161" s="16">
        <f>IFERROR(tblRFM[[#This Row],[RecommendationLikelihood]],"")</f>
        <v>5</v>
      </c>
      <c r="S161" s="16">
        <f>COUNTIFS(tblTransactions[CustomerID],A161)</f>
        <v>5</v>
      </c>
      <c r="T161" s="18" t="str">
        <f>IFERROR(INDEX(tblClean[DiscountSensitivity],MATCH(A161,tblClean[CustomerID],0)),"")</f>
        <v>Low</v>
      </c>
    </row>
    <row r="162" spans="1:20" ht="15" customHeight="1" x14ac:dyDescent="0.3">
      <c r="A162" s="19" t="str">
        <f>tblRFM[[#This Row],[CustomerID]]</f>
        <v>C0160</v>
      </c>
      <c r="B162" s="19" t="str">
        <f>tblRFM[[#This Row],[Name]]</f>
        <v>Rahul Singh</v>
      </c>
      <c r="C162" s="18" t="str">
        <f>IFERROR(INDEX(tblClean[Gender],MATCH(A162,tblClean[CustomerID],0)),"")</f>
        <v>Male</v>
      </c>
      <c r="D162" s="19" t="str">
        <f>tblRFM[[#This Row],[AgeGroup]]</f>
        <v>25-39</v>
      </c>
      <c r="E162" s="19" t="str">
        <f>tblRFM[[#This Row],[City/Region]]</f>
        <v>Vadodara</v>
      </c>
      <c r="F162" s="19" t="str">
        <f>tblRFM[[#This Row],[IncomeBracket]]</f>
        <v>Mid</v>
      </c>
      <c r="G162" s="19" t="str">
        <f>tblRFM[[#This Row],[CustomerType]]</f>
        <v>New</v>
      </c>
      <c r="H162" s="19" t="str">
        <f>tblRFM[[#This Row],[EngagementLevel]]</f>
        <v>Medium</v>
      </c>
      <c r="I162" s="19" t="str">
        <f ca="1">tblRFM[[#This Row],[CustomerSegment]]</f>
        <v>High Value</v>
      </c>
      <c r="J162" s="19" t="str">
        <f>tblRFM[[#This Row],[ProductPreference]]</f>
        <v>Grocery</v>
      </c>
      <c r="K162" s="18" t="str">
        <f>IFERROR(INDEX(tblClean[PurchaseChannel],MATCH(A162,tblClean[CustomerID],0)),"")</f>
        <v>Online</v>
      </c>
      <c r="L162" s="23">
        <f ca="1">tblRFM[[#This Row],[RFM_Recency]]</f>
        <v>341</v>
      </c>
      <c r="M162" s="23">
        <f>tblRFM[[#This Row],[RFM_Frequency]]</f>
        <v>8</v>
      </c>
      <c r="N162" s="23">
        <f>tblRFM[[#This Row],[RFM_Monetary]]</f>
        <v>112602</v>
      </c>
      <c r="O162" s="19" t="str">
        <f ca="1">tblRFM[[#This Row],[RFM_Score]]</f>
        <v>155</v>
      </c>
      <c r="P162" s="19">
        <f>IFERROR(tblRFM[[#This Row],[SatisfactionIndex]],"")</f>
        <v>3</v>
      </c>
      <c r="Q162" s="19">
        <f>IFERROR(tblRFM[[#This Row],[Satisfaction]],"")</f>
        <v>3</v>
      </c>
      <c r="R162" s="19">
        <f>IFERROR(tblRFM[[#This Row],[RecommendationLikelihood]],"")</f>
        <v>6</v>
      </c>
      <c r="S162" s="19">
        <f>COUNTIFS(tblTransactions[CustomerID],A162)</f>
        <v>8</v>
      </c>
      <c r="T162" s="18" t="str">
        <f>IFERROR(INDEX(tblClean[DiscountSensitivity],MATCH(A162,tblClean[CustomerID],0)),"")</f>
        <v>Low</v>
      </c>
    </row>
    <row r="163" spans="1:20" ht="15" customHeight="1" x14ac:dyDescent="0.3">
      <c r="A163" s="16" t="str">
        <f>tblRFM[[#This Row],[CustomerID]]</f>
        <v>C0161</v>
      </c>
      <c r="B163" s="16" t="str">
        <f>tblRFM[[#This Row],[Name]]</f>
        <v>Swati Verma</v>
      </c>
      <c r="C163" s="18" t="str">
        <f>IFERROR(INDEX(tblClean[Gender],MATCH(A163,tblClean[CustomerID],0)),"")</f>
        <v>Female</v>
      </c>
      <c r="D163" s="16" t="str">
        <f>tblRFM[[#This Row],[AgeGroup]]</f>
        <v>40-54</v>
      </c>
      <c r="E163" s="16" t="str">
        <f>tblRFM[[#This Row],[City/Region]]</f>
        <v>Hyderabad</v>
      </c>
      <c r="F163" s="16" t="str">
        <f>tblRFM[[#This Row],[IncomeBracket]]</f>
        <v>High</v>
      </c>
      <c r="G163" s="16" t="str">
        <f>tblRFM[[#This Row],[CustomerType]]</f>
        <v>Returning</v>
      </c>
      <c r="H163" s="16" t="str">
        <f>tblRFM[[#This Row],[EngagementLevel]]</f>
        <v>High</v>
      </c>
      <c r="I163" s="16" t="str">
        <f ca="1">tblRFM[[#This Row],[CustomerSegment]]</f>
        <v>At Risk</v>
      </c>
      <c r="J163" s="16" t="str">
        <f>tblRFM[[#This Row],[ProductPreference]]</f>
        <v>Home Decor</v>
      </c>
      <c r="K163" s="18" t="str">
        <f>IFERROR(INDEX(tblClean[PurchaseChannel],MATCH(A163,tblClean[CustomerID],0)),"")</f>
        <v>Offline</v>
      </c>
      <c r="L163" s="22">
        <f ca="1">tblRFM[[#This Row],[RFM_Recency]]</f>
        <v>125</v>
      </c>
      <c r="M163" s="22">
        <f>tblRFM[[#This Row],[RFM_Frequency]]</f>
        <v>2</v>
      </c>
      <c r="N163" s="22">
        <f>tblRFM[[#This Row],[RFM_Monetary]]</f>
        <v>19770</v>
      </c>
      <c r="O163" s="16" t="str">
        <f ca="1">tblRFM[[#This Row],[RFM_Score]]</f>
        <v>223</v>
      </c>
      <c r="P163" s="16">
        <f>IFERROR(tblRFM[[#This Row],[SatisfactionIndex]],"")</f>
        <v>5</v>
      </c>
      <c r="Q163" s="16">
        <f>IFERROR(tblRFM[[#This Row],[Satisfaction]],"")</f>
        <v>5</v>
      </c>
      <c r="R163" s="16">
        <f>IFERROR(tblRFM[[#This Row],[RecommendationLikelihood]],"")</f>
        <v>10</v>
      </c>
      <c r="S163" s="16">
        <f>COUNTIFS(tblTransactions[CustomerID],A163)</f>
        <v>2</v>
      </c>
      <c r="T163" s="18" t="str">
        <f>IFERROR(INDEX(tblClean[DiscountSensitivity],MATCH(A163,tblClean[CustomerID],0)),"")</f>
        <v>High</v>
      </c>
    </row>
    <row r="164" spans="1:20" ht="15" customHeight="1" x14ac:dyDescent="0.3">
      <c r="A164" s="19" t="str">
        <f>tblRFM[[#This Row],[CustomerID]]</f>
        <v>C0162</v>
      </c>
      <c r="B164" s="19" t="str">
        <f>tblRFM[[#This Row],[Name]]</f>
        <v>Swati Reddy</v>
      </c>
      <c r="C164" s="18" t="str">
        <f>IFERROR(INDEX(tblClean[Gender],MATCH(A164,tblClean[CustomerID],0)),"")</f>
        <v>Female</v>
      </c>
      <c r="D164" s="19" t="str">
        <f>tblRFM[[#This Row],[AgeGroup]]</f>
        <v>55+</v>
      </c>
      <c r="E164" s="19" t="str">
        <f>tblRFM[[#This Row],[City/Region]]</f>
        <v>Jaipur</v>
      </c>
      <c r="F164" s="19" t="str">
        <f>tblRFM[[#This Row],[IncomeBracket]]</f>
        <v>Low</v>
      </c>
      <c r="G164" s="19" t="str">
        <f>tblRFM[[#This Row],[CustomerType]]</f>
        <v>Returning</v>
      </c>
      <c r="H164" s="19" t="str">
        <f>tblRFM[[#This Row],[EngagementLevel]]</f>
        <v>High</v>
      </c>
      <c r="I164" s="19" t="str">
        <f ca="1">tblRFM[[#This Row],[CustomerSegment]]</f>
        <v>High Value</v>
      </c>
      <c r="J164" s="19" t="str">
        <f>tblRFM[[#This Row],[ProductPreference]]</f>
        <v>Electronics</v>
      </c>
      <c r="K164" s="18" t="str">
        <f>IFERROR(INDEX(tblClean[PurchaseChannel],MATCH(A164,tblClean[CustomerID],0)),"")</f>
        <v>Online</v>
      </c>
      <c r="L164" s="23">
        <f ca="1">tblRFM[[#This Row],[RFM_Recency]]</f>
        <v>288</v>
      </c>
      <c r="M164" s="23">
        <f>tblRFM[[#This Row],[RFM_Frequency]]</f>
        <v>6</v>
      </c>
      <c r="N164" s="23">
        <f>tblRFM[[#This Row],[RFM_Monetary]]</f>
        <v>84011</v>
      </c>
      <c r="O164" s="19" t="str">
        <f ca="1">tblRFM[[#This Row],[RFM_Score]]</f>
        <v>145</v>
      </c>
      <c r="P164" s="19">
        <f>IFERROR(tblRFM[[#This Row],[SatisfactionIndex]],"")</f>
        <v>2.25</v>
      </c>
      <c r="Q164" s="19">
        <f>IFERROR(tblRFM[[#This Row],[Satisfaction]],"")</f>
        <v>4</v>
      </c>
      <c r="R164" s="19">
        <f>IFERROR(tblRFM[[#This Row],[RecommendationLikelihood]],"")</f>
        <v>1</v>
      </c>
      <c r="S164" s="19">
        <f>COUNTIFS(tblTransactions[CustomerID],A164)</f>
        <v>6</v>
      </c>
      <c r="T164" s="18" t="str">
        <f>IFERROR(INDEX(tblClean[DiscountSensitivity],MATCH(A164,tblClean[CustomerID],0)),"")</f>
        <v>Low</v>
      </c>
    </row>
    <row r="165" spans="1:20" ht="15" customHeight="1" x14ac:dyDescent="0.3">
      <c r="A165" s="16" t="str">
        <f>tblRFM[[#This Row],[CustomerID]]</f>
        <v>C0163</v>
      </c>
      <c r="B165" s="16" t="str">
        <f>tblRFM[[#This Row],[Name]]</f>
        <v>Amit Jain</v>
      </c>
      <c r="C165" s="18" t="str">
        <f>IFERROR(INDEX(tblClean[Gender],MATCH(A165,tblClean[CustomerID],0)),"")</f>
        <v>Male</v>
      </c>
      <c r="D165" s="16" t="str">
        <f>tblRFM[[#This Row],[AgeGroup]]</f>
        <v>55+</v>
      </c>
      <c r="E165" s="16" t="str">
        <f>tblRFM[[#This Row],[City/Region]]</f>
        <v>Surat</v>
      </c>
      <c r="F165" s="16" t="str">
        <f>tblRFM[[#This Row],[IncomeBracket]]</f>
        <v>High</v>
      </c>
      <c r="G165" s="16" t="str">
        <f>tblRFM[[#This Row],[CustomerType]]</f>
        <v>Returning</v>
      </c>
      <c r="H165" s="16" t="str">
        <f>tblRFM[[#This Row],[EngagementLevel]]</f>
        <v>Medium</v>
      </c>
      <c r="I165" s="16" t="str">
        <f ca="1">tblRFM[[#This Row],[CustomerSegment]]</f>
        <v>General</v>
      </c>
      <c r="J165" s="16" t="str">
        <f>tblRFM[[#This Row],[ProductPreference]]</f>
        <v>Electronics</v>
      </c>
      <c r="K165" s="18" t="str">
        <f>IFERROR(INDEX(tblClean[PurchaseChannel],MATCH(A165,tblClean[CustomerID],0)),"")</f>
        <v>Offline</v>
      </c>
      <c r="L165" s="22">
        <f ca="1">tblRFM[[#This Row],[RFM_Recency]]</f>
        <v>34</v>
      </c>
      <c r="M165" s="22">
        <f>tblRFM[[#This Row],[RFM_Frequency]]</f>
        <v>1</v>
      </c>
      <c r="N165" s="22">
        <f>tblRFM[[#This Row],[RFM_Monetary]]</f>
        <v>15750</v>
      </c>
      <c r="O165" s="16" t="str">
        <f ca="1">tblRFM[[#This Row],[RFM_Score]]</f>
        <v>413</v>
      </c>
      <c r="P165" s="16">
        <f>IFERROR(tblRFM[[#This Row],[SatisfactionIndex]],"")</f>
        <v>2.5</v>
      </c>
      <c r="Q165" s="16">
        <f>IFERROR(tblRFM[[#This Row],[Satisfaction]],"")</f>
        <v>1</v>
      </c>
      <c r="R165" s="16">
        <f>IFERROR(tblRFM[[#This Row],[RecommendationLikelihood]],"")</f>
        <v>8</v>
      </c>
      <c r="S165" s="16">
        <f>COUNTIFS(tblTransactions[CustomerID],A165)</f>
        <v>1</v>
      </c>
      <c r="T165" s="18" t="str">
        <f>IFERROR(INDEX(tblClean[DiscountSensitivity],MATCH(A165,tblClean[CustomerID],0)),"")</f>
        <v>Medium</v>
      </c>
    </row>
    <row r="166" spans="1:20" ht="15" customHeight="1" x14ac:dyDescent="0.3">
      <c r="A166" s="19" t="str">
        <f>tblRFM[[#This Row],[CustomerID]]</f>
        <v>C0164</v>
      </c>
      <c r="B166" s="19" t="str">
        <f>tblRFM[[#This Row],[Name]]</f>
        <v>Sunita Reddy</v>
      </c>
      <c r="C166" s="18" t="str">
        <f>IFERROR(INDEX(tblClean[Gender],MATCH(A166,tblClean[CustomerID],0)),"")</f>
        <v>Female</v>
      </c>
      <c r="D166" s="19" t="str">
        <f>tblRFM[[#This Row],[AgeGroup]]</f>
        <v>40-54</v>
      </c>
      <c r="E166" s="19" t="str">
        <f>tblRFM[[#This Row],[City/Region]]</f>
        <v>Bhopal</v>
      </c>
      <c r="F166" s="19" t="str">
        <f>tblRFM[[#This Row],[IncomeBracket]]</f>
        <v>Mid</v>
      </c>
      <c r="G166" s="19" t="str">
        <f>tblRFM[[#This Row],[CustomerType]]</f>
        <v>Returning</v>
      </c>
      <c r="H166" s="19" t="str">
        <f>tblRFM[[#This Row],[EngagementLevel]]</f>
        <v>Medium</v>
      </c>
      <c r="I166" s="19" t="str">
        <f ca="1">tblRFM[[#This Row],[CustomerSegment]]</f>
        <v>High Value</v>
      </c>
      <c r="J166" s="19" t="str">
        <f>tblRFM[[#This Row],[ProductPreference]]</f>
        <v>Beauty</v>
      </c>
      <c r="K166" s="18" t="str">
        <f>IFERROR(INDEX(tblClean[PurchaseChannel],MATCH(A166,tblClean[CustomerID],0)),"")</f>
        <v>Offline</v>
      </c>
      <c r="L166" s="23">
        <f ca="1">tblRFM[[#This Row],[RFM_Recency]]</f>
        <v>171</v>
      </c>
      <c r="M166" s="23">
        <f>tblRFM[[#This Row],[RFM_Frequency]]</f>
        <v>5</v>
      </c>
      <c r="N166" s="23">
        <f>tblRFM[[#This Row],[RFM_Monetary]]</f>
        <v>80616</v>
      </c>
      <c r="O166" s="19" t="str">
        <f ca="1">tblRFM[[#This Row],[RFM_Score]]</f>
        <v>235</v>
      </c>
      <c r="P166" s="19">
        <f>IFERROR(tblRFM[[#This Row],[SatisfactionIndex]],"")</f>
        <v>1.25</v>
      </c>
      <c r="Q166" s="19">
        <f>IFERROR(tblRFM[[#This Row],[Satisfaction]],"")</f>
        <v>1</v>
      </c>
      <c r="R166" s="19">
        <f>IFERROR(tblRFM[[#This Row],[RecommendationLikelihood]],"")</f>
        <v>3</v>
      </c>
      <c r="S166" s="19">
        <f>COUNTIFS(tblTransactions[CustomerID],A166)</f>
        <v>5</v>
      </c>
      <c r="T166" s="18" t="str">
        <f>IFERROR(INDEX(tblClean[DiscountSensitivity],MATCH(A166,tblClean[CustomerID],0)),"")</f>
        <v>Low</v>
      </c>
    </row>
    <row r="167" spans="1:20" ht="15" customHeight="1" x14ac:dyDescent="0.3">
      <c r="A167" s="16" t="str">
        <f>tblRFM[[#This Row],[CustomerID]]</f>
        <v>C0165</v>
      </c>
      <c r="B167" s="16" t="str">
        <f>tblRFM[[#This Row],[Name]]</f>
        <v>Geeta Singh</v>
      </c>
      <c r="C167" s="18" t="str">
        <f>IFERROR(INDEX(tblClean[Gender],MATCH(A167,tblClean[CustomerID],0)),"")</f>
        <v>Female</v>
      </c>
      <c r="D167" s="16" t="str">
        <f>tblRFM[[#This Row],[AgeGroup]]</f>
        <v>40-54</v>
      </c>
      <c r="E167" s="16" t="str">
        <f>tblRFM[[#This Row],[City/Region]]</f>
        <v>Delhi</v>
      </c>
      <c r="F167" s="16" t="str">
        <f>tblRFM[[#This Row],[IncomeBracket]]</f>
        <v>Mid</v>
      </c>
      <c r="G167" s="16" t="str">
        <f>tblRFM[[#This Row],[CustomerType]]</f>
        <v>Returning</v>
      </c>
      <c r="H167" s="16" t="str">
        <f>tblRFM[[#This Row],[EngagementLevel]]</f>
        <v>Low</v>
      </c>
      <c r="I167" s="16" t="str">
        <f ca="1">tblRFM[[#This Row],[CustomerSegment]]</f>
        <v>High Value</v>
      </c>
      <c r="J167" s="16" t="str">
        <f>tblRFM[[#This Row],[ProductPreference]]</f>
        <v>Beauty</v>
      </c>
      <c r="K167" s="18" t="str">
        <f>IFERROR(INDEX(tblClean[PurchaseChannel],MATCH(A167,tblClean[CustomerID],0)),"")</f>
        <v>Offline</v>
      </c>
      <c r="L167" s="22">
        <f ca="1">tblRFM[[#This Row],[RFM_Recency]]</f>
        <v>241</v>
      </c>
      <c r="M167" s="22">
        <f>tblRFM[[#This Row],[RFM_Frequency]]</f>
        <v>8</v>
      </c>
      <c r="N167" s="22">
        <f>tblRFM[[#This Row],[RFM_Monetary]]</f>
        <v>97141</v>
      </c>
      <c r="O167" s="16" t="str">
        <f ca="1">tblRFM[[#This Row],[RFM_Score]]</f>
        <v>155</v>
      </c>
      <c r="P167" s="16">
        <f>IFERROR(tblRFM[[#This Row],[SatisfactionIndex]],"")</f>
        <v>2.25</v>
      </c>
      <c r="Q167" s="16">
        <f>IFERROR(tblRFM[[#This Row],[Satisfaction]],"")</f>
        <v>4</v>
      </c>
      <c r="R167" s="16">
        <f>IFERROR(tblRFM[[#This Row],[RecommendationLikelihood]],"")</f>
        <v>1</v>
      </c>
      <c r="S167" s="16">
        <f>COUNTIFS(tblTransactions[CustomerID],A167)</f>
        <v>8</v>
      </c>
      <c r="T167" s="18" t="str">
        <f>IFERROR(INDEX(tblClean[DiscountSensitivity],MATCH(A167,tblClean[CustomerID],0)),"")</f>
        <v>Low</v>
      </c>
    </row>
    <row r="168" spans="1:20" ht="15" customHeight="1" x14ac:dyDescent="0.3">
      <c r="A168" s="19" t="str">
        <f>tblRFM[[#This Row],[CustomerID]]</f>
        <v>C0166</v>
      </c>
      <c r="B168" s="19" t="str">
        <f>tblRFM[[#This Row],[Name]]</f>
        <v>Kavya Jain</v>
      </c>
      <c r="C168" s="18" t="str">
        <f>IFERROR(INDEX(tblClean[Gender],MATCH(A168,tblClean[CustomerID],0)),"")</f>
        <v>Female</v>
      </c>
      <c r="D168" s="19" t="str">
        <f>tblRFM[[#This Row],[AgeGroup]]</f>
        <v>25-39</v>
      </c>
      <c r="E168" s="19" t="str">
        <f>tblRFM[[#This Row],[City/Region]]</f>
        <v>Mumbai</v>
      </c>
      <c r="F168" s="19" t="str">
        <f>tblRFM[[#This Row],[IncomeBracket]]</f>
        <v>High</v>
      </c>
      <c r="G168" s="19" t="str">
        <f>tblRFM[[#This Row],[CustomerType]]</f>
        <v>New</v>
      </c>
      <c r="H168" s="19" t="str">
        <f>tblRFM[[#This Row],[EngagementLevel]]</f>
        <v>High</v>
      </c>
      <c r="I168" s="19" t="str">
        <f ca="1">tblRFM[[#This Row],[CustomerSegment]]</f>
        <v>High Value</v>
      </c>
      <c r="J168" s="19" t="str">
        <f>tblRFM[[#This Row],[ProductPreference]]</f>
        <v>Grocery</v>
      </c>
      <c r="K168" s="18" t="str">
        <f>IFERROR(INDEX(tblClean[PurchaseChannel],MATCH(A168,tblClean[CustomerID],0)),"")</f>
        <v>Offline</v>
      </c>
      <c r="L168" s="23">
        <f ca="1">tblRFM[[#This Row],[RFM_Recency]]</f>
        <v>330</v>
      </c>
      <c r="M168" s="23">
        <f>tblRFM[[#This Row],[RFM_Frequency]]</f>
        <v>9</v>
      </c>
      <c r="N168" s="23">
        <f>tblRFM[[#This Row],[RFM_Monetary]]</f>
        <v>105114</v>
      </c>
      <c r="O168" s="19" t="str">
        <f ca="1">tblRFM[[#This Row],[RFM_Score]]</f>
        <v>155</v>
      </c>
      <c r="P168" s="19">
        <f>IFERROR(tblRFM[[#This Row],[SatisfactionIndex]],"")</f>
        <v>2.75</v>
      </c>
      <c r="Q168" s="19">
        <f>IFERROR(tblRFM[[#This Row],[Satisfaction]],"")</f>
        <v>4</v>
      </c>
      <c r="R168" s="19">
        <f>IFERROR(tblRFM[[#This Row],[RecommendationLikelihood]],"")</f>
        <v>3</v>
      </c>
      <c r="S168" s="19">
        <f>COUNTIFS(tblTransactions[CustomerID],A168)</f>
        <v>9</v>
      </c>
      <c r="T168" s="18" t="str">
        <f>IFERROR(INDEX(tblClean[DiscountSensitivity],MATCH(A168,tblClean[CustomerID],0)),"")</f>
        <v>Medium</v>
      </c>
    </row>
    <row r="169" spans="1:20" ht="15" customHeight="1" x14ac:dyDescent="0.3">
      <c r="A169" s="16" t="str">
        <f>tblRFM[[#This Row],[CustomerID]]</f>
        <v>C0167</v>
      </c>
      <c r="B169" s="16" t="str">
        <f>tblRFM[[#This Row],[Name]]</f>
        <v>Deepak Mehta</v>
      </c>
      <c r="C169" s="18" t="str">
        <f>IFERROR(INDEX(tblClean[Gender],MATCH(A169,tblClean[CustomerID],0)),"")</f>
        <v>Male</v>
      </c>
      <c r="D169" s="16" t="str">
        <f>tblRFM[[#This Row],[AgeGroup]]</f>
        <v>55+</v>
      </c>
      <c r="E169" s="16" t="str">
        <f>tblRFM[[#This Row],[City/Region]]</f>
        <v>Chennai</v>
      </c>
      <c r="F169" s="16" t="str">
        <f>tblRFM[[#This Row],[IncomeBracket]]</f>
        <v>High</v>
      </c>
      <c r="G169" s="16" t="str">
        <f>tblRFM[[#This Row],[CustomerType]]</f>
        <v>Returning</v>
      </c>
      <c r="H169" s="16" t="str">
        <f>tblRFM[[#This Row],[EngagementLevel]]</f>
        <v>Medium</v>
      </c>
      <c r="I169" s="16" t="str">
        <f ca="1">tblRFM[[#This Row],[CustomerSegment]]</f>
        <v>General</v>
      </c>
      <c r="J169" s="16" t="str">
        <f>tblRFM[[#This Row],[ProductPreference]]</f>
        <v>Beauty</v>
      </c>
      <c r="K169" s="18" t="str">
        <f>IFERROR(INDEX(tblClean[PurchaseChannel],MATCH(A169,tblClean[CustomerID],0)),"")</f>
        <v>Offline</v>
      </c>
      <c r="L169" s="22">
        <f ca="1">tblRFM[[#This Row],[RFM_Recency]]</f>
        <v>136</v>
      </c>
      <c r="M169" s="22">
        <f>tblRFM[[#This Row],[RFM_Frequency]]</f>
        <v>5</v>
      </c>
      <c r="N169" s="22">
        <f>tblRFM[[#This Row],[RFM_Monetary]]</f>
        <v>44386</v>
      </c>
      <c r="O169" s="16" t="str">
        <f ca="1">tblRFM[[#This Row],[RFM_Score]]</f>
        <v>234</v>
      </c>
      <c r="P169" s="16">
        <f>IFERROR(tblRFM[[#This Row],[SatisfactionIndex]],"")</f>
        <v>2.75</v>
      </c>
      <c r="Q169" s="16">
        <f>IFERROR(tblRFM[[#This Row],[Satisfaction]],"")</f>
        <v>3</v>
      </c>
      <c r="R169" s="16">
        <f>IFERROR(tblRFM[[#This Row],[RecommendationLikelihood]],"")</f>
        <v>5</v>
      </c>
      <c r="S169" s="16">
        <f>COUNTIFS(tblTransactions[CustomerID],A169)</f>
        <v>5</v>
      </c>
      <c r="T169" s="18" t="str">
        <f>IFERROR(INDEX(tblClean[DiscountSensitivity],MATCH(A169,tblClean[CustomerID],0)),"")</f>
        <v>Medium</v>
      </c>
    </row>
    <row r="170" spans="1:20" ht="15" customHeight="1" x14ac:dyDescent="0.3">
      <c r="A170" s="19" t="str">
        <f>tblRFM[[#This Row],[CustomerID]]</f>
        <v>C0168</v>
      </c>
      <c r="B170" s="19" t="str">
        <f>tblRFM[[#This Row],[Name]]</f>
        <v>Pranav Nair</v>
      </c>
      <c r="C170" s="18" t="str">
        <f>IFERROR(INDEX(tblClean[Gender],MATCH(A170,tblClean[CustomerID],0)),"")</f>
        <v>Male</v>
      </c>
      <c r="D170" s="19" t="str">
        <f>tblRFM[[#This Row],[AgeGroup]]</f>
        <v>25-39</v>
      </c>
      <c r="E170" s="19" t="str">
        <f>tblRFM[[#This Row],[City/Region]]</f>
        <v>Jaipur</v>
      </c>
      <c r="F170" s="19" t="str">
        <f>tblRFM[[#This Row],[IncomeBracket]]</f>
        <v>High</v>
      </c>
      <c r="G170" s="19" t="str">
        <f>tblRFM[[#This Row],[CustomerType]]</f>
        <v>New</v>
      </c>
      <c r="H170" s="19" t="str">
        <f>tblRFM[[#This Row],[EngagementLevel]]</f>
        <v>Medium</v>
      </c>
      <c r="I170" s="19" t="str">
        <f ca="1">tblRFM[[#This Row],[CustomerSegment]]</f>
        <v>At Risk</v>
      </c>
      <c r="J170" s="19" t="str">
        <f>tblRFM[[#This Row],[ProductPreference]]</f>
        <v>Electronics</v>
      </c>
      <c r="K170" s="18" t="str">
        <f>IFERROR(INDEX(tblClean[PurchaseChannel],MATCH(A170,tblClean[CustomerID],0)),"")</f>
        <v>Offline</v>
      </c>
      <c r="L170" s="23">
        <f ca="1">tblRFM[[#This Row],[RFM_Recency]]</f>
        <v>225</v>
      </c>
      <c r="M170" s="23">
        <f>tblRFM[[#This Row],[RFM_Frequency]]</f>
        <v>2</v>
      </c>
      <c r="N170" s="23">
        <f>tblRFM[[#This Row],[RFM_Monetary]]</f>
        <v>14844</v>
      </c>
      <c r="O170" s="19" t="str">
        <f ca="1">tblRFM[[#This Row],[RFM_Score]]</f>
        <v>122</v>
      </c>
      <c r="P170" s="19">
        <f>IFERROR(tblRFM[[#This Row],[SatisfactionIndex]],"")</f>
        <v>1.75</v>
      </c>
      <c r="Q170" s="19">
        <f>IFERROR(tblRFM[[#This Row],[Satisfaction]],"")</f>
        <v>1</v>
      </c>
      <c r="R170" s="19">
        <f>IFERROR(tblRFM[[#This Row],[RecommendationLikelihood]],"")</f>
        <v>5</v>
      </c>
      <c r="S170" s="19">
        <f>COUNTIFS(tblTransactions[CustomerID],A170)</f>
        <v>2</v>
      </c>
      <c r="T170" s="18" t="str">
        <f>IFERROR(INDEX(tblClean[DiscountSensitivity],MATCH(A170,tblClean[CustomerID],0)),"")</f>
        <v>High</v>
      </c>
    </row>
    <row r="171" spans="1:20" ht="15" customHeight="1" x14ac:dyDescent="0.3">
      <c r="A171" s="16" t="str">
        <f>tblRFM[[#This Row],[CustomerID]]</f>
        <v>C0169</v>
      </c>
      <c r="B171" s="16" t="str">
        <f>tblRFM[[#This Row],[Name]]</f>
        <v>Deepak Nair</v>
      </c>
      <c r="C171" s="18" t="str">
        <f>IFERROR(INDEX(tblClean[Gender],MATCH(A171,tblClean[CustomerID],0)),"")</f>
        <v>Male</v>
      </c>
      <c r="D171" s="16" t="str">
        <f>tblRFM[[#This Row],[AgeGroup]]</f>
        <v>40-54</v>
      </c>
      <c r="E171" s="16" t="str">
        <f>tblRFM[[#This Row],[City/Region]]</f>
        <v>Chandigarh</v>
      </c>
      <c r="F171" s="16" t="str">
        <f>tblRFM[[#This Row],[IncomeBracket]]</f>
        <v>High</v>
      </c>
      <c r="G171" s="16" t="str">
        <f>tblRFM[[#This Row],[CustomerType]]</f>
        <v>Returning</v>
      </c>
      <c r="H171" s="16" t="str">
        <f>tblRFM[[#This Row],[EngagementLevel]]</f>
        <v>Medium</v>
      </c>
      <c r="I171" s="16" t="str">
        <f ca="1">tblRFM[[#This Row],[CustomerSegment]]</f>
        <v>High Value</v>
      </c>
      <c r="J171" s="16" t="str">
        <f>tblRFM[[#This Row],[ProductPreference]]</f>
        <v>Beauty</v>
      </c>
      <c r="K171" s="18" t="str">
        <f>IFERROR(INDEX(tblClean[PurchaseChannel],MATCH(A171,tblClean[CustomerID],0)),"")</f>
        <v>Offline</v>
      </c>
      <c r="L171" s="22">
        <f ca="1">tblRFM[[#This Row],[RFM_Recency]]</f>
        <v>20</v>
      </c>
      <c r="M171" s="22">
        <f>tblRFM[[#This Row],[RFM_Frequency]]</f>
        <v>7</v>
      </c>
      <c r="N171" s="22">
        <f>tblRFM[[#This Row],[RFM_Monetary]]</f>
        <v>72412</v>
      </c>
      <c r="O171" s="16" t="str">
        <f ca="1">tblRFM[[#This Row],[RFM_Score]]</f>
        <v>545</v>
      </c>
      <c r="P171" s="16">
        <f>IFERROR(tblRFM[[#This Row],[SatisfactionIndex]],"")</f>
        <v>1.25</v>
      </c>
      <c r="Q171" s="16">
        <f>IFERROR(tblRFM[[#This Row],[Satisfaction]],"")</f>
        <v>1</v>
      </c>
      <c r="R171" s="16">
        <f>IFERROR(tblRFM[[#This Row],[RecommendationLikelihood]],"")</f>
        <v>3</v>
      </c>
      <c r="S171" s="16">
        <f>COUNTIFS(tblTransactions[CustomerID],A171)</f>
        <v>7</v>
      </c>
      <c r="T171" s="18" t="str">
        <f>IFERROR(INDEX(tblClean[DiscountSensitivity],MATCH(A171,tblClean[CustomerID],0)),"")</f>
        <v>Low</v>
      </c>
    </row>
    <row r="172" spans="1:20" ht="15" customHeight="1" x14ac:dyDescent="0.3">
      <c r="A172" s="19" t="str">
        <f>tblRFM[[#This Row],[CustomerID]]</f>
        <v>C0170</v>
      </c>
      <c r="B172" s="19" t="str">
        <f>tblRFM[[#This Row],[Name]]</f>
        <v>Swati Sharma</v>
      </c>
      <c r="C172" s="18" t="str">
        <f>IFERROR(INDEX(tblClean[Gender],MATCH(A172,tblClean[CustomerID],0)),"")</f>
        <v>Female</v>
      </c>
      <c r="D172" s="19" t="str">
        <f>tblRFM[[#This Row],[AgeGroup]]</f>
        <v>&lt;25</v>
      </c>
      <c r="E172" s="19" t="str">
        <f>tblRFM[[#This Row],[City/Region]]</f>
        <v>Noida</v>
      </c>
      <c r="F172" s="19" t="str">
        <f>tblRFM[[#This Row],[IncomeBracket]]</f>
        <v>High</v>
      </c>
      <c r="G172" s="19" t="str">
        <f>tblRFM[[#This Row],[CustomerType]]</f>
        <v>Returning</v>
      </c>
      <c r="H172" s="19" t="str">
        <f>tblRFM[[#This Row],[EngagementLevel]]</f>
        <v>High</v>
      </c>
      <c r="I172" s="19" t="str">
        <f ca="1">tblRFM[[#This Row],[CustomerSegment]]</f>
        <v>High Value</v>
      </c>
      <c r="J172" s="19" t="str">
        <f>tblRFM[[#This Row],[ProductPreference]]</f>
        <v>Home Decor</v>
      </c>
      <c r="K172" s="18" t="str">
        <f>IFERROR(INDEX(tblClean[PurchaseChannel],MATCH(A172,tblClean[CustomerID],0)),"")</f>
        <v>Offline</v>
      </c>
      <c r="L172" s="23">
        <f ca="1">tblRFM[[#This Row],[RFM_Recency]]</f>
        <v>300</v>
      </c>
      <c r="M172" s="23">
        <f>tblRFM[[#This Row],[RFM_Frequency]]</f>
        <v>5</v>
      </c>
      <c r="N172" s="23">
        <f>tblRFM[[#This Row],[RFM_Monetary]]</f>
        <v>80443</v>
      </c>
      <c r="O172" s="19" t="str">
        <f ca="1">tblRFM[[#This Row],[RFM_Score]]</f>
        <v>135</v>
      </c>
      <c r="P172" s="19">
        <f>IFERROR(tblRFM[[#This Row],[SatisfactionIndex]],"")</f>
        <v>1.75</v>
      </c>
      <c r="Q172" s="19">
        <f>IFERROR(tblRFM[[#This Row],[Satisfaction]],"")</f>
        <v>1</v>
      </c>
      <c r="R172" s="19">
        <f>IFERROR(tblRFM[[#This Row],[RecommendationLikelihood]],"")</f>
        <v>5</v>
      </c>
      <c r="S172" s="19">
        <f>COUNTIFS(tblTransactions[CustomerID],A172)</f>
        <v>5</v>
      </c>
      <c r="T172" s="18" t="str">
        <f>IFERROR(INDEX(tblClean[DiscountSensitivity],MATCH(A172,tblClean[CustomerID],0)),"")</f>
        <v>High</v>
      </c>
    </row>
    <row r="173" spans="1:20" ht="15" customHeight="1" x14ac:dyDescent="0.3">
      <c r="A173" s="16" t="str">
        <f>tblRFM[[#This Row],[CustomerID]]</f>
        <v>C0171</v>
      </c>
      <c r="B173" s="16" t="str">
        <f>tblRFM[[#This Row],[Name]]</f>
        <v>Sneha Mehta</v>
      </c>
      <c r="C173" s="18" t="str">
        <f>IFERROR(INDEX(tblClean[Gender],MATCH(A173,tblClean[CustomerID],0)),"")</f>
        <v>Female</v>
      </c>
      <c r="D173" s="16" t="str">
        <f>tblRFM[[#This Row],[AgeGroup]]</f>
        <v>25-39</v>
      </c>
      <c r="E173" s="16" t="str">
        <f>tblRFM[[#This Row],[City/Region]]</f>
        <v>Nagpur</v>
      </c>
      <c r="F173" s="16" t="str">
        <f>tblRFM[[#This Row],[IncomeBracket]]</f>
        <v>Mid</v>
      </c>
      <c r="G173" s="16" t="str">
        <f>tblRFM[[#This Row],[CustomerType]]</f>
        <v>New</v>
      </c>
      <c r="H173" s="16" t="str">
        <f>tblRFM[[#This Row],[EngagementLevel]]</f>
        <v>Medium</v>
      </c>
      <c r="I173" s="16" t="str">
        <f ca="1">tblRFM[[#This Row],[CustomerSegment]]</f>
        <v>At Risk</v>
      </c>
      <c r="J173" s="16" t="str">
        <f>tblRFM[[#This Row],[ProductPreference]]</f>
        <v>Home Decor</v>
      </c>
      <c r="K173" s="18" t="str">
        <f>IFERROR(INDEX(tblClean[PurchaseChannel],MATCH(A173,tblClean[CustomerID],0)),"")</f>
        <v>Online</v>
      </c>
      <c r="L173" s="22">
        <f ca="1">tblRFM[[#This Row],[RFM_Recency]]</f>
        <v>298</v>
      </c>
      <c r="M173" s="22">
        <f>tblRFM[[#This Row],[RFM_Frequency]]</f>
        <v>2</v>
      </c>
      <c r="N173" s="22">
        <f>tblRFM[[#This Row],[RFM_Monetary]]</f>
        <v>22623</v>
      </c>
      <c r="O173" s="16" t="str">
        <f ca="1">tblRFM[[#This Row],[RFM_Score]]</f>
        <v>123</v>
      </c>
      <c r="P173" s="16">
        <f>IFERROR(tblRFM[[#This Row],[SatisfactionIndex]],"")</f>
        <v>1.5</v>
      </c>
      <c r="Q173" s="16">
        <f>IFERROR(tblRFM[[#This Row],[Satisfaction]],"")</f>
        <v>2</v>
      </c>
      <c r="R173" s="16">
        <f>IFERROR(tblRFM[[#This Row],[RecommendationLikelihood]],"")</f>
        <v>2</v>
      </c>
      <c r="S173" s="16">
        <f>COUNTIFS(tblTransactions[CustomerID],A173)</f>
        <v>2</v>
      </c>
      <c r="T173" s="18" t="str">
        <f>IFERROR(INDEX(tblClean[DiscountSensitivity],MATCH(A173,tblClean[CustomerID],0)),"")</f>
        <v>High</v>
      </c>
    </row>
    <row r="174" spans="1:20" ht="15" customHeight="1" x14ac:dyDescent="0.3">
      <c r="A174" s="19" t="str">
        <f>tblRFM[[#This Row],[CustomerID]]</f>
        <v>C0172</v>
      </c>
      <c r="B174" s="19" t="str">
        <f>tblRFM[[#This Row],[Name]]</f>
        <v>Sunita Reddy</v>
      </c>
      <c r="C174" s="18" t="str">
        <f>IFERROR(INDEX(tblClean[Gender],MATCH(A174,tblClean[CustomerID],0)),"")</f>
        <v>Female</v>
      </c>
      <c r="D174" s="19" t="str">
        <f>tblRFM[[#This Row],[AgeGroup]]</f>
        <v>55+</v>
      </c>
      <c r="E174" s="19" t="str">
        <f>tblRFM[[#This Row],[City/Region]]</f>
        <v>Bangalore</v>
      </c>
      <c r="F174" s="19" t="str">
        <f>tblRFM[[#This Row],[IncomeBracket]]</f>
        <v>High</v>
      </c>
      <c r="G174" s="19" t="str">
        <f>tblRFM[[#This Row],[CustomerType]]</f>
        <v>Returning</v>
      </c>
      <c r="H174" s="19" t="str">
        <f>tblRFM[[#This Row],[EngagementLevel]]</f>
        <v>High</v>
      </c>
      <c r="I174" s="19" t="str">
        <f ca="1">tblRFM[[#This Row],[CustomerSegment]]</f>
        <v>General</v>
      </c>
      <c r="J174" s="19" t="str">
        <f>tblRFM[[#This Row],[ProductPreference]]</f>
        <v>Electronics</v>
      </c>
      <c r="K174" s="18" t="str">
        <f>IFERROR(INDEX(tblClean[PurchaseChannel],MATCH(A174,tblClean[CustomerID],0)),"")</f>
        <v>Offline</v>
      </c>
      <c r="L174" s="23">
        <f ca="1">tblRFM[[#This Row],[RFM_Recency]]</f>
        <v>128</v>
      </c>
      <c r="M174" s="23">
        <f>tblRFM[[#This Row],[RFM_Frequency]]</f>
        <v>4</v>
      </c>
      <c r="N174" s="23">
        <f>tblRFM[[#This Row],[RFM_Monetary]]</f>
        <v>44094</v>
      </c>
      <c r="O174" s="19" t="str">
        <f ca="1">tblRFM[[#This Row],[RFM_Score]]</f>
        <v>234</v>
      </c>
      <c r="P174" s="19">
        <f>IFERROR(tblRFM[[#This Row],[SatisfactionIndex]],"")</f>
        <v>1.5</v>
      </c>
      <c r="Q174" s="19">
        <f>IFERROR(tblRFM[[#This Row],[Satisfaction]],"")</f>
        <v>1</v>
      </c>
      <c r="R174" s="19">
        <f>IFERROR(tblRFM[[#This Row],[RecommendationLikelihood]],"")</f>
        <v>4</v>
      </c>
      <c r="S174" s="19">
        <f>COUNTIFS(tblTransactions[CustomerID],A174)</f>
        <v>4</v>
      </c>
      <c r="T174" s="18" t="str">
        <f>IFERROR(INDEX(tblClean[DiscountSensitivity],MATCH(A174,tblClean[CustomerID],0)),"")</f>
        <v>High</v>
      </c>
    </row>
    <row r="175" spans="1:20" ht="15" customHeight="1" x14ac:dyDescent="0.3">
      <c r="A175" s="16" t="str">
        <f>tblRFM[[#This Row],[CustomerID]]</f>
        <v>C0173</v>
      </c>
      <c r="B175" s="16" t="str">
        <f>tblRFM[[#This Row],[Name]]</f>
        <v>Rekha Sharma</v>
      </c>
      <c r="C175" s="18" t="str">
        <f>IFERROR(INDEX(tblClean[Gender],MATCH(A175,tblClean[CustomerID],0)),"")</f>
        <v>Female</v>
      </c>
      <c r="D175" s="16" t="str">
        <f>tblRFM[[#This Row],[AgeGroup]]</f>
        <v>25-39</v>
      </c>
      <c r="E175" s="16" t="str">
        <f>tblRFM[[#This Row],[City/Region]]</f>
        <v>Bangalore</v>
      </c>
      <c r="F175" s="16" t="str">
        <f>tblRFM[[#This Row],[IncomeBracket]]</f>
        <v>High</v>
      </c>
      <c r="G175" s="16" t="str">
        <f>tblRFM[[#This Row],[CustomerType]]</f>
        <v>Returning</v>
      </c>
      <c r="H175" s="16" t="str">
        <f>tblRFM[[#This Row],[EngagementLevel]]</f>
        <v>Low</v>
      </c>
      <c r="I175" s="16" t="str">
        <f ca="1">tblRFM[[#This Row],[CustomerSegment]]</f>
        <v>High Value</v>
      </c>
      <c r="J175" s="16" t="str">
        <f>tblRFM[[#This Row],[ProductPreference]]</f>
        <v>Grocery</v>
      </c>
      <c r="K175" s="18" t="str">
        <f>IFERROR(INDEX(tblClean[PurchaseChannel],MATCH(A175,tblClean[CustomerID],0)),"")</f>
        <v>Online</v>
      </c>
      <c r="L175" s="22">
        <f ca="1">tblRFM[[#This Row],[RFM_Recency]]</f>
        <v>224</v>
      </c>
      <c r="M175" s="22">
        <f>tblRFM[[#This Row],[RFM_Frequency]]</f>
        <v>7</v>
      </c>
      <c r="N175" s="22">
        <f>tblRFM[[#This Row],[RFM_Monetary]]</f>
        <v>74816</v>
      </c>
      <c r="O175" s="16" t="str">
        <f ca="1">tblRFM[[#This Row],[RFM_Score]]</f>
        <v>145</v>
      </c>
      <c r="P175" s="16">
        <f>IFERROR(tblRFM[[#This Row],[SatisfactionIndex]],"")</f>
        <v>2.75</v>
      </c>
      <c r="Q175" s="16">
        <f>IFERROR(tblRFM[[#This Row],[Satisfaction]],"")</f>
        <v>4</v>
      </c>
      <c r="R175" s="16">
        <f>IFERROR(tblRFM[[#This Row],[RecommendationLikelihood]],"")</f>
        <v>3</v>
      </c>
      <c r="S175" s="16">
        <f>COUNTIFS(tblTransactions[CustomerID],A175)</f>
        <v>7</v>
      </c>
      <c r="T175" s="18" t="str">
        <f>IFERROR(INDEX(tblClean[DiscountSensitivity],MATCH(A175,tblClean[CustomerID],0)),"")</f>
        <v>High</v>
      </c>
    </row>
    <row r="176" spans="1:20" ht="15" customHeight="1" x14ac:dyDescent="0.3">
      <c r="A176" s="19" t="str">
        <f>tblRFM[[#This Row],[CustomerID]]</f>
        <v>C0174</v>
      </c>
      <c r="B176" s="19" t="str">
        <f>tblRFM[[#This Row],[Name]]</f>
        <v>Meena Jain</v>
      </c>
      <c r="C176" s="18" t="str">
        <f>IFERROR(INDEX(tblClean[Gender],MATCH(A176,tblClean[CustomerID],0)),"")</f>
        <v>Female</v>
      </c>
      <c r="D176" s="19" t="str">
        <f>tblRFM[[#This Row],[AgeGroup]]</f>
        <v>40-54</v>
      </c>
      <c r="E176" s="19" t="str">
        <f>tblRFM[[#This Row],[City/Region]]</f>
        <v>Indore</v>
      </c>
      <c r="F176" s="19" t="str">
        <f>tblRFM[[#This Row],[IncomeBracket]]</f>
        <v>High</v>
      </c>
      <c r="G176" s="19" t="str">
        <f>tblRFM[[#This Row],[CustomerType]]</f>
        <v>New</v>
      </c>
      <c r="H176" s="19" t="str">
        <f>tblRFM[[#This Row],[EngagementLevel]]</f>
        <v>Low</v>
      </c>
      <c r="I176" s="19" t="str">
        <f ca="1">tblRFM[[#This Row],[CustomerSegment]]</f>
        <v>Loyal</v>
      </c>
      <c r="J176" s="19" t="str">
        <f>tblRFM[[#This Row],[ProductPreference]]</f>
        <v>Fashion</v>
      </c>
      <c r="K176" s="18" t="str">
        <f>IFERROR(INDEX(tblClean[PurchaseChannel],MATCH(A176,tblClean[CustomerID],0)),"")</f>
        <v>Offline</v>
      </c>
      <c r="L176" s="23">
        <f ca="1">tblRFM[[#This Row],[RFM_Recency]]</f>
        <v>337</v>
      </c>
      <c r="M176" s="23">
        <f>tblRFM[[#This Row],[RFM_Frequency]]</f>
        <v>7</v>
      </c>
      <c r="N176" s="23">
        <f>tblRFM[[#This Row],[RFM_Monetary]]</f>
        <v>119976</v>
      </c>
      <c r="O176" s="19" t="str">
        <f ca="1">tblRFM[[#This Row],[RFM_Score]]</f>
        <v>145</v>
      </c>
      <c r="P176" s="19">
        <f>IFERROR(tblRFM[[#This Row],[SatisfactionIndex]],"")</f>
        <v>4.75</v>
      </c>
      <c r="Q176" s="19">
        <f>IFERROR(tblRFM[[#This Row],[Satisfaction]],"")</f>
        <v>5</v>
      </c>
      <c r="R176" s="19">
        <f>IFERROR(tblRFM[[#This Row],[RecommendationLikelihood]],"")</f>
        <v>9</v>
      </c>
      <c r="S176" s="19">
        <f>COUNTIFS(tblTransactions[CustomerID],A176)</f>
        <v>7</v>
      </c>
      <c r="T176" s="18" t="str">
        <f>IFERROR(INDEX(tblClean[DiscountSensitivity],MATCH(A176,tblClean[CustomerID],0)),"")</f>
        <v>Low</v>
      </c>
    </row>
    <row r="177" spans="1:20" ht="15" customHeight="1" x14ac:dyDescent="0.3">
      <c r="A177" s="16" t="str">
        <f>tblRFM[[#This Row],[CustomerID]]</f>
        <v>C0175</v>
      </c>
      <c r="B177" s="16" t="str">
        <f>tblRFM[[#This Row],[Name]]</f>
        <v>Rekha Rao</v>
      </c>
      <c r="C177" s="18" t="str">
        <f>IFERROR(INDEX(tblClean[Gender],MATCH(A177,tblClean[CustomerID],0)),"")</f>
        <v>Female</v>
      </c>
      <c r="D177" s="16" t="str">
        <f>tblRFM[[#This Row],[AgeGroup]]</f>
        <v>55+</v>
      </c>
      <c r="E177" s="16" t="str">
        <f>tblRFM[[#This Row],[City/Region]]</f>
        <v>Chennai</v>
      </c>
      <c r="F177" s="16" t="str">
        <f>tblRFM[[#This Row],[IncomeBracket]]</f>
        <v>High</v>
      </c>
      <c r="G177" s="16" t="str">
        <f>tblRFM[[#This Row],[CustomerType]]</f>
        <v>Returning</v>
      </c>
      <c r="H177" s="16" t="str">
        <f>tblRFM[[#This Row],[EngagementLevel]]</f>
        <v>Medium</v>
      </c>
      <c r="I177" s="16" t="str">
        <f ca="1">tblRFM[[#This Row],[CustomerSegment]]</f>
        <v>High Value</v>
      </c>
      <c r="J177" s="16" t="str">
        <f>tblRFM[[#This Row],[ProductPreference]]</f>
        <v>Fashion</v>
      </c>
      <c r="K177" s="18" t="str">
        <f>IFERROR(INDEX(tblClean[PurchaseChannel],MATCH(A177,tblClean[CustomerID],0)),"")</f>
        <v>Offline</v>
      </c>
      <c r="L177" s="22">
        <f ca="1">tblRFM[[#This Row],[RFM_Recency]]</f>
        <v>373</v>
      </c>
      <c r="M177" s="22">
        <f>tblRFM[[#This Row],[RFM_Frequency]]</f>
        <v>7</v>
      </c>
      <c r="N177" s="22">
        <f>tblRFM[[#This Row],[RFM_Monetary]]</f>
        <v>95222</v>
      </c>
      <c r="O177" s="16" t="str">
        <f ca="1">tblRFM[[#This Row],[RFM_Score]]</f>
        <v>145</v>
      </c>
      <c r="P177" s="16">
        <f>IFERROR(tblRFM[[#This Row],[SatisfactionIndex]],"")</f>
        <v>2.25</v>
      </c>
      <c r="Q177" s="16">
        <f>IFERROR(tblRFM[[#This Row],[Satisfaction]],"")</f>
        <v>4</v>
      </c>
      <c r="R177" s="16">
        <f>IFERROR(tblRFM[[#This Row],[RecommendationLikelihood]],"")</f>
        <v>1</v>
      </c>
      <c r="S177" s="16">
        <f>COUNTIFS(tblTransactions[CustomerID],A177)</f>
        <v>7</v>
      </c>
      <c r="T177" s="18" t="str">
        <f>IFERROR(INDEX(tblClean[DiscountSensitivity],MATCH(A177,tblClean[CustomerID],0)),"")</f>
        <v>High</v>
      </c>
    </row>
    <row r="178" spans="1:20" ht="15" customHeight="1" x14ac:dyDescent="0.3">
      <c r="A178" s="19" t="str">
        <f>tblRFM[[#This Row],[CustomerID]]</f>
        <v>C0176</v>
      </c>
      <c r="B178" s="19" t="str">
        <f>tblRFM[[#This Row],[Name]]</f>
        <v>Ajay Jain</v>
      </c>
      <c r="C178" s="18" t="str">
        <f>IFERROR(INDEX(tblClean[Gender],MATCH(A178,tblClean[CustomerID],0)),"")</f>
        <v>Male</v>
      </c>
      <c r="D178" s="19" t="str">
        <f>tblRFM[[#This Row],[AgeGroup]]</f>
        <v>25-39</v>
      </c>
      <c r="E178" s="19" t="str">
        <f>tblRFM[[#This Row],[City/Region]]</f>
        <v>Nagpur</v>
      </c>
      <c r="F178" s="19" t="str">
        <f>tblRFM[[#This Row],[IncomeBracket]]</f>
        <v>High</v>
      </c>
      <c r="G178" s="19" t="str">
        <f>tblRFM[[#This Row],[CustomerType]]</f>
        <v>Returning</v>
      </c>
      <c r="H178" s="19" t="str">
        <f>tblRFM[[#This Row],[EngagementLevel]]</f>
        <v>Medium</v>
      </c>
      <c r="I178" s="19" t="str">
        <f ca="1">tblRFM[[#This Row],[CustomerSegment]]</f>
        <v>High Value</v>
      </c>
      <c r="J178" s="19" t="str">
        <f>tblRFM[[#This Row],[ProductPreference]]</f>
        <v>Fashion</v>
      </c>
      <c r="K178" s="18" t="str">
        <f>IFERROR(INDEX(tblClean[PurchaseChannel],MATCH(A178,tblClean[CustomerID],0)),"")</f>
        <v>Offline</v>
      </c>
      <c r="L178" s="23">
        <f ca="1">tblRFM[[#This Row],[RFM_Recency]]</f>
        <v>276</v>
      </c>
      <c r="M178" s="23">
        <f>tblRFM[[#This Row],[RFM_Frequency]]</f>
        <v>5</v>
      </c>
      <c r="N178" s="23">
        <f>tblRFM[[#This Row],[RFM_Monetary]]</f>
        <v>88212</v>
      </c>
      <c r="O178" s="19" t="str">
        <f ca="1">tblRFM[[#This Row],[RFM_Score]]</f>
        <v>135</v>
      </c>
      <c r="P178" s="19">
        <f>IFERROR(tblRFM[[#This Row],[SatisfactionIndex]],"")</f>
        <v>3.25</v>
      </c>
      <c r="Q178" s="19">
        <f>IFERROR(tblRFM[[#This Row],[Satisfaction]],"")</f>
        <v>3</v>
      </c>
      <c r="R178" s="19">
        <f>IFERROR(tblRFM[[#This Row],[RecommendationLikelihood]],"")</f>
        <v>7</v>
      </c>
      <c r="S178" s="19">
        <f>COUNTIFS(tblTransactions[CustomerID],A178)</f>
        <v>5</v>
      </c>
      <c r="T178" s="18" t="str">
        <f>IFERROR(INDEX(tblClean[DiscountSensitivity],MATCH(A178,tblClean[CustomerID],0)),"")</f>
        <v>Medium</v>
      </c>
    </row>
    <row r="179" spans="1:20" ht="15" customHeight="1" x14ac:dyDescent="0.3">
      <c r="A179" s="16" t="str">
        <f>tblRFM[[#This Row],[CustomerID]]</f>
        <v>C0177</v>
      </c>
      <c r="B179" s="16" t="str">
        <f>tblRFM[[#This Row],[Name]]</f>
        <v>Lakshmi Pillai</v>
      </c>
      <c r="C179" s="18" t="str">
        <f>IFERROR(INDEX(tblClean[Gender],MATCH(A179,tblClean[CustomerID],0)),"")</f>
        <v>Female</v>
      </c>
      <c r="D179" s="16" t="str">
        <f>tblRFM[[#This Row],[AgeGroup]]</f>
        <v>55+</v>
      </c>
      <c r="E179" s="16" t="str">
        <f>tblRFM[[#This Row],[City/Region]]</f>
        <v>Lucknow</v>
      </c>
      <c r="F179" s="16" t="str">
        <f>tblRFM[[#This Row],[IncomeBracket]]</f>
        <v>High</v>
      </c>
      <c r="G179" s="16" t="str">
        <f>tblRFM[[#This Row],[CustomerType]]</f>
        <v>Returning</v>
      </c>
      <c r="H179" s="16" t="str">
        <f>tblRFM[[#This Row],[EngagementLevel]]</f>
        <v>Low</v>
      </c>
      <c r="I179" s="16" t="str">
        <f ca="1">tblRFM[[#This Row],[CustomerSegment]]</f>
        <v>Loyal</v>
      </c>
      <c r="J179" s="16" t="str">
        <f>tblRFM[[#This Row],[ProductPreference]]</f>
        <v>Electronics</v>
      </c>
      <c r="K179" s="18" t="str">
        <f>IFERROR(INDEX(tblClean[PurchaseChannel],MATCH(A179,tblClean[CustomerID],0)),"")</f>
        <v>Offline</v>
      </c>
      <c r="L179" s="22">
        <f ca="1">tblRFM[[#This Row],[RFM_Recency]]</f>
        <v>26</v>
      </c>
      <c r="M179" s="22">
        <f>tblRFM[[#This Row],[RFM_Frequency]]</f>
        <v>10</v>
      </c>
      <c r="N179" s="22">
        <f>tblRFM[[#This Row],[RFM_Monetary]]</f>
        <v>139345</v>
      </c>
      <c r="O179" s="16" t="str">
        <f ca="1">tblRFM[[#This Row],[RFM_Score]]</f>
        <v>555</v>
      </c>
      <c r="P179" s="16">
        <f>IFERROR(tblRFM[[#This Row],[SatisfactionIndex]],"")</f>
        <v>1.5</v>
      </c>
      <c r="Q179" s="16">
        <f>IFERROR(tblRFM[[#This Row],[Satisfaction]],"")</f>
        <v>2</v>
      </c>
      <c r="R179" s="16">
        <f>IFERROR(tblRFM[[#This Row],[RecommendationLikelihood]],"")</f>
        <v>2</v>
      </c>
      <c r="S179" s="16">
        <f>COUNTIFS(tblTransactions[CustomerID],A179)</f>
        <v>10</v>
      </c>
      <c r="T179" s="18" t="str">
        <f>IFERROR(INDEX(tblClean[DiscountSensitivity],MATCH(A179,tblClean[CustomerID],0)),"")</f>
        <v>High</v>
      </c>
    </row>
    <row r="180" spans="1:20" ht="15" customHeight="1" x14ac:dyDescent="0.3">
      <c r="A180" s="19" t="str">
        <f>tblRFM[[#This Row],[CustomerID]]</f>
        <v>C0178</v>
      </c>
      <c r="B180" s="19" t="str">
        <f>tblRFM[[#This Row],[Name]]</f>
        <v>Divya Jain</v>
      </c>
      <c r="C180" s="18" t="str">
        <f>IFERROR(INDEX(tblClean[Gender],MATCH(A180,tblClean[CustomerID],0)),"")</f>
        <v>Female</v>
      </c>
      <c r="D180" s="19" t="str">
        <f>tblRFM[[#This Row],[AgeGroup]]</f>
        <v>40-54</v>
      </c>
      <c r="E180" s="19" t="str">
        <f>tblRFM[[#This Row],[City/Region]]</f>
        <v>Ahmedabad</v>
      </c>
      <c r="F180" s="19" t="str">
        <f>tblRFM[[#This Row],[IncomeBracket]]</f>
        <v>High</v>
      </c>
      <c r="G180" s="19" t="str">
        <f>tblRFM[[#This Row],[CustomerType]]</f>
        <v>Returning</v>
      </c>
      <c r="H180" s="19" t="str">
        <f>tblRFM[[#This Row],[EngagementLevel]]</f>
        <v>High</v>
      </c>
      <c r="I180" s="19" t="str">
        <f ca="1">tblRFM[[#This Row],[CustomerSegment]]</f>
        <v>High Value</v>
      </c>
      <c r="J180" s="19" t="str">
        <f>tblRFM[[#This Row],[ProductPreference]]</f>
        <v>Fashion</v>
      </c>
      <c r="K180" s="18" t="str">
        <f>IFERROR(INDEX(tblClean[PurchaseChannel],MATCH(A180,tblClean[CustomerID],0)),"")</f>
        <v>Online</v>
      </c>
      <c r="L180" s="23">
        <f ca="1">tblRFM[[#This Row],[RFM_Recency]]</f>
        <v>40</v>
      </c>
      <c r="M180" s="23">
        <f>tblRFM[[#This Row],[RFM_Frequency]]</f>
        <v>9</v>
      </c>
      <c r="N180" s="23">
        <f>tblRFM[[#This Row],[RFM_Monetary]]</f>
        <v>94625</v>
      </c>
      <c r="O180" s="19" t="str">
        <f ca="1">tblRFM[[#This Row],[RFM_Score]]</f>
        <v>455</v>
      </c>
      <c r="P180" s="19">
        <f>IFERROR(tblRFM[[#This Row],[SatisfactionIndex]],"")</f>
        <v>1.5</v>
      </c>
      <c r="Q180" s="19">
        <f>IFERROR(tblRFM[[#This Row],[Satisfaction]],"")</f>
        <v>2</v>
      </c>
      <c r="R180" s="19">
        <f>IFERROR(tblRFM[[#This Row],[RecommendationLikelihood]],"")</f>
        <v>2</v>
      </c>
      <c r="S180" s="19">
        <f>COUNTIFS(tblTransactions[CustomerID],A180)</f>
        <v>9</v>
      </c>
      <c r="T180" s="18" t="str">
        <f>IFERROR(INDEX(tblClean[DiscountSensitivity],MATCH(A180,tblClean[CustomerID],0)),"")</f>
        <v>High</v>
      </c>
    </row>
    <row r="181" spans="1:20" ht="15" customHeight="1" x14ac:dyDescent="0.3">
      <c r="A181" s="16" t="str">
        <f>tblRFM[[#This Row],[CustomerID]]</f>
        <v>C0179</v>
      </c>
      <c r="B181" s="16" t="str">
        <f>tblRFM[[#This Row],[Name]]</f>
        <v>Suresh Patel</v>
      </c>
      <c r="C181" s="18" t="str">
        <f>IFERROR(INDEX(tblClean[Gender],MATCH(A181,tblClean[CustomerID],0)),"")</f>
        <v>Male</v>
      </c>
      <c r="D181" s="16" t="str">
        <f>tblRFM[[#This Row],[AgeGroup]]</f>
        <v>40-54</v>
      </c>
      <c r="E181" s="16" t="str">
        <f>tblRFM[[#This Row],[City/Region]]</f>
        <v>Nagpur</v>
      </c>
      <c r="F181" s="16" t="str">
        <f>tblRFM[[#This Row],[IncomeBracket]]</f>
        <v>Mid</v>
      </c>
      <c r="G181" s="16" t="str">
        <f>tblRFM[[#This Row],[CustomerType]]</f>
        <v>New</v>
      </c>
      <c r="H181" s="16" t="str">
        <f>tblRFM[[#This Row],[EngagementLevel]]</f>
        <v>Medium</v>
      </c>
      <c r="I181" s="16" t="str">
        <f ca="1">tblRFM[[#This Row],[CustomerSegment]]</f>
        <v>High Value</v>
      </c>
      <c r="J181" s="16" t="str">
        <f>tblRFM[[#This Row],[ProductPreference]]</f>
        <v>Grocery</v>
      </c>
      <c r="K181" s="18" t="str">
        <f>IFERROR(INDEX(tblClean[PurchaseChannel],MATCH(A181,tblClean[CustomerID],0)),"")</f>
        <v>Online</v>
      </c>
      <c r="L181" s="22">
        <f ca="1">tblRFM[[#This Row],[RFM_Recency]]</f>
        <v>165</v>
      </c>
      <c r="M181" s="22">
        <f>tblRFM[[#This Row],[RFM_Frequency]]</f>
        <v>4</v>
      </c>
      <c r="N181" s="22">
        <f>tblRFM[[#This Row],[RFM_Monetary]]</f>
        <v>69259</v>
      </c>
      <c r="O181" s="16" t="str">
        <f ca="1">tblRFM[[#This Row],[RFM_Score]]</f>
        <v>235</v>
      </c>
      <c r="P181" s="16">
        <f>IFERROR(tblRFM[[#This Row],[SatisfactionIndex]],"")</f>
        <v>2</v>
      </c>
      <c r="Q181" s="16">
        <f>IFERROR(tblRFM[[#This Row],[Satisfaction]],"")</f>
        <v>1</v>
      </c>
      <c r="R181" s="16">
        <f>IFERROR(tblRFM[[#This Row],[RecommendationLikelihood]],"")</f>
        <v>6</v>
      </c>
      <c r="S181" s="16">
        <f>COUNTIFS(tblTransactions[CustomerID],A181)</f>
        <v>4</v>
      </c>
      <c r="T181" s="18" t="str">
        <f>IFERROR(INDEX(tblClean[DiscountSensitivity],MATCH(A181,tblClean[CustomerID],0)),"")</f>
        <v>Medium</v>
      </c>
    </row>
    <row r="182" spans="1:20" ht="15" customHeight="1" x14ac:dyDescent="0.3">
      <c r="A182" s="19" t="str">
        <f>tblRFM[[#This Row],[CustomerID]]</f>
        <v>C0180</v>
      </c>
      <c r="B182" s="19" t="str">
        <f>tblRFM[[#This Row],[Name]]</f>
        <v>Lakshmi Verma</v>
      </c>
      <c r="C182" s="18" t="str">
        <f>IFERROR(INDEX(tblClean[Gender],MATCH(A182,tblClean[CustomerID],0)),"")</f>
        <v>Female</v>
      </c>
      <c r="D182" s="19" t="str">
        <f>tblRFM[[#This Row],[AgeGroup]]</f>
        <v>55+</v>
      </c>
      <c r="E182" s="19" t="str">
        <f>tblRFM[[#This Row],[City/Region]]</f>
        <v>Bhubaneswar</v>
      </c>
      <c r="F182" s="19" t="str">
        <f>tblRFM[[#This Row],[IncomeBracket]]</f>
        <v>High</v>
      </c>
      <c r="G182" s="19" t="str">
        <f>tblRFM[[#This Row],[CustomerType]]</f>
        <v>Returning</v>
      </c>
      <c r="H182" s="19" t="str">
        <f>tblRFM[[#This Row],[EngagementLevel]]</f>
        <v>Medium</v>
      </c>
      <c r="I182" s="19" t="str">
        <f ca="1">tblRFM[[#This Row],[CustomerSegment]]</f>
        <v>High Value</v>
      </c>
      <c r="J182" s="19" t="str">
        <f>tblRFM[[#This Row],[ProductPreference]]</f>
        <v>Grocery</v>
      </c>
      <c r="K182" s="18" t="str">
        <f>IFERROR(INDEX(tblClean[PurchaseChannel],MATCH(A182,tblClean[CustomerID],0)),"")</f>
        <v>Offline</v>
      </c>
      <c r="L182" s="23">
        <f ca="1">tblRFM[[#This Row],[RFM_Recency]]</f>
        <v>204</v>
      </c>
      <c r="M182" s="23">
        <f>tblRFM[[#This Row],[RFM_Frequency]]</f>
        <v>8</v>
      </c>
      <c r="N182" s="23">
        <f>tblRFM[[#This Row],[RFM_Monetary]]</f>
        <v>87033</v>
      </c>
      <c r="O182" s="19" t="str">
        <f ca="1">tblRFM[[#This Row],[RFM_Score]]</f>
        <v>155</v>
      </c>
      <c r="P182" s="19">
        <f>IFERROR(tblRFM[[#This Row],[SatisfactionIndex]],"")</f>
        <v>2.25</v>
      </c>
      <c r="Q182" s="19">
        <f>IFERROR(tblRFM[[#This Row],[Satisfaction]],"")</f>
        <v>3</v>
      </c>
      <c r="R182" s="19">
        <f>IFERROR(tblRFM[[#This Row],[RecommendationLikelihood]],"")</f>
        <v>3</v>
      </c>
      <c r="S182" s="19">
        <f>COUNTIFS(tblTransactions[CustomerID],A182)</f>
        <v>8</v>
      </c>
      <c r="T182" s="18" t="str">
        <f>IFERROR(INDEX(tblClean[DiscountSensitivity],MATCH(A182,tblClean[CustomerID],0)),"")</f>
        <v>High</v>
      </c>
    </row>
    <row r="183" spans="1:20" ht="15" customHeight="1" x14ac:dyDescent="0.3">
      <c r="A183" s="16" t="str">
        <f>tblRFM[[#This Row],[CustomerID]]</f>
        <v>C0181</v>
      </c>
      <c r="B183" s="16" t="str">
        <f>tblRFM[[#This Row],[Name]]</f>
        <v>Manoj Gupta</v>
      </c>
      <c r="C183" s="18" t="str">
        <f>IFERROR(INDEX(tblClean[Gender],MATCH(A183,tblClean[CustomerID],0)),"")</f>
        <v>Male</v>
      </c>
      <c r="D183" s="16" t="str">
        <f>tblRFM[[#This Row],[AgeGroup]]</f>
        <v>55+</v>
      </c>
      <c r="E183" s="16" t="str">
        <f>tblRFM[[#This Row],[City/Region]]</f>
        <v>Bhopal</v>
      </c>
      <c r="F183" s="16" t="str">
        <f>tblRFM[[#This Row],[IncomeBracket]]</f>
        <v>High</v>
      </c>
      <c r="G183" s="16" t="str">
        <f>tblRFM[[#This Row],[CustomerType]]</f>
        <v>New</v>
      </c>
      <c r="H183" s="16" t="str">
        <f>tblRFM[[#This Row],[EngagementLevel]]</f>
        <v>Medium</v>
      </c>
      <c r="I183" s="16" t="str">
        <f ca="1">tblRFM[[#This Row],[CustomerSegment]]</f>
        <v>General</v>
      </c>
      <c r="J183" s="16" t="str">
        <f>tblRFM[[#This Row],[ProductPreference]]</f>
        <v>Grocery</v>
      </c>
      <c r="K183" s="18" t="str">
        <f>IFERROR(INDEX(tblClean[PurchaseChannel],MATCH(A183,tblClean[CustomerID],0)),"")</f>
        <v>Offline</v>
      </c>
      <c r="L183" s="22">
        <f ca="1">tblRFM[[#This Row],[RFM_Recency]]</f>
        <v>314</v>
      </c>
      <c r="M183" s="22">
        <f>tblRFM[[#This Row],[RFM_Frequency]]</f>
        <v>3</v>
      </c>
      <c r="N183" s="22">
        <f>tblRFM[[#This Row],[RFM_Monetary]]</f>
        <v>41899</v>
      </c>
      <c r="O183" s="16" t="str">
        <f ca="1">tblRFM[[#This Row],[RFM_Score]]</f>
        <v>124</v>
      </c>
      <c r="P183" s="16">
        <f>IFERROR(tblRFM[[#This Row],[SatisfactionIndex]],"")</f>
        <v>2.75</v>
      </c>
      <c r="Q183" s="16">
        <f>IFERROR(tblRFM[[#This Row],[Satisfaction]],"")</f>
        <v>4</v>
      </c>
      <c r="R183" s="16">
        <f>IFERROR(tblRFM[[#This Row],[RecommendationLikelihood]],"")</f>
        <v>3</v>
      </c>
      <c r="S183" s="16">
        <f>COUNTIFS(tblTransactions[CustomerID],A183)</f>
        <v>3</v>
      </c>
      <c r="T183" s="18" t="str">
        <f>IFERROR(INDEX(tblClean[DiscountSensitivity],MATCH(A183,tblClean[CustomerID],0)),"")</f>
        <v>High</v>
      </c>
    </row>
    <row r="184" spans="1:20" ht="15" customHeight="1" x14ac:dyDescent="0.3">
      <c r="A184" s="19" t="str">
        <f>tblRFM[[#This Row],[CustomerID]]</f>
        <v>C0182</v>
      </c>
      <c r="B184" s="19" t="str">
        <f>tblRFM[[#This Row],[Name]]</f>
        <v>Rekha Nair</v>
      </c>
      <c r="C184" s="18" t="str">
        <f>IFERROR(INDEX(tblClean[Gender],MATCH(A184,tblClean[CustomerID],0)),"")</f>
        <v>Female</v>
      </c>
      <c r="D184" s="19" t="str">
        <f>tblRFM[[#This Row],[AgeGroup]]</f>
        <v>55+</v>
      </c>
      <c r="E184" s="19" t="str">
        <f>tblRFM[[#This Row],[City/Region]]</f>
        <v>Indore</v>
      </c>
      <c r="F184" s="19" t="str">
        <f>tblRFM[[#This Row],[IncomeBracket]]</f>
        <v>Mid</v>
      </c>
      <c r="G184" s="19" t="str">
        <f>tblRFM[[#This Row],[CustomerType]]</f>
        <v>New</v>
      </c>
      <c r="H184" s="19" t="str">
        <f>tblRFM[[#This Row],[EngagementLevel]]</f>
        <v>High</v>
      </c>
      <c r="I184" s="19" t="str">
        <f ca="1">tblRFM[[#This Row],[CustomerSegment]]</f>
        <v>High Value</v>
      </c>
      <c r="J184" s="19" t="str">
        <f>tblRFM[[#This Row],[ProductPreference]]</f>
        <v>Home Decor</v>
      </c>
      <c r="K184" s="18" t="str">
        <f>IFERROR(INDEX(tblClean[PurchaseChannel],MATCH(A184,tblClean[CustomerID],0)),"")</f>
        <v>Offline</v>
      </c>
      <c r="L184" s="23">
        <f ca="1">tblRFM[[#This Row],[RFM_Recency]]</f>
        <v>210</v>
      </c>
      <c r="M184" s="23">
        <f>tblRFM[[#This Row],[RFM_Frequency]]</f>
        <v>10</v>
      </c>
      <c r="N184" s="23">
        <f>tblRFM[[#This Row],[RFM_Monetary]]</f>
        <v>132355</v>
      </c>
      <c r="O184" s="19" t="str">
        <f ca="1">tblRFM[[#This Row],[RFM_Score]]</f>
        <v>155</v>
      </c>
      <c r="P184" s="19">
        <f>IFERROR(tblRFM[[#This Row],[SatisfactionIndex]],"")</f>
        <v>3</v>
      </c>
      <c r="Q184" s="19">
        <f>IFERROR(tblRFM[[#This Row],[Satisfaction]],"")</f>
        <v>1</v>
      </c>
      <c r="R184" s="19">
        <f>IFERROR(tblRFM[[#This Row],[RecommendationLikelihood]],"")</f>
        <v>10</v>
      </c>
      <c r="S184" s="19">
        <f>COUNTIFS(tblTransactions[CustomerID],A184)</f>
        <v>10</v>
      </c>
      <c r="T184" s="18" t="str">
        <f>IFERROR(INDEX(tblClean[DiscountSensitivity],MATCH(A184,tblClean[CustomerID],0)),"")</f>
        <v>High</v>
      </c>
    </row>
    <row r="185" spans="1:20" ht="15" customHeight="1" x14ac:dyDescent="0.3">
      <c r="A185" s="16" t="str">
        <f>tblRFM[[#This Row],[CustomerID]]</f>
        <v>C0183</v>
      </c>
      <c r="B185" s="16" t="str">
        <f>tblRFM[[#This Row],[Name]]</f>
        <v>Kavya Mishra</v>
      </c>
      <c r="C185" s="18" t="str">
        <f>IFERROR(INDEX(tblClean[Gender],MATCH(A185,tblClean[CustomerID],0)),"")</f>
        <v>Female</v>
      </c>
      <c r="D185" s="16" t="str">
        <f>tblRFM[[#This Row],[AgeGroup]]</f>
        <v>40-54</v>
      </c>
      <c r="E185" s="16" t="str">
        <f>tblRFM[[#This Row],[City/Region]]</f>
        <v>Surat</v>
      </c>
      <c r="F185" s="16" t="str">
        <f>tblRFM[[#This Row],[IncomeBracket]]</f>
        <v>Mid</v>
      </c>
      <c r="G185" s="16" t="str">
        <f>tblRFM[[#This Row],[CustomerType]]</f>
        <v>Returning</v>
      </c>
      <c r="H185" s="16" t="str">
        <f>tblRFM[[#This Row],[EngagementLevel]]</f>
        <v>Medium</v>
      </c>
      <c r="I185" s="16" t="str">
        <f ca="1">tblRFM[[#This Row],[CustomerSegment]]</f>
        <v>High Value</v>
      </c>
      <c r="J185" s="16" t="str">
        <f>tblRFM[[#This Row],[ProductPreference]]</f>
        <v>Beauty</v>
      </c>
      <c r="K185" s="18" t="str">
        <f>IFERROR(INDEX(tblClean[PurchaseChannel],MATCH(A185,tblClean[CustomerID],0)),"")</f>
        <v>Online</v>
      </c>
      <c r="L185" s="22">
        <f ca="1">tblRFM[[#This Row],[RFM_Recency]]</f>
        <v>328</v>
      </c>
      <c r="M185" s="22">
        <f>tblRFM[[#This Row],[RFM_Frequency]]</f>
        <v>6</v>
      </c>
      <c r="N185" s="22">
        <f>tblRFM[[#This Row],[RFM_Monetary]]</f>
        <v>100465</v>
      </c>
      <c r="O185" s="16" t="str">
        <f ca="1">tblRFM[[#This Row],[RFM_Score]]</f>
        <v>145</v>
      </c>
      <c r="P185" s="16">
        <f>IFERROR(tblRFM[[#This Row],[SatisfactionIndex]],"")</f>
        <v>2.5</v>
      </c>
      <c r="Q185" s="16">
        <f>IFERROR(tblRFM[[#This Row],[Satisfaction]],"")</f>
        <v>2</v>
      </c>
      <c r="R185" s="16">
        <f>IFERROR(tblRFM[[#This Row],[RecommendationLikelihood]],"")</f>
        <v>6</v>
      </c>
      <c r="S185" s="16">
        <f>COUNTIFS(tblTransactions[CustomerID],A185)</f>
        <v>6</v>
      </c>
      <c r="T185" s="18" t="str">
        <f>IFERROR(INDEX(tblClean[DiscountSensitivity],MATCH(A185,tblClean[CustomerID],0)),"")</f>
        <v>Low</v>
      </c>
    </row>
    <row r="186" spans="1:20" ht="15" customHeight="1" x14ac:dyDescent="0.3">
      <c r="A186" s="19" t="str">
        <f>tblRFM[[#This Row],[CustomerID]]</f>
        <v>C0184</v>
      </c>
      <c r="B186" s="19" t="str">
        <f>tblRFM[[#This Row],[Name]]</f>
        <v>Meena Joshi</v>
      </c>
      <c r="C186" s="18" t="str">
        <f>IFERROR(INDEX(tblClean[Gender],MATCH(A186,tblClean[CustomerID],0)),"")</f>
        <v>Female</v>
      </c>
      <c r="D186" s="19" t="str">
        <f>tblRFM[[#This Row],[AgeGroup]]</f>
        <v>55+</v>
      </c>
      <c r="E186" s="19" t="str">
        <f>tblRFM[[#This Row],[City/Region]]</f>
        <v>Chandigarh</v>
      </c>
      <c r="F186" s="19" t="str">
        <f>tblRFM[[#This Row],[IncomeBracket]]</f>
        <v>High</v>
      </c>
      <c r="G186" s="19" t="str">
        <f>tblRFM[[#This Row],[CustomerType]]</f>
        <v>Returning</v>
      </c>
      <c r="H186" s="19" t="str">
        <f>tblRFM[[#This Row],[EngagementLevel]]</f>
        <v>High</v>
      </c>
      <c r="I186" s="19" t="str">
        <f ca="1">tblRFM[[#This Row],[CustomerSegment]]</f>
        <v>High Value</v>
      </c>
      <c r="J186" s="19" t="str">
        <f>tblRFM[[#This Row],[ProductPreference]]</f>
        <v>Sports</v>
      </c>
      <c r="K186" s="18" t="str">
        <f>IFERROR(INDEX(tblClean[PurchaseChannel],MATCH(A186,tblClean[CustomerID],0)),"")</f>
        <v>Online</v>
      </c>
      <c r="L186" s="23">
        <f ca="1">tblRFM[[#This Row],[RFM_Recency]]</f>
        <v>127</v>
      </c>
      <c r="M186" s="23">
        <f>tblRFM[[#This Row],[RFM_Frequency]]</f>
        <v>7</v>
      </c>
      <c r="N186" s="23">
        <f>tblRFM[[#This Row],[RFM_Monetary]]</f>
        <v>72471</v>
      </c>
      <c r="O186" s="19" t="str">
        <f ca="1">tblRFM[[#This Row],[RFM_Score]]</f>
        <v>245</v>
      </c>
      <c r="P186" s="19">
        <f>IFERROR(tblRFM[[#This Row],[SatisfactionIndex]],"")</f>
        <v>2.75</v>
      </c>
      <c r="Q186" s="19">
        <f>IFERROR(tblRFM[[#This Row],[Satisfaction]],"")</f>
        <v>2</v>
      </c>
      <c r="R186" s="19">
        <f>IFERROR(tblRFM[[#This Row],[RecommendationLikelihood]],"")</f>
        <v>7</v>
      </c>
      <c r="S186" s="19">
        <f>COUNTIFS(tblTransactions[CustomerID],A186)</f>
        <v>7</v>
      </c>
      <c r="T186" s="18" t="str">
        <f>IFERROR(INDEX(tblClean[DiscountSensitivity],MATCH(A186,tblClean[CustomerID],0)),"")</f>
        <v>Low</v>
      </c>
    </row>
    <row r="187" spans="1:20" ht="15" customHeight="1" x14ac:dyDescent="0.3">
      <c r="A187" s="16" t="str">
        <f>tblRFM[[#This Row],[CustomerID]]</f>
        <v>C0185</v>
      </c>
      <c r="B187" s="16" t="str">
        <f>tblRFM[[#This Row],[Name]]</f>
        <v>Priya Joshi</v>
      </c>
      <c r="C187" s="18" t="str">
        <f>IFERROR(INDEX(tblClean[Gender],MATCH(A187,tblClean[CustomerID],0)),"")</f>
        <v>Female</v>
      </c>
      <c r="D187" s="16" t="str">
        <f>tblRFM[[#This Row],[AgeGroup]]</f>
        <v>25-39</v>
      </c>
      <c r="E187" s="16" t="str">
        <f>tblRFM[[#This Row],[City/Region]]</f>
        <v>Nagpur</v>
      </c>
      <c r="F187" s="16" t="str">
        <f>tblRFM[[#This Row],[IncomeBracket]]</f>
        <v>High</v>
      </c>
      <c r="G187" s="16" t="str">
        <f>tblRFM[[#This Row],[CustomerType]]</f>
        <v>Returning</v>
      </c>
      <c r="H187" s="16" t="str">
        <f>tblRFM[[#This Row],[EngagementLevel]]</f>
        <v>High</v>
      </c>
      <c r="I187" s="16" t="str">
        <f ca="1">tblRFM[[#This Row],[CustomerSegment]]</f>
        <v>High Value</v>
      </c>
      <c r="J187" s="16" t="str">
        <f>tblRFM[[#This Row],[ProductPreference]]</f>
        <v>Electronics</v>
      </c>
      <c r="K187" s="18" t="str">
        <f>IFERROR(INDEX(tblClean[PurchaseChannel],MATCH(A187,tblClean[CustomerID],0)),"")</f>
        <v>Online</v>
      </c>
      <c r="L187" s="22">
        <f ca="1">tblRFM[[#This Row],[RFM_Recency]]</f>
        <v>194</v>
      </c>
      <c r="M187" s="22">
        <f>tblRFM[[#This Row],[RFM_Frequency]]</f>
        <v>8</v>
      </c>
      <c r="N187" s="22">
        <f>tblRFM[[#This Row],[RFM_Monetary]]</f>
        <v>64296</v>
      </c>
      <c r="O187" s="16" t="str">
        <f ca="1">tblRFM[[#This Row],[RFM_Score]]</f>
        <v>155</v>
      </c>
      <c r="P187" s="16">
        <f>IFERROR(tblRFM[[#This Row],[SatisfactionIndex]],"")</f>
        <v>3.5</v>
      </c>
      <c r="Q187" s="16">
        <f>IFERROR(tblRFM[[#This Row],[Satisfaction]],"")</f>
        <v>5</v>
      </c>
      <c r="R187" s="16">
        <f>IFERROR(tblRFM[[#This Row],[RecommendationLikelihood]],"")</f>
        <v>4</v>
      </c>
      <c r="S187" s="16">
        <f>COUNTIFS(tblTransactions[CustomerID],A187)</f>
        <v>8</v>
      </c>
      <c r="T187" s="18" t="str">
        <f>IFERROR(INDEX(tblClean[DiscountSensitivity],MATCH(A187,tblClean[CustomerID],0)),"")</f>
        <v>High</v>
      </c>
    </row>
    <row r="188" spans="1:20" ht="15" customHeight="1" x14ac:dyDescent="0.3">
      <c r="A188" s="19" t="str">
        <f>tblRFM[[#This Row],[CustomerID]]</f>
        <v>C0186</v>
      </c>
      <c r="B188" s="19" t="str">
        <f>tblRFM[[#This Row],[Name]]</f>
        <v>Sneha Jain</v>
      </c>
      <c r="C188" s="18" t="str">
        <f>IFERROR(INDEX(tblClean[Gender],MATCH(A188,tblClean[CustomerID],0)),"")</f>
        <v>Female</v>
      </c>
      <c r="D188" s="19" t="str">
        <f>tblRFM[[#This Row],[AgeGroup]]</f>
        <v>25-39</v>
      </c>
      <c r="E188" s="19" t="str">
        <f>tblRFM[[#This Row],[City/Region]]</f>
        <v>Pune</v>
      </c>
      <c r="F188" s="19" t="str">
        <f>tblRFM[[#This Row],[IncomeBracket]]</f>
        <v>Low</v>
      </c>
      <c r="G188" s="19" t="str">
        <f>tblRFM[[#This Row],[CustomerType]]</f>
        <v>New</v>
      </c>
      <c r="H188" s="19" t="str">
        <f>tblRFM[[#This Row],[EngagementLevel]]</f>
        <v>Low</v>
      </c>
      <c r="I188" s="19" t="str">
        <f ca="1">tblRFM[[#This Row],[CustomerSegment]]</f>
        <v>High Value</v>
      </c>
      <c r="J188" s="19" t="str">
        <f>tblRFM[[#This Row],[ProductPreference]]</f>
        <v>Beauty</v>
      </c>
      <c r="K188" s="18" t="str">
        <f>IFERROR(INDEX(tblClean[PurchaseChannel],MATCH(A188,tblClean[CustomerID],0)),"")</f>
        <v>Offline</v>
      </c>
      <c r="L188" s="23">
        <f ca="1">tblRFM[[#This Row],[RFM_Recency]]</f>
        <v>272</v>
      </c>
      <c r="M188" s="23">
        <f>tblRFM[[#This Row],[RFM_Frequency]]</f>
        <v>9</v>
      </c>
      <c r="N188" s="23">
        <f>tblRFM[[#This Row],[RFM_Monetary]]</f>
        <v>129825</v>
      </c>
      <c r="O188" s="19" t="str">
        <f ca="1">tblRFM[[#This Row],[RFM_Score]]</f>
        <v>155</v>
      </c>
      <c r="P188" s="19">
        <f>IFERROR(tblRFM[[#This Row],[SatisfactionIndex]],"")</f>
        <v>1.25</v>
      </c>
      <c r="Q188" s="19">
        <f>IFERROR(tblRFM[[#This Row],[Satisfaction]],"")</f>
        <v>1</v>
      </c>
      <c r="R188" s="19">
        <f>IFERROR(tblRFM[[#This Row],[RecommendationLikelihood]],"")</f>
        <v>3</v>
      </c>
      <c r="S188" s="19">
        <f>COUNTIFS(tblTransactions[CustomerID],A188)</f>
        <v>9</v>
      </c>
      <c r="T188" s="18" t="str">
        <f>IFERROR(INDEX(tblClean[DiscountSensitivity],MATCH(A188,tblClean[CustomerID],0)),"")</f>
        <v>High</v>
      </c>
    </row>
    <row r="189" spans="1:20" ht="15" customHeight="1" x14ac:dyDescent="0.3">
      <c r="A189" s="16" t="str">
        <f>tblRFM[[#This Row],[CustomerID]]</f>
        <v>C0187</v>
      </c>
      <c r="B189" s="16" t="str">
        <f>tblRFM[[#This Row],[Name]]</f>
        <v>Naveen Rao</v>
      </c>
      <c r="C189" s="18" t="str">
        <f>IFERROR(INDEX(tblClean[Gender],MATCH(A189,tblClean[CustomerID],0)),"")</f>
        <v>Male</v>
      </c>
      <c r="D189" s="16" t="str">
        <f>tblRFM[[#This Row],[AgeGroup]]</f>
        <v>25-39</v>
      </c>
      <c r="E189" s="16" t="str">
        <f>tblRFM[[#This Row],[City/Region]]</f>
        <v>Noida</v>
      </c>
      <c r="F189" s="16" t="str">
        <f>tblRFM[[#This Row],[IncomeBracket]]</f>
        <v>Mid</v>
      </c>
      <c r="G189" s="16" t="str">
        <f>tblRFM[[#This Row],[CustomerType]]</f>
        <v>Returning</v>
      </c>
      <c r="H189" s="16" t="str">
        <f>tblRFM[[#This Row],[EngagementLevel]]</f>
        <v>Low</v>
      </c>
      <c r="I189" s="16" t="str">
        <f ca="1">tblRFM[[#This Row],[CustomerSegment]]</f>
        <v>High Value</v>
      </c>
      <c r="J189" s="16" t="str">
        <f>tblRFM[[#This Row],[ProductPreference]]</f>
        <v>Beauty</v>
      </c>
      <c r="K189" s="18" t="str">
        <f>IFERROR(INDEX(tblClean[PurchaseChannel],MATCH(A189,tblClean[CustomerID],0)),"")</f>
        <v>Online</v>
      </c>
      <c r="L189" s="22">
        <f ca="1">tblRFM[[#This Row],[RFM_Recency]]</f>
        <v>101</v>
      </c>
      <c r="M189" s="22">
        <f>tblRFM[[#This Row],[RFM_Frequency]]</f>
        <v>6</v>
      </c>
      <c r="N189" s="22">
        <f>tblRFM[[#This Row],[RFM_Monetary]]</f>
        <v>79330</v>
      </c>
      <c r="O189" s="16" t="str">
        <f ca="1">tblRFM[[#This Row],[RFM_Score]]</f>
        <v>245</v>
      </c>
      <c r="P189" s="16">
        <f>IFERROR(tblRFM[[#This Row],[SatisfactionIndex]],"")</f>
        <v>2</v>
      </c>
      <c r="Q189" s="16">
        <f>IFERROR(tblRFM[[#This Row],[Satisfaction]],"")</f>
        <v>1</v>
      </c>
      <c r="R189" s="16">
        <f>IFERROR(tblRFM[[#This Row],[RecommendationLikelihood]],"")</f>
        <v>6</v>
      </c>
      <c r="S189" s="16">
        <f>COUNTIFS(tblTransactions[CustomerID],A189)</f>
        <v>6</v>
      </c>
      <c r="T189" s="18" t="str">
        <f>IFERROR(INDEX(tblClean[DiscountSensitivity],MATCH(A189,tblClean[CustomerID],0)),"")</f>
        <v>Low</v>
      </c>
    </row>
    <row r="190" spans="1:20" ht="15" customHeight="1" x14ac:dyDescent="0.3">
      <c r="A190" s="19" t="str">
        <f>tblRFM[[#This Row],[CustomerID]]</f>
        <v>C0188</v>
      </c>
      <c r="B190" s="19" t="str">
        <f>tblRFM[[#This Row],[Name]]</f>
        <v>Rahul Singh</v>
      </c>
      <c r="C190" s="18" t="str">
        <f>IFERROR(INDEX(tblClean[Gender],MATCH(A190,tblClean[CustomerID],0)),"")</f>
        <v>Male</v>
      </c>
      <c r="D190" s="19" t="str">
        <f>tblRFM[[#This Row],[AgeGroup]]</f>
        <v>25-39</v>
      </c>
      <c r="E190" s="19" t="str">
        <f>tblRFM[[#This Row],[City/Region]]</f>
        <v>Mumbai</v>
      </c>
      <c r="F190" s="19" t="str">
        <f>tblRFM[[#This Row],[IncomeBracket]]</f>
        <v>High</v>
      </c>
      <c r="G190" s="19" t="str">
        <f>tblRFM[[#This Row],[CustomerType]]</f>
        <v>Returning</v>
      </c>
      <c r="H190" s="19" t="str">
        <f>tblRFM[[#This Row],[EngagementLevel]]</f>
        <v>Low</v>
      </c>
      <c r="I190" s="19" t="str">
        <f ca="1">tblRFM[[#This Row],[CustomerSegment]]</f>
        <v>General</v>
      </c>
      <c r="J190" s="19" t="str">
        <f>tblRFM[[#This Row],[ProductPreference]]</f>
        <v>Fashion</v>
      </c>
      <c r="K190" s="18" t="str">
        <f>IFERROR(INDEX(tblClean[PurchaseChannel],MATCH(A190,tblClean[CustomerID],0)),"")</f>
        <v>Online</v>
      </c>
      <c r="L190" s="23">
        <f ca="1">tblRFM[[#This Row],[RFM_Recency]]</f>
        <v>242</v>
      </c>
      <c r="M190" s="23">
        <f>tblRFM[[#This Row],[RFM_Frequency]]</f>
        <v>3</v>
      </c>
      <c r="N190" s="23">
        <f>tblRFM[[#This Row],[RFM_Monetary]]</f>
        <v>25282</v>
      </c>
      <c r="O190" s="19" t="str">
        <f ca="1">tblRFM[[#This Row],[RFM_Score]]</f>
        <v>123</v>
      </c>
      <c r="P190" s="19">
        <f>IFERROR(tblRFM[[#This Row],[SatisfactionIndex]],"")</f>
        <v>2.75</v>
      </c>
      <c r="Q190" s="19">
        <f>IFERROR(tblRFM[[#This Row],[Satisfaction]],"")</f>
        <v>4</v>
      </c>
      <c r="R190" s="19">
        <f>IFERROR(tblRFM[[#This Row],[RecommendationLikelihood]],"")</f>
        <v>3</v>
      </c>
      <c r="S190" s="19">
        <f>COUNTIFS(tblTransactions[CustomerID],A190)</f>
        <v>3</v>
      </c>
      <c r="T190" s="18" t="str">
        <f>IFERROR(INDEX(tblClean[DiscountSensitivity],MATCH(A190,tblClean[CustomerID],0)),"")</f>
        <v>Low</v>
      </c>
    </row>
    <row r="191" spans="1:20" ht="15" customHeight="1" x14ac:dyDescent="0.3">
      <c r="A191" s="16" t="str">
        <f>tblRFM[[#This Row],[CustomerID]]</f>
        <v>C0189</v>
      </c>
      <c r="B191" s="16" t="str">
        <f>tblRFM[[#This Row],[Name]]</f>
        <v>Rahul Pillai</v>
      </c>
      <c r="C191" s="18" t="str">
        <f>IFERROR(INDEX(tblClean[Gender],MATCH(A191,tblClean[CustomerID],0)),"")</f>
        <v>Male</v>
      </c>
      <c r="D191" s="16" t="str">
        <f>tblRFM[[#This Row],[AgeGroup]]</f>
        <v>40-54</v>
      </c>
      <c r="E191" s="16" t="str">
        <f>tblRFM[[#This Row],[City/Region]]</f>
        <v>Nagpur</v>
      </c>
      <c r="F191" s="16" t="str">
        <f>tblRFM[[#This Row],[IncomeBracket]]</f>
        <v>High</v>
      </c>
      <c r="G191" s="16" t="str">
        <f>tblRFM[[#This Row],[CustomerType]]</f>
        <v>Returning</v>
      </c>
      <c r="H191" s="16" t="str">
        <f>tblRFM[[#This Row],[EngagementLevel]]</f>
        <v>High</v>
      </c>
      <c r="I191" s="16" t="str">
        <f ca="1">tblRFM[[#This Row],[CustomerSegment]]</f>
        <v>High Value</v>
      </c>
      <c r="J191" s="16" t="str">
        <f>tblRFM[[#This Row],[ProductPreference]]</f>
        <v>Grocery</v>
      </c>
      <c r="K191" s="18" t="str">
        <f>IFERROR(INDEX(tblClean[PurchaseChannel],MATCH(A191,tblClean[CustomerID],0)),"")</f>
        <v>Online</v>
      </c>
      <c r="L191" s="22">
        <f ca="1">tblRFM[[#This Row],[RFM_Recency]]</f>
        <v>63</v>
      </c>
      <c r="M191" s="22">
        <f>tblRFM[[#This Row],[RFM_Frequency]]</f>
        <v>5</v>
      </c>
      <c r="N191" s="22">
        <f>tblRFM[[#This Row],[RFM_Monetary]]</f>
        <v>55878</v>
      </c>
      <c r="O191" s="16" t="str">
        <f ca="1">tblRFM[[#This Row],[RFM_Score]]</f>
        <v>335</v>
      </c>
      <c r="P191" s="16">
        <f>IFERROR(tblRFM[[#This Row],[SatisfactionIndex]],"")</f>
        <v>1.5</v>
      </c>
      <c r="Q191" s="16">
        <f>IFERROR(tblRFM[[#This Row],[Satisfaction]],"")</f>
        <v>2</v>
      </c>
      <c r="R191" s="16">
        <f>IFERROR(tblRFM[[#This Row],[RecommendationLikelihood]],"")</f>
        <v>2</v>
      </c>
      <c r="S191" s="16">
        <f>COUNTIFS(tblTransactions[CustomerID],A191)</f>
        <v>5</v>
      </c>
      <c r="T191" s="18" t="str">
        <f>IFERROR(INDEX(tblClean[DiscountSensitivity],MATCH(A191,tblClean[CustomerID],0)),"")</f>
        <v>Low</v>
      </c>
    </row>
    <row r="192" spans="1:20" ht="15" customHeight="1" x14ac:dyDescent="0.3">
      <c r="A192" s="19" t="str">
        <f>tblRFM[[#This Row],[CustomerID]]</f>
        <v>C0190</v>
      </c>
      <c r="B192" s="19" t="str">
        <f>tblRFM[[#This Row],[Name]]</f>
        <v>Aarti Mishra</v>
      </c>
      <c r="C192" s="18" t="str">
        <f>IFERROR(INDEX(tblClean[Gender],MATCH(A192,tblClean[CustomerID],0)),"")</f>
        <v>Female</v>
      </c>
      <c r="D192" s="19" t="str">
        <f>tblRFM[[#This Row],[AgeGroup]]</f>
        <v>40-54</v>
      </c>
      <c r="E192" s="19" t="str">
        <f>tblRFM[[#This Row],[City/Region]]</f>
        <v>Mumbai</v>
      </c>
      <c r="F192" s="19" t="str">
        <f>tblRFM[[#This Row],[IncomeBracket]]</f>
        <v>Mid</v>
      </c>
      <c r="G192" s="19" t="str">
        <f>tblRFM[[#This Row],[CustomerType]]</f>
        <v>Returning</v>
      </c>
      <c r="H192" s="19" t="str">
        <f>tblRFM[[#This Row],[EngagementLevel]]</f>
        <v>High</v>
      </c>
      <c r="I192" s="19" t="str">
        <f ca="1">tblRFM[[#This Row],[CustomerSegment]]</f>
        <v>At Risk</v>
      </c>
      <c r="J192" s="19" t="str">
        <f>tblRFM[[#This Row],[ProductPreference]]</f>
        <v>Sports</v>
      </c>
      <c r="K192" s="18" t="str">
        <f>IFERROR(INDEX(tblClean[PurchaseChannel],MATCH(A192,tblClean[CustomerID],0)),"")</f>
        <v>Offline</v>
      </c>
      <c r="L192" s="23">
        <f ca="1">tblRFM[[#This Row],[RFM_Recency]]</f>
        <v>126</v>
      </c>
      <c r="M192" s="23">
        <f>tblRFM[[#This Row],[RFM_Frequency]]</f>
        <v>2</v>
      </c>
      <c r="N192" s="23">
        <f>tblRFM[[#This Row],[RFM_Monetary]]</f>
        <v>21193</v>
      </c>
      <c r="O192" s="19" t="str">
        <f ca="1">tblRFM[[#This Row],[RFM_Score]]</f>
        <v>223</v>
      </c>
      <c r="P192" s="19">
        <f>IFERROR(tblRFM[[#This Row],[SatisfactionIndex]],"")</f>
        <v>1.25</v>
      </c>
      <c r="Q192" s="19">
        <f>IFERROR(tblRFM[[#This Row],[Satisfaction]],"")</f>
        <v>2</v>
      </c>
      <c r="R192" s="19">
        <f>IFERROR(tblRFM[[#This Row],[RecommendationLikelihood]],"")</f>
        <v>1</v>
      </c>
      <c r="S192" s="19">
        <f>COUNTIFS(tblTransactions[CustomerID],A192)</f>
        <v>2</v>
      </c>
      <c r="T192" s="18" t="str">
        <f>IFERROR(INDEX(tblClean[DiscountSensitivity],MATCH(A192,tblClean[CustomerID],0)),"")</f>
        <v>Low</v>
      </c>
    </row>
    <row r="193" spans="1:24" ht="15" customHeight="1" x14ac:dyDescent="0.3">
      <c r="A193" s="16" t="str">
        <f>tblRFM[[#This Row],[CustomerID]]</f>
        <v>C0191</v>
      </c>
      <c r="B193" s="16" t="str">
        <f>tblRFM[[#This Row],[Name]]</f>
        <v>Swati Reddy</v>
      </c>
      <c r="C193" s="18" t="str">
        <f>IFERROR(INDEX(tblClean[Gender],MATCH(A193,tblClean[CustomerID],0)),"")</f>
        <v>Female</v>
      </c>
      <c r="D193" s="16" t="str">
        <f>tblRFM[[#This Row],[AgeGroup]]</f>
        <v>55+</v>
      </c>
      <c r="E193" s="16" t="str">
        <f>tblRFM[[#This Row],[City/Region]]</f>
        <v>Chennai</v>
      </c>
      <c r="F193" s="16" t="str">
        <f>tblRFM[[#This Row],[IncomeBracket]]</f>
        <v>Mid</v>
      </c>
      <c r="G193" s="16" t="str">
        <f>tblRFM[[#This Row],[CustomerType]]</f>
        <v>Returning</v>
      </c>
      <c r="H193" s="16" t="str">
        <f>tblRFM[[#This Row],[EngagementLevel]]</f>
        <v>High</v>
      </c>
      <c r="I193" s="16" t="str">
        <f ca="1">tblRFM[[#This Row],[CustomerSegment]]</f>
        <v>High Value</v>
      </c>
      <c r="J193" s="16" t="str">
        <f>tblRFM[[#This Row],[ProductPreference]]</f>
        <v>Electronics</v>
      </c>
      <c r="K193" s="18" t="str">
        <f>IFERROR(INDEX(tblClean[PurchaseChannel],MATCH(A193,tblClean[CustomerID],0)),"")</f>
        <v>Offline</v>
      </c>
      <c r="L193" s="22">
        <f ca="1">tblRFM[[#This Row],[RFM_Recency]]</f>
        <v>227</v>
      </c>
      <c r="M193" s="22">
        <f>tblRFM[[#This Row],[RFM_Frequency]]</f>
        <v>7</v>
      </c>
      <c r="N193" s="22">
        <f>tblRFM[[#This Row],[RFM_Monetary]]</f>
        <v>92907</v>
      </c>
      <c r="O193" s="16" t="str">
        <f ca="1">tblRFM[[#This Row],[RFM_Score]]</f>
        <v>145</v>
      </c>
      <c r="P193" s="16">
        <f>IFERROR(tblRFM[[#This Row],[SatisfactionIndex]],"")</f>
        <v>3.75</v>
      </c>
      <c r="Q193" s="16">
        <f>IFERROR(tblRFM[[#This Row],[Satisfaction]],"")</f>
        <v>3</v>
      </c>
      <c r="R193" s="16">
        <f>IFERROR(tblRFM[[#This Row],[RecommendationLikelihood]],"")</f>
        <v>9</v>
      </c>
      <c r="S193" s="16">
        <f>COUNTIFS(tblTransactions[CustomerID],A193)</f>
        <v>7</v>
      </c>
      <c r="T193" s="18" t="str">
        <f>IFERROR(INDEX(tblClean[DiscountSensitivity],MATCH(A193,tblClean[CustomerID],0)),"")</f>
        <v>High</v>
      </c>
    </row>
    <row r="194" spans="1:24" ht="15" customHeight="1" x14ac:dyDescent="0.3">
      <c r="A194" s="19" t="str">
        <f>tblRFM[[#This Row],[CustomerID]]</f>
        <v>C0192</v>
      </c>
      <c r="B194" s="19" t="str">
        <f>tblRFM[[#This Row],[Name]]</f>
        <v>Ajay Pillai</v>
      </c>
      <c r="C194" s="18" t="str">
        <f>IFERROR(INDEX(tblClean[Gender],MATCH(A194,tblClean[CustomerID],0)),"")</f>
        <v>Male</v>
      </c>
      <c r="D194" s="19" t="str">
        <f>tblRFM[[#This Row],[AgeGroup]]</f>
        <v>55+</v>
      </c>
      <c r="E194" s="19" t="str">
        <f>tblRFM[[#This Row],[City/Region]]</f>
        <v>Chandigarh</v>
      </c>
      <c r="F194" s="19" t="str">
        <f>tblRFM[[#This Row],[IncomeBracket]]</f>
        <v>Mid</v>
      </c>
      <c r="G194" s="19" t="str">
        <f>tblRFM[[#This Row],[CustomerType]]</f>
        <v>Returning</v>
      </c>
      <c r="H194" s="19" t="str">
        <f>tblRFM[[#This Row],[EngagementLevel]]</f>
        <v>Medium</v>
      </c>
      <c r="I194" s="19" t="str">
        <f ca="1">tblRFM[[#This Row],[CustomerSegment]]</f>
        <v>High Value</v>
      </c>
      <c r="J194" s="19" t="str">
        <f>tblRFM[[#This Row],[ProductPreference]]</f>
        <v>Beauty</v>
      </c>
      <c r="K194" s="18" t="str">
        <f>IFERROR(INDEX(tblClean[PurchaseChannel],MATCH(A194,tblClean[CustomerID],0)),"")</f>
        <v>Online</v>
      </c>
      <c r="L194" s="23">
        <f ca="1">tblRFM[[#This Row],[RFM_Recency]]</f>
        <v>173</v>
      </c>
      <c r="M194" s="23">
        <f>tblRFM[[#This Row],[RFM_Frequency]]</f>
        <v>7</v>
      </c>
      <c r="N194" s="23">
        <f>tblRFM[[#This Row],[RFM_Monetary]]</f>
        <v>80227</v>
      </c>
      <c r="O194" s="19" t="str">
        <f ca="1">tblRFM[[#This Row],[RFM_Score]]</f>
        <v>245</v>
      </c>
      <c r="P194" s="19">
        <f>IFERROR(tblRFM[[#This Row],[SatisfactionIndex]],"")</f>
        <v>4.25</v>
      </c>
      <c r="Q194" s="19">
        <f>IFERROR(tblRFM[[#This Row],[Satisfaction]],"")</f>
        <v>5</v>
      </c>
      <c r="R194" s="19">
        <f>IFERROR(tblRFM[[#This Row],[RecommendationLikelihood]],"")</f>
        <v>7</v>
      </c>
      <c r="S194" s="19">
        <f>COUNTIFS(tblTransactions[CustomerID],A194)</f>
        <v>7</v>
      </c>
      <c r="T194" s="18" t="str">
        <f>IFERROR(INDEX(tblClean[DiscountSensitivity],MATCH(A194,tblClean[CustomerID],0)),"")</f>
        <v>Medium</v>
      </c>
    </row>
    <row r="195" spans="1:24" ht="15" customHeight="1" x14ac:dyDescent="0.3">
      <c r="A195" s="16" t="str">
        <f>tblRFM[[#This Row],[CustomerID]]</f>
        <v>C0193</v>
      </c>
      <c r="B195" s="16" t="str">
        <f>tblRFM[[#This Row],[Name]]</f>
        <v>Lakshmi Singh</v>
      </c>
      <c r="C195" s="18" t="str">
        <f>IFERROR(INDEX(tblClean[Gender],MATCH(A195,tblClean[CustomerID],0)),"")</f>
        <v>Female</v>
      </c>
      <c r="D195" s="16" t="str">
        <f>tblRFM[[#This Row],[AgeGroup]]</f>
        <v>40-54</v>
      </c>
      <c r="E195" s="16" t="str">
        <f>tblRFM[[#This Row],[City/Region]]</f>
        <v>Chennai</v>
      </c>
      <c r="F195" s="16" t="str">
        <f>tblRFM[[#This Row],[IncomeBracket]]</f>
        <v>High</v>
      </c>
      <c r="G195" s="16" t="str">
        <f>tblRFM[[#This Row],[CustomerType]]</f>
        <v>New</v>
      </c>
      <c r="H195" s="16" t="str">
        <f>tblRFM[[#This Row],[EngagementLevel]]</f>
        <v>Medium</v>
      </c>
      <c r="I195" s="16" t="str">
        <f ca="1">tblRFM[[#This Row],[CustomerSegment]]</f>
        <v>High Value</v>
      </c>
      <c r="J195" s="16" t="str">
        <f>tblRFM[[#This Row],[ProductPreference]]</f>
        <v>Beauty</v>
      </c>
      <c r="K195" s="18" t="str">
        <f>IFERROR(INDEX(tblClean[PurchaseChannel],MATCH(A195,tblClean[CustomerID],0)),"")</f>
        <v>Online</v>
      </c>
      <c r="L195" s="22">
        <f ca="1">tblRFM[[#This Row],[RFM_Recency]]</f>
        <v>187</v>
      </c>
      <c r="M195" s="22">
        <f>tblRFM[[#This Row],[RFM_Frequency]]</f>
        <v>8</v>
      </c>
      <c r="N195" s="22">
        <f>tblRFM[[#This Row],[RFM_Monetary]]</f>
        <v>132676</v>
      </c>
      <c r="O195" s="16" t="str">
        <f ca="1">tblRFM[[#This Row],[RFM_Score]]</f>
        <v>155</v>
      </c>
      <c r="P195" s="16">
        <f>IFERROR(tblRFM[[#This Row],[SatisfactionIndex]],"")</f>
        <v>2.5</v>
      </c>
      <c r="Q195" s="16">
        <f>IFERROR(tblRFM[[#This Row],[Satisfaction]],"")</f>
        <v>3</v>
      </c>
      <c r="R195" s="16">
        <f>IFERROR(tblRFM[[#This Row],[RecommendationLikelihood]],"")</f>
        <v>4</v>
      </c>
      <c r="S195" s="16">
        <f>COUNTIFS(tblTransactions[CustomerID],A195)</f>
        <v>8</v>
      </c>
      <c r="T195" s="18" t="str">
        <f>IFERROR(INDEX(tblClean[DiscountSensitivity],MATCH(A195,tblClean[CustomerID],0)),"")</f>
        <v>Low</v>
      </c>
    </row>
    <row r="196" spans="1:24" ht="15" customHeight="1" x14ac:dyDescent="0.3">
      <c r="A196" s="19" t="str">
        <f>tblRFM[[#This Row],[CustomerID]]</f>
        <v>C0194</v>
      </c>
      <c r="B196" s="19" t="str">
        <f>tblRFM[[#This Row],[Name]]</f>
        <v>Pooja Verma</v>
      </c>
      <c r="C196" s="18" t="str">
        <f>IFERROR(INDEX(tblClean[Gender],MATCH(A196,tblClean[CustomerID],0)),"")</f>
        <v>Female</v>
      </c>
      <c r="D196" s="19" t="str">
        <f>tblRFM[[#This Row],[AgeGroup]]</f>
        <v>55+</v>
      </c>
      <c r="E196" s="19" t="str">
        <f>tblRFM[[#This Row],[City/Region]]</f>
        <v>Hyderabad</v>
      </c>
      <c r="F196" s="19" t="str">
        <f>tblRFM[[#This Row],[IncomeBracket]]</f>
        <v>High</v>
      </c>
      <c r="G196" s="19" t="str">
        <f>tblRFM[[#This Row],[CustomerType]]</f>
        <v>New</v>
      </c>
      <c r="H196" s="19" t="str">
        <f>tblRFM[[#This Row],[EngagementLevel]]</f>
        <v>Medium</v>
      </c>
      <c r="I196" s="19" t="str">
        <f ca="1">tblRFM[[#This Row],[CustomerSegment]]</f>
        <v>High Value</v>
      </c>
      <c r="J196" s="19" t="str">
        <f>tblRFM[[#This Row],[ProductPreference]]</f>
        <v>Fashion</v>
      </c>
      <c r="K196" s="18" t="str">
        <f>IFERROR(INDEX(tblClean[PurchaseChannel],MATCH(A196,tblClean[CustomerID],0)),"")</f>
        <v>Offline</v>
      </c>
      <c r="L196" s="23">
        <f ca="1">tblRFM[[#This Row],[RFM_Recency]]</f>
        <v>218</v>
      </c>
      <c r="M196" s="23">
        <f>tblRFM[[#This Row],[RFM_Frequency]]</f>
        <v>5</v>
      </c>
      <c r="N196" s="23">
        <f>tblRFM[[#This Row],[RFM_Monetary]]</f>
        <v>78673</v>
      </c>
      <c r="O196" s="19" t="str">
        <f ca="1">tblRFM[[#This Row],[RFM_Score]]</f>
        <v>135</v>
      </c>
      <c r="P196" s="19">
        <f>IFERROR(tblRFM[[#This Row],[SatisfactionIndex]],"")</f>
        <v>2.5</v>
      </c>
      <c r="Q196" s="19">
        <f>IFERROR(tblRFM[[#This Row],[Satisfaction]],"")</f>
        <v>4</v>
      </c>
      <c r="R196" s="19">
        <f>IFERROR(tblRFM[[#This Row],[RecommendationLikelihood]],"")</f>
        <v>2</v>
      </c>
      <c r="S196" s="19">
        <f>COUNTIFS(tblTransactions[CustomerID],A196)</f>
        <v>5</v>
      </c>
      <c r="T196" s="18" t="str">
        <f>IFERROR(INDEX(tblClean[DiscountSensitivity],MATCH(A196,tblClean[CustomerID],0)),"")</f>
        <v>High</v>
      </c>
    </row>
    <row r="197" spans="1:24" ht="15" customHeight="1" x14ac:dyDescent="0.3">
      <c r="A197" s="16" t="str">
        <f>tblRFM[[#This Row],[CustomerID]]</f>
        <v>C0195</v>
      </c>
      <c r="B197" s="16" t="str">
        <f>tblRFM[[#This Row],[Name]]</f>
        <v>Lakshmi Joshi</v>
      </c>
      <c r="C197" s="18" t="str">
        <f>IFERROR(INDEX(tblClean[Gender],MATCH(A197,tblClean[CustomerID],0)),"")</f>
        <v>Female</v>
      </c>
      <c r="D197" s="16" t="str">
        <f>tblRFM[[#This Row],[AgeGroup]]</f>
        <v>25-39</v>
      </c>
      <c r="E197" s="16" t="str">
        <f>tblRFM[[#This Row],[City/Region]]</f>
        <v>Hyderabad</v>
      </c>
      <c r="F197" s="16" t="str">
        <f>tblRFM[[#This Row],[IncomeBracket]]</f>
        <v>High</v>
      </c>
      <c r="G197" s="16" t="str">
        <f>tblRFM[[#This Row],[CustomerType]]</f>
        <v>New</v>
      </c>
      <c r="H197" s="16" t="str">
        <f>tblRFM[[#This Row],[EngagementLevel]]</f>
        <v>Medium</v>
      </c>
      <c r="I197" s="16" t="str">
        <f ca="1">tblRFM[[#This Row],[CustomerSegment]]</f>
        <v>High Value</v>
      </c>
      <c r="J197" s="16" t="str">
        <f>tblRFM[[#This Row],[ProductPreference]]</f>
        <v>Home Decor</v>
      </c>
      <c r="K197" s="18" t="str">
        <f>IFERROR(INDEX(tblClean[PurchaseChannel],MATCH(A197,tblClean[CustomerID],0)),"")</f>
        <v>Offline</v>
      </c>
      <c r="L197" s="22">
        <f ca="1">tblRFM[[#This Row],[RFM_Recency]]</f>
        <v>262</v>
      </c>
      <c r="M197" s="22">
        <f>tblRFM[[#This Row],[RFM_Frequency]]</f>
        <v>8</v>
      </c>
      <c r="N197" s="22">
        <f>tblRFM[[#This Row],[RFM_Monetary]]</f>
        <v>118391</v>
      </c>
      <c r="O197" s="16" t="str">
        <f ca="1">tblRFM[[#This Row],[RFM_Score]]</f>
        <v>155</v>
      </c>
      <c r="P197" s="16">
        <f>IFERROR(tblRFM[[#This Row],[SatisfactionIndex]],"")</f>
        <v>3.5</v>
      </c>
      <c r="Q197" s="16">
        <f>IFERROR(tblRFM[[#This Row],[Satisfaction]],"")</f>
        <v>2</v>
      </c>
      <c r="R197" s="16">
        <f>IFERROR(tblRFM[[#This Row],[RecommendationLikelihood]],"")</f>
        <v>10</v>
      </c>
      <c r="S197" s="16">
        <f>COUNTIFS(tblTransactions[CustomerID],A197)</f>
        <v>8</v>
      </c>
      <c r="T197" s="18" t="str">
        <f>IFERROR(INDEX(tblClean[DiscountSensitivity],MATCH(A197,tblClean[CustomerID],0)),"")</f>
        <v>High</v>
      </c>
    </row>
    <row r="198" spans="1:24" ht="15" customHeight="1" x14ac:dyDescent="0.3">
      <c r="A198" s="19" t="str">
        <f>tblRFM[[#This Row],[CustomerID]]</f>
        <v>C0196</v>
      </c>
      <c r="B198" s="19" t="str">
        <f>tblRFM[[#This Row],[Name]]</f>
        <v>Pranav Singh</v>
      </c>
      <c r="C198" s="18" t="str">
        <f>IFERROR(INDEX(tblClean[Gender],MATCH(A198,tblClean[CustomerID],0)),"")</f>
        <v>Male</v>
      </c>
      <c r="D198" s="19" t="str">
        <f>tblRFM[[#This Row],[AgeGroup]]</f>
        <v>55+</v>
      </c>
      <c r="E198" s="19" t="str">
        <f>tblRFM[[#This Row],[City/Region]]</f>
        <v>Jaipur</v>
      </c>
      <c r="F198" s="19" t="str">
        <f>tblRFM[[#This Row],[IncomeBracket]]</f>
        <v>Mid</v>
      </c>
      <c r="G198" s="19" t="str">
        <f>tblRFM[[#This Row],[CustomerType]]</f>
        <v>Returning</v>
      </c>
      <c r="H198" s="19" t="str">
        <f>tblRFM[[#This Row],[EngagementLevel]]</f>
        <v>Medium</v>
      </c>
      <c r="I198" s="19" t="str">
        <f ca="1">tblRFM[[#This Row],[CustomerSegment]]</f>
        <v>High Value</v>
      </c>
      <c r="J198" s="19" t="str">
        <f>tblRFM[[#This Row],[ProductPreference]]</f>
        <v>Electronics</v>
      </c>
      <c r="K198" s="18" t="str">
        <f>IFERROR(INDEX(tblClean[PurchaseChannel],MATCH(A198,tblClean[CustomerID],0)),"")</f>
        <v>Offline</v>
      </c>
      <c r="L198" s="23">
        <f ca="1">tblRFM[[#This Row],[RFM_Recency]]</f>
        <v>285</v>
      </c>
      <c r="M198" s="23">
        <f>tblRFM[[#This Row],[RFM_Frequency]]</f>
        <v>7</v>
      </c>
      <c r="N198" s="23">
        <f>tblRFM[[#This Row],[RFM_Monetary]]</f>
        <v>120949</v>
      </c>
      <c r="O198" s="19" t="str">
        <f ca="1">tblRFM[[#This Row],[RFM_Score]]</f>
        <v>145</v>
      </c>
      <c r="P198" s="19">
        <f>IFERROR(tblRFM[[#This Row],[SatisfactionIndex]],"")</f>
        <v>2</v>
      </c>
      <c r="Q198" s="19">
        <f>IFERROR(tblRFM[[#This Row],[Satisfaction]],"")</f>
        <v>1</v>
      </c>
      <c r="R198" s="19">
        <f>IFERROR(tblRFM[[#This Row],[RecommendationLikelihood]],"")</f>
        <v>6</v>
      </c>
      <c r="S198" s="19">
        <f>COUNTIFS(tblTransactions[CustomerID],A198)</f>
        <v>7</v>
      </c>
      <c r="T198" s="18" t="str">
        <f>IFERROR(INDEX(tblClean[DiscountSensitivity],MATCH(A198,tblClean[CustomerID],0)),"")</f>
        <v>Low</v>
      </c>
    </row>
    <row r="199" spans="1:24" ht="15" customHeight="1" x14ac:dyDescent="0.3">
      <c r="A199" s="16" t="str">
        <f>tblRFM[[#This Row],[CustomerID]]</f>
        <v>C0197</v>
      </c>
      <c r="B199" s="16" t="str">
        <f>tblRFM[[#This Row],[Name]]</f>
        <v>Suresh Gupta</v>
      </c>
      <c r="C199" s="18" t="str">
        <f>IFERROR(INDEX(tblClean[Gender],MATCH(A199,tblClean[CustomerID],0)),"")</f>
        <v>Male</v>
      </c>
      <c r="D199" s="16" t="str">
        <f>tblRFM[[#This Row],[AgeGroup]]</f>
        <v>55+</v>
      </c>
      <c r="E199" s="16" t="str">
        <f>tblRFM[[#This Row],[City/Region]]</f>
        <v>Mumbai</v>
      </c>
      <c r="F199" s="16" t="str">
        <f>tblRFM[[#This Row],[IncomeBracket]]</f>
        <v>Mid</v>
      </c>
      <c r="G199" s="16" t="str">
        <f>tblRFM[[#This Row],[CustomerType]]</f>
        <v>Returning</v>
      </c>
      <c r="H199" s="16" t="str">
        <f>tblRFM[[#This Row],[EngagementLevel]]</f>
        <v>Medium</v>
      </c>
      <c r="I199" s="16" t="str">
        <f ca="1">tblRFM[[#This Row],[CustomerSegment]]</f>
        <v>High Value</v>
      </c>
      <c r="J199" s="16" t="str">
        <f>tblRFM[[#This Row],[ProductPreference]]</f>
        <v>Beauty</v>
      </c>
      <c r="K199" s="18" t="str">
        <f>IFERROR(INDEX(tblClean[PurchaseChannel],MATCH(A199,tblClean[CustomerID],0)),"")</f>
        <v>Online</v>
      </c>
      <c r="L199" s="22">
        <f ca="1">tblRFM[[#This Row],[RFM_Recency]]</f>
        <v>203</v>
      </c>
      <c r="M199" s="22">
        <f>tblRFM[[#This Row],[RFM_Frequency]]</f>
        <v>7</v>
      </c>
      <c r="N199" s="22">
        <f>tblRFM[[#This Row],[RFM_Monetary]]</f>
        <v>98287</v>
      </c>
      <c r="O199" s="16" t="str">
        <f ca="1">tblRFM[[#This Row],[RFM_Score]]</f>
        <v>145</v>
      </c>
      <c r="P199" s="16">
        <f>IFERROR(tblRFM[[#This Row],[SatisfactionIndex]],"")</f>
        <v>3.25</v>
      </c>
      <c r="Q199" s="16">
        <f>IFERROR(tblRFM[[#This Row],[Satisfaction]],"")</f>
        <v>3</v>
      </c>
      <c r="R199" s="16">
        <f>IFERROR(tblRFM[[#This Row],[RecommendationLikelihood]],"")</f>
        <v>7</v>
      </c>
      <c r="S199" s="16">
        <f>COUNTIFS(tblTransactions[CustomerID],A199)</f>
        <v>7</v>
      </c>
      <c r="T199" s="18" t="str">
        <f>IFERROR(INDEX(tblClean[DiscountSensitivity],MATCH(A199,tblClean[CustomerID],0)),"")</f>
        <v>Medium</v>
      </c>
    </row>
    <row r="200" spans="1:24" ht="15" customHeight="1" x14ac:dyDescent="0.3">
      <c r="A200" s="19" t="str">
        <f>tblRFM[[#This Row],[CustomerID]]</f>
        <v>C0198</v>
      </c>
      <c r="B200" s="19" t="str">
        <f>tblRFM[[#This Row],[Name]]</f>
        <v>Ajay Mehta</v>
      </c>
      <c r="C200" s="18" t="str">
        <f>IFERROR(INDEX(tblClean[Gender],MATCH(A200,tblClean[CustomerID],0)),"")</f>
        <v>Male</v>
      </c>
      <c r="D200" s="19" t="str">
        <f>tblRFM[[#This Row],[AgeGroup]]</f>
        <v>25-39</v>
      </c>
      <c r="E200" s="19" t="str">
        <f>tblRFM[[#This Row],[City/Region]]</f>
        <v>Chennai</v>
      </c>
      <c r="F200" s="19" t="str">
        <f>tblRFM[[#This Row],[IncomeBracket]]</f>
        <v>Mid</v>
      </c>
      <c r="G200" s="19" t="str">
        <f>tblRFM[[#This Row],[CustomerType]]</f>
        <v>New</v>
      </c>
      <c r="H200" s="19" t="str">
        <f>tblRFM[[#This Row],[EngagementLevel]]</f>
        <v>Medium</v>
      </c>
      <c r="I200" s="19" t="str">
        <f ca="1">tblRFM[[#This Row],[CustomerSegment]]</f>
        <v>High Value</v>
      </c>
      <c r="J200" s="19" t="str">
        <f>tblRFM[[#This Row],[ProductPreference]]</f>
        <v>Fashion</v>
      </c>
      <c r="K200" s="18" t="str">
        <f>IFERROR(INDEX(tblClean[PurchaseChannel],MATCH(A200,tblClean[CustomerID],0)),"")</f>
        <v>Online</v>
      </c>
      <c r="L200" s="23">
        <f ca="1">tblRFM[[#This Row],[RFM_Recency]]</f>
        <v>39</v>
      </c>
      <c r="M200" s="23">
        <f>tblRFM[[#This Row],[RFM_Frequency]]</f>
        <v>9</v>
      </c>
      <c r="N200" s="23">
        <f>tblRFM[[#This Row],[RFM_Monetary]]</f>
        <v>73469</v>
      </c>
      <c r="O200" s="19" t="str">
        <f ca="1">tblRFM[[#This Row],[RFM_Score]]</f>
        <v>455</v>
      </c>
      <c r="P200" s="19">
        <f>IFERROR(tblRFM[[#This Row],[SatisfactionIndex]],"")</f>
        <v>4</v>
      </c>
      <c r="Q200" s="19">
        <f>IFERROR(tblRFM[[#This Row],[Satisfaction]],"")</f>
        <v>5</v>
      </c>
      <c r="R200" s="19">
        <f>IFERROR(tblRFM[[#This Row],[RecommendationLikelihood]],"")</f>
        <v>6</v>
      </c>
      <c r="S200" s="19">
        <f>COUNTIFS(tblTransactions[CustomerID],A200)</f>
        <v>9</v>
      </c>
      <c r="T200" s="18" t="str">
        <f>IFERROR(INDEX(tblClean[DiscountSensitivity],MATCH(A200,tblClean[CustomerID],0)),"")</f>
        <v>Medium</v>
      </c>
    </row>
    <row r="201" spans="1:24" ht="15" customHeight="1" x14ac:dyDescent="0.3">
      <c r="A201" s="16" t="str">
        <f>tblRFM[[#This Row],[CustomerID]]</f>
        <v>C0199</v>
      </c>
      <c r="B201" s="16" t="str">
        <f>tblRFM[[#This Row],[Name]]</f>
        <v>Rahul Patel</v>
      </c>
      <c r="C201" s="18" t="str">
        <f>IFERROR(INDEX(tblClean[Gender],MATCH(A201,tblClean[CustomerID],0)),"")</f>
        <v>Male</v>
      </c>
      <c r="D201" s="16" t="str">
        <f>tblRFM[[#This Row],[AgeGroup]]</f>
        <v>40-54</v>
      </c>
      <c r="E201" s="16" t="str">
        <f>tblRFM[[#This Row],[City/Region]]</f>
        <v>Hyderabad</v>
      </c>
      <c r="F201" s="16" t="str">
        <f>tblRFM[[#This Row],[IncomeBracket]]</f>
        <v>High</v>
      </c>
      <c r="G201" s="16" t="str">
        <f>tblRFM[[#This Row],[CustomerType]]</f>
        <v>Returning</v>
      </c>
      <c r="H201" s="16" t="str">
        <f>tblRFM[[#This Row],[EngagementLevel]]</f>
        <v>High</v>
      </c>
      <c r="I201" s="16" t="str">
        <f ca="1">tblRFM[[#This Row],[CustomerSegment]]</f>
        <v>At Risk</v>
      </c>
      <c r="J201" s="16" t="str">
        <f>tblRFM[[#This Row],[ProductPreference]]</f>
        <v>Fashion</v>
      </c>
      <c r="K201" s="18" t="str">
        <f>IFERROR(INDEX(tblClean[PurchaseChannel],MATCH(A201,tblClean[CustomerID],0)),"")</f>
        <v>Offline</v>
      </c>
      <c r="L201" s="22">
        <f ca="1">tblRFM[[#This Row],[RFM_Recency]]</f>
        <v>220</v>
      </c>
      <c r="M201" s="22">
        <f>tblRFM[[#This Row],[RFM_Frequency]]</f>
        <v>2</v>
      </c>
      <c r="N201" s="22">
        <f>tblRFM[[#This Row],[RFM_Monetary]]</f>
        <v>27617</v>
      </c>
      <c r="O201" s="16" t="str">
        <f ca="1">tblRFM[[#This Row],[RFM_Score]]</f>
        <v>123</v>
      </c>
      <c r="P201" s="16">
        <f>IFERROR(tblRFM[[#This Row],[SatisfactionIndex]],"")</f>
        <v>4.5</v>
      </c>
      <c r="Q201" s="16">
        <f>IFERROR(tblRFM[[#This Row],[Satisfaction]],"")</f>
        <v>5</v>
      </c>
      <c r="R201" s="16">
        <f>IFERROR(tblRFM[[#This Row],[RecommendationLikelihood]],"")</f>
        <v>8</v>
      </c>
      <c r="S201" s="16">
        <f>COUNTIFS(tblTransactions[CustomerID],A201)</f>
        <v>2</v>
      </c>
      <c r="T201" s="18" t="str">
        <f>IFERROR(INDEX(tblClean[DiscountSensitivity],MATCH(A201,tblClean[CustomerID],0)),"")</f>
        <v>High</v>
      </c>
    </row>
    <row r="202" spans="1:24" ht="15" customHeight="1" x14ac:dyDescent="0.3">
      <c r="A202" s="19" t="str">
        <f>tblRFM[[#This Row],[CustomerID]]</f>
        <v>C0200</v>
      </c>
      <c r="B202" s="19" t="str">
        <f>tblRFM[[#This Row],[Name]]</f>
        <v>Manoj Pillai</v>
      </c>
      <c r="C202" s="18" t="str">
        <f>IFERROR(INDEX(tblClean[Gender],MATCH(A202,tblClean[CustomerID],0)),"")</f>
        <v>Male</v>
      </c>
      <c r="D202" s="19" t="str">
        <f>tblRFM[[#This Row],[AgeGroup]]</f>
        <v>25-39</v>
      </c>
      <c r="E202" s="19" t="str">
        <f>tblRFM[[#This Row],[City/Region]]</f>
        <v>Lucknow</v>
      </c>
      <c r="F202" s="19" t="str">
        <f>tblRFM[[#This Row],[IncomeBracket]]</f>
        <v>Mid</v>
      </c>
      <c r="G202" s="19" t="str">
        <f>tblRFM[[#This Row],[CustomerType]]</f>
        <v>Returning</v>
      </c>
      <c r="H202" s="19" t="str">
        <f>tblRFM[[#This Row],[EngagementLevel]]</f>
        <v>Medium</v>
      </c>
      <c r="I202" s="19" t="str">
        <f ca="1">tblRFM[[#This Row],[CustomerSegment]]</f>
        <v>High Value</v>
      </c>
      <c r="J202" s="19" t="str">
        <f>tblRFM[[#This Row],[ProductPreference]]</f>
        <v>Grocery</v>
      </c>
      <c r="K202" s="18" t="str">
        <f>IFERROR(INDEX(tblClean[PurchaseChannel],MATCH(A202,tblClean[CustomerID],0)),"")</f>
        <v>Offline</v>
      </c>
      <c r="L202" s="23">
        <f ca="1">tblRFM[[#This Row],[RFM_Recency]]</f>
        <v>374</v>
      </c>
      <c r="M202" s="23">
        <f>tblRFM[[#This Row],[RFM_Frequency]]</f>
        <v>4</v>
      </c>
      <c r="N202" s="23">
        <f>tblRFM[[#This Row],[RFM_Monetary]]</f>
        <v>52070</v>
      </c>
      <c r="O202" s="19" t="str">
        <f ca="1">tblRFM[[#This Row],[RFM_Score]]</f>
        <v>135</v>
      </c>
      <c r="P202" s="19">
        <f>IFERROR(tblRFM[[#This Row],[SatisfactionIndex]],"")</f>
        <v>3</v>
      </c>
      <c r="Q202" s="19">
        <f>IFERROR(tblRFM[[#This Row],[Satisfaction]],"")</f>
        <v>1</v>
      </c>
      <c r="R202" s="19">
        <f>IFERROR(tblRFM[[#This Row],[RecommendationLikelihood]],"")</f>
        <v>10</v>
      </c>
      <c r="S202" s="19">
        <f>COUNTIFS(tblTransactions[CustomerID],A202)</f>
        <v>4</v>
      </c>
      <c r="T202" s="18" t="str">
        <f>IFERROR(INDEX(tblClean[DiscountSensitivity],MATCH(A202,tblClean[CustomerID],0)),"")</f>
        <v>Low</v>
      </c>
    </row>
    <row r="203" spans="1:24" x14ac:dyDescent="0.3">
      <c r="V203"/>
      <c r="W203"/>
    </row>
    <row r="204" spans="1:24" x14ac:dyDescent="0.3">
      <c r="A204" s="44" t="s">
        <v>1948</v>
      </c>
      <c r="V204"/>
      <c r="W204"/>
    </row>
    <row r="205" spans="1:24" x14ac:dyDescent="0.3">
      <c r="A205" s="40" t="s">
        <v>1939</v>
      </c>
      <c r="B205" t="s">
        <v>1941</v>
      </c>
      <c r="C205"/>
      <c r="V205"/>
      <c r="W205"/>
    </row>
    <row r="206" spans="1:24" x14ac:dyDescent="0.3">
      <c r="A206" s="41" t="s">
        <v>41</v>
      </c>
      <c r="B206" s="42">
        <v>38</v>
      </c>
      <c r="C206"/>
      <c r="V206"/>
      <c r="W206"/>
      <c r="X206"/>
    </row>
    <row r="207" spans="1:24" x14ac:dyDescent="0.3">
      <c r="A207" s="41" t="s">
        <v>43</v>
      </c>
      <c r="B207" s="42">
        <v>8</v>
      </c>
      <c r="C207"/>
      <c r="V207"/>
      <c r="W207"/>
      <c r="X207"/>
    </row>
    <row r="208" spans="1:24" x14ac:dyDescent="0.3">
      <c r="A208" s="41" t="s">
        <v>45</v>
      </c>
      <c r="B208" s="42">
        <v>63</v>
      </c>
      <c r="C208"/>
      <c r="V208"/>
      <c r="W208"/>
      <c r="X208"/>
    </row>
    <row r="209" spans="1:24" x14ac:dyDescent="0.3">
      <c r="A209" s="41" t="s">
        <v>39</v>
      </c>
      <c r="B209" s="42">
        <v>74</v>
      </c>
      <c r="C209"/>
      <c r="V209"/>
      <c r="W209"/>
      <c r="X209"/>
    </row>
    <row r="210" spans="1:24" x14ac:dyDescent="0.3">
      <c r="A210" s="41" t="s">
        <v>37</v>
      </c>
      <c r="B210" s="42">
        <v>17</v>
      </c>
      <c r="C210"/>
      <c r="V210"/>
      <c r="W210"/>
      <c r="X210"/>
    </row>
    <row r="211" spans="1:24" x14ac:dyDescent="0.3">
      <c r="A211" s="41" t="s">
        <v>1940</v>
      </c>
      <c r="B211" s="42">
        <v>200</v>
      </c>
      <c r="C211"/>
      <c r="V211"/>
      <c r="W211"/>
      <c r="X211"/>
    </row>
    <row r="212" spans="1:24" x14ac:dyDescent="0.3">
      <c r="A212"/>
      <c r="B212"/>
      <c r="C212"/>
      <c r="V212"/>
      <c r="W212"/>
      <c r="X212"/>
    </row>
    <row r="213" spans="1:24" x14ac:dyDescent="0.3">
      <c r="A213"/>
      <c r="B213"/>
      <c r="C213"/>
      <c r="V213"/>
      <c r="W213"/>
      <c r="X213"/>
    </row>
    <row r="214" spans="1:24" x14ac:dyDescent="0.3">
      <c r="A214" s="45" t="s">
        <v>1949</v>
      </c>
      <c r="B214"/>
      <c r="C214"/>
      <c r="V214"/>
      <c r="W214"/>
      <c r="X214"/>
    </row>
    <row r="215" spans="1:24" x14ac:dyDescent="0.3">
      <c r="A215" s="40" t="s">
        <v>1939</v>
      </c>
      <c r="B215" t="s">
        <v>1942</v>
      </c>
      <c r="C215"/>
      <c r="V215"/>
      <c r="W215"/>
      <c r="X215"/>
    </row>
    <row r="216" spans="1:24" x14ac:dyDescent="0.3">
      <c r="A216" s="41" t="s">
        <v>41</v>
      </c>
      <c r="B216" s="42">
        <v>537567</v>
      </c>
      <c r="C216"/>
      <c r="V216"/>
      <c r="W216"/>
      <c r="X216"/>
    </row>
    <row r="217" spans="1:24" x14ac:dyDescent="0.3">
      <c r="A217" s="41" t="s">
        <v>43</v>
      </c>
      <c r="B217" s="42">
        <v>184330</v>
      </c>
      <c r="C217"/>
      <c r="V217"/>
      <c r="W217"/>
      <c r="X217"/>
    </row>
    <row r="218" spans="1:24" x14ac:dyDescent="0.3">
      <c r="A218" s="41" t="s">
        <v>45</v>
      </c>
      <c r="B218" s="42">
        <v>1183500</v>
      </c>
      <c r="C218"/>
      <c r="V218"/>
      <c r="W218"/>
      <c r="X218"/>
    </row>
    <row r="219" spans="1:24" x14ac:dyDescent="0.3">
      <c r="A219" s="41" t="s">
        <v>39</v>
      </c>
      <c r="B219" s="42">
        <v>6607484</v>
      </c>
      <c r="C219"/>
      <c r="V219"/>
      <c r="W219"/>
      <c r="X219"/>
    </row>
    <row r="220" spans="1:24" x14ac:dyDescent="0.3">
      <c r="A220" s="41" t="s">
        <v>37</v>
      </c>
      <c r="B220" s="42">
        <v>1525892</v>
      </c>
      <c r="C220"/>
      <c r="V220"/>
      <c r="W220"/>
      <c r="X220"/>
    </row>
    <row r="221" spans="1:24" x14ac:dyDescent="0.3">
      <c r="A221" s="41" t="s">
        <v>1940</v>
      </c>
      <c r="B221" s="42">
        <v>10038773</v>
      </c>
      <c r="C221"/>
      <c r="V221"/>
      <c r="W221"/>
      <c r="X221"/>
    </row>
    <row r="222" spans="1:24" x14ac:dyDescent="0.3">
      <c r="A222"/>
      <c r="B222"/>
      <c r="C222"/>
      <c r="V222"/>
      <c r="W222"/>
      <c r="X222"/>
    </row>
    <row r="223" spans="1:24" x14ac:dyDescent="0.3">
      <c r="A223"/>
      <c r="B223"/>
      <c r="C223"/>
      <c r="V223"/>
      <c r="W223"/>
      <c r="X223"/>
    </row>
    <row r="224" spans="1:24" x14ac:dyDescent="0.3">
      <c r="A224" s="46" t="s">
        <v>1950</v>
      </c>
      <c r="B224"/>
      <c r="C224"/>
    </row>
    <row r="225" spans="1:3" x14ac:dyDescent="0.3">
      <c r="A225" s="40" t="s">
        <v>1939</v>
      </c>
      <c r="B225" t="s">
        <v>1941</v>
      </c>
      <c r="C225"/>
    </row>
    <row r="226" spans="1:3" x14ac:dyDescent="0.3">
      <c r="A226" s="41" t="s">
        <v>1943</v>
      </c>
      <c r="B226" s="42">
        <v>16</v>
      </c>
      <c r="C226"/>
    </row>
    <row r="227" spans="1:3" x14ac:dyDescent="0.3">
      <c r="A227" s="41" t="s">
        <v>1944</v>
      </c>
      <c r="B227" s="42">
        <v>67</v>
      </c>
      <c r="C227"/>
    </row>
    <row r="228" spans="1:3" x14ac:dyDescent="0.3">
      <c r="A228" s="41" t="s">
        <v>1945</v>
      </c>
      <c r="B228" s="42">
        <v>68</v>
      </c>
      <c r="C228"/>
    </row>
    <row r="229" spans="1:3" x14ac:dyDescent="0.3">
      <c r="A229" s="41" t="s">
        <v>1946</v>
      </c>
      <c r="B229" s="42">
        <v>49</v>
      </c>
      <c r="C229"/>
    </row>
    <row r="230" spans="1:3" x14ac:dyDescent="0.3">
      <c r="A230" s="41" t="s">
        <v>1940</v>
      </c>
      <c r="B230" s="42">
        <v>200</v>
      </c>
      <c r="C230"/>
    </row>
    <row r="231" spans="1:3" x14ac:dyDescent="0.3">
      <c r="A231" s="41"/>
      <c r="B231" s="42"/>
      <c r="C231"/>
    </row>
    <row r="232" spans="1:3" x14ac:dyDescent="0.3">
      <c r="A232" s="41"/>
      <c r="B232" s="42"/>
      <c r="C232"/>
    </row>
    <row r="233" spans="1:3" x14ac:dyDescent="0.3">
      <c r="A233" s="41"/>
      <c r="B233" s="42"/>
      <c r="C233"/>
    </row>
    <row r="234" spans="1:3" x14ac:dyDescent="0.3">
      <c r="A234"/>
      <c r="B234"/>
      <c r="C234"/>
    </row>
    <row r="235" spans="1:3" x14ac:dyDescent="0.3">
      <c r="A235" s="47" t="s">
        <v>1953</v>
      </c>
      <c r="C235"/>
    </row>
    <row r="236" spans="1:3" x14ac:dyDescent="0.3">
      <c r="A236" s="43" t="s">
        <v>1947</v>
      </c>
      <c r="C236"/>
    </row>
    <row r="237" spans="1:3" x14ac:dyDescent="0.3">
      <c r="A237"/>
      <c r="B237"/>
      <c r="C237"/>
    </row>
    <row r="238" spans="1:3" x14ac:dyDescent="0.3">
      <c r="A238" s="40" t="s">
        <v>1939</v>
      </c>
      <c r="B238" t="s">
        <v>1952</v>
      </c>
      <c r="C238"/>
    </row>
    <row r="239" spans="1:3" x14ac:dyDescent="0.3">
      <c r="A239" s="41" t="s">
        <v>1961</v>
      </c>
      <c r="B239" s="42">
        <v>789074</v>
      </c>
      <c r="C239"/>
    </row>
    <row r="240" spans="1:3" x14ac:dyDescent="0.3">
      <c r="A240" s="41" t="s">
        <v>1964</v>
      </c>
      <c r="B240" s="42">
        <v>712840</v>
      </c>
      <c r="C240"/>
    </row>
    <row r="241" spans="1:3" x14ac:dyDescent="0.3">
      <c r="A241" s="41" t="s">
        <v>1960</v>
      </c>
      <c r="B241" s="42">
        <v>860066</v>
      </c>
      <c r="C241"/>
    </row>
    <row r="242" spans="1:3" x14ac:dyDescent="0.3">
      <c r="A242" s="41" t="s">
        <v>1963</v>
      </c>
      <c r="B242" s="42">
        <v>691483</v>
      </c>
      <c r="C242"/>
    </row>
    <row r="243" spans="1:3" x14ac:dyDescent="0.3">
      <c r="A243" s="41" t="s">
        <v>1959</v>
      </c>
      <c r="B243" s="42">
        <v>888188</v>
      </c>
      <c r="C243"/>
    </row>
    <row r="244" spans="1:3" x14ac:dyDescent="0.3">
      <c r="A244" s="41" t="s">
        <v>1965</v>
      </c>
      <c r="B244" s="42">
        <v>950923</v>
      </c>
      <c r="C244"/>
    </row>
    <row r="245" spans="1:3" x14ac:dyDescent="0.3">
      <c r="A245" s="41" t="s">
        <v>1956</v>
      </c>
      <c r="B245" s="42">
        <v>928409</v>
      </c>
      <c r="C245"/>
    </row>
    <row r="246" spans="1:3" x14ac:dyDescent="0.3">
      <c r="A246" s="41" t="s">
        <v>1962</v>
      </c>
      <c r="B246" s="42">
        <v>786785</v>
      </c>
      <c r="C246"/>
    </row>
    <row r="247" spans="1:3" x14ac:dyDescent="0.3">
      <c r="A247" s="41" t="s">
        <v>1958</v>
      </c>
      <c r="B247" s="42">
        <v>711043</v>
      </c>
      <c r="C247"/>
    </row>
    <row r="248" spans="1:3" x14ac:dyDescent="0.3">
      <c r="A248" s="41" t="s">
        <v>1955</v>
      </c>
      <c r="B248" s="42">
        <v>1061743</v>
      </c>
      <c r="C248"/>
    </row>
    <row r="249" spans="1:3" x14ac:dyDescent="0.3">
      <c r="A249" s="41" t="s">
        <v>1957</v>
      </c>
      <c r="B249" s="42">
        <v>866572</v>
      </c>
      <c r="C249"/>
    </row>
    <row r="250" spans="1:3" x14ac:dyDescent="0.3">
      <c r="A250" s="41" t="s">
        <v>1954</v>
      </c>
      <c r="B250" s="42">
        <v>791647</v>
      </c>
      <c r="C250"/>
    </row>
    <row r="251" spans="1:3" x14ac:dyDescent="0.3">
      <c r="A251" s="41" t="s">
        <v>1940</v>
      </c>
      <c r="B251" s="42">
        <v>10038773</v>
      </c>
      <c r="C251"/>
    </row>
    <row r="252" spans="1:3" x14ac:dyDescent="0.3">
      <c r="A252" s="41"/>
      <c r="B252" s="42"/>
      <c r="C252"/>
    </row>
    <row r="253" spans="1:3" x14ac:dyDescent="0.3">
      <c r="A253" s="47" t="s">
        <v>1966</v>
      </c>
      <c r="B253" s="42"/>
      <c r="C253"/>
    </row>
    <row r="254" spans="1:3" x14ac:dyDescent="0.3">
      <c r="A254" s="40" t="s">
        <v>1939</v>
      </c>
      <c r="B254" t="s">
        <v>1941</v>
      </c>
      <c r="C254" t="s">
        <v>1942</v>
      </c>
    </row>
    <row r="255" spans="1:3" x14ac:dyDescent="0.3">
      <c r="A255" s="41" t="s">
        <v>132</v>
      </c>
      <c r="B255" s="42">
        <v>19</v>
      </c>
      <c r="C255" s="42">
        <v>666456</v>
      </c>
    </row>
    <row r="256" spans="1:3" x14ac:dyDescent="0.3">
      <c r="A256" s="41" t="s">
        <v>85</v>
      </c>
      <c r="B256" s="42">
        <v>14</v>
      </c>
      <c r="C256" s="42">
        <v>792765</v>
      </c>
    </row>
    <row r="257" spans="1:3" x14ac:dyDescent="0.3">
      <c r="A257" s="41" t="s">
        <v>143</v>
      </c>
      <c r="B257" s="42">
        <v>9</v>
      </c>
      <c r="C257" s="42">
        <v>479969</v>
      </c>
    </row>
    <row r="258" spans="1:3" x14ac:dyDescent="0.3">
      <c r="A258" s="41" t="s">
        <v>107</v>
      </c>
      <c r="B258" s="42">
        <v>11</v>
      </c>
      <c r="C258" s="42">
        <v>663318</v>
      </c>
    </row>
    <row r="259" spans="1:3" x14ac:dyDescent="0.3">
      <c r="A259" s="41" t="s">
        <v>173</v>
      </c>
      <c r="B259" s="42">
        <v>8</v>
      </c>
      <c r="C259" s="42">
        <v>445218</v>
      </c>
    </row>
    <row r="260" spans="1:3" x14ac:dyDescent="0.3">
      <c r="A260" s="41" t="s">
        <v>168</v>
      </c>
      <c r="B260" s="42">
        <v>11</v>
      </c>
      <c r="C260" s="42">
        <v>751340</v>
      </c>
    </row>
    <row r="261" spans="1:3" x14ac:dyDescent="0.3">
      <c r="A261" s="41" t="s">
        <v>535</v>
      </c>
      <c r="B261" s="42">
        <v>4</v>
      </c>
      <c r="C261" s="42">
        <v>207197</v>
      </c>
    </row>
    <row r="262" spans="1:3" x14ac:dyDescent="0.3">
      <c r="A262" s="41" t="s">
        <v>178</v>
      </c>
      <c r="B262" s="42">
        <v>8</v>
      </c>
      <c r="C262" s="42">
        <v>275789</v>
      </c>
    </row>
    <row r="263" spans="1:3" x14ac:dyDescent="0.3">
      <c r="A263" s="41" t="s">
        <v>442</v>
      </c>
      <c r="B263" s="42">
        <v>2</v>
      </c>
      <c r="C263" s="42">
        <v>18490</v>
      </c>
    </row>
    <row r="264" spans="1:3" x14ac:dyDescent="0.3">
      <c r="A264" s="41" t="s">
        <v>294</v>
      </c>
      <c r="B264" s="42">
        <v>2</v>
      </c>
      <c r="C264" s="42">
        <v>111010</v>
      </c>
    </row>
    <row r="265" spans="1:3" x14ac:dyDescent="0.3">
      <c r="A265" s="41" t="s">
        <v>126</v>
      </c>
      <c r="B265" s="42">
        <v>8</v>
      </c>
      <c r="C265" s="42">
        <v>396008</v>
      </c>
    </row>
    <row r="266" spans="1:3" x14ac:dyDescent="0.3">
      <c r="A266" s="41" t="s">
        <v>93</v>
      </c>
      <c r="B266" s="42">
        <v>9</v>
      </c>
      <c r="C266" s="42">
        <v>405192</v>
      </c>
    </row>
    <row r="267" spans="1:3" x14ac:dyDescent="0.3">
      <c r="A267" s="41" t="s">
        <v>100</v>
      </c>
      <c r="B267" s="42">
        <v>9</v>
      </c>
      <c r="C267" s="42">
        <v>500839</v>
      </c>
    </row>
    <row r="268" spans="1:3" x14ac:dyDescent="0.3">
      <c r="A268" s="41" t="s">
        <v>361</v>
      </c>
      <c r="B268" s="42">
        <v>1</v>
      </c>
      <c r="C268" s="42">
        <v>64690</v>
      </c>
    </row>
    <row r="269" spans="1:3" x14ac:dyDescent="0.3">
      <c r="A269" s="41" t="s">
        <v>114</v>
      </c>
      <c r="B269" s="42">
        <v>6</v>
      </c>
      <c r="C269" s="42">
        <v>216229</v>
      </c>
    </row>
    <row r="270" spans="1:3" x14ac:dyDescent="0.3">
      <c r="A270" s="41" t="s">
        <v>148</v>
      </c>
      <c r="B270" s="42">
        <v>8</v>
      </c>
      <c r="C270" s="42">
        <v>350247</v>
      </c>
    </row>
    <row r="271" spans="1:3" x14ac:dyDescent="0.3">
      <c r="A271" s="41" t="s">
        <v>201</v>
      </c>
      <c r="B271" s="42">
        <v>12</v>
      </c>
      <c r="C271" s="42">
        <v>622978</v>
      </c>
    </row>
    <row r="272" spans="1:3" x14ac:dyDescent="0.3">
      <c r="A272" s="41" t="s">
        <v>247</v>
      </c>
      <c r="B272" s="42">
        <v>14</v>
      </c>
      <c r="C272" s="42">
        <v>597771</v>
      </c>
    </row>
    <row r="273" spans="1:3" x14ac:dyDescent="0.3">
      <c r="A273" s="41" t="s">
        <v>74</v>
      </c>
      <c r="B273" s="42">
        <v>11</v>
      </c>
      <c r="C273" s="42">
        <v>642157</v>
      </c>
    </row>
    <row r="274" spans="1:3" x14ac:dyDescent="0.3">
      <c r="A274" s="41" t="s">
        <v>548</v>
      </c>
      <c r="B274" s="42">
        <v>6</v>
      </c>
      <c r="C274" s="42">
        <v>293695</v>
      </c>
    </row>
    <row r="275" spans="1:3" x14ac:dyDescent="0.3">
      <c r="A275" s="41" t="s">
        <v>195</v>
      </c>
      <c r="B275" s="42">
        <v>13</v>
      </c>
      <c r="C275" s="42">
        <v>653124</v>
      </c>
    </row>
    <row r="276" spans="1:3" x14ac:dyDescent="0.3">
      <c r="A276" s="41" t="s">
        <v>158</v>
      </c>
      <c r="B276" s="42">
        <v>11</v>
      </c>
      <c r="C276" s="42">
        <v>619345</v>
      </c>
    </row>
    <row r="277" spans="1:3" x14ac:dyDescent="0.3">
      <c r="A277" s="41" t="s">
        <v>659</v>
      </c>
      <c r="B277" s="42">
        <v>4</v>
      </c>
      <c r="C277" s="42">
        <v>264946</v>
      </c>
    </row>
    <row r="278" spans="1:3" x14ac:dyDescent="0.3">
      <c r="A278" s="41" t="s">
        <v>1940</v>
      </c>
      <c r="B278" s="42">
        <v>200</v>
      </c>
      <c r="C278" s="42">
        <v>10038773</v>
      </c>
    </row>
  </sheetData>
  <mergeCells count="3">
    <mergeCell ref="A1:L1"/>
    <mergeCell ref="V1:AC1"/>
    <mergeCell ref="V2:AA2"/>
  </mergeCells>
  <pageMargins left="0.75" right="0.75" top="1" bottom="1" header="0.511811023622047" footer="0.511811023622047"/>
  <pageSetup paperSize="9" orientation="portrait" horizontalDpi="300" verticalDpi="300"/>
  <drawing r:id="rId6"/>
  <tableParts count="1">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A235A"/>
  </sheetPr>
  <dimension ref="A1:N367"/>
  <sheetViews>
    <sheetView zoomScale="85" zoomScaleNormal="85" workbookViewId="0">
      <selection activeCell="C4" sqref="C4"/>
    </sheetView>
  </sheetViews>
  <sheetFormatPr defaultColWidth="8.6640625" defaultRowHeight="14.4" x14ac:dyDescent="0.3"/>
  <cols>
    <col min="1" max="1" width="18" style="1" customWidth="1"/>
    <col min="2" max="2" width="20" style="1" customWidth="1"/>
    <col min="3" max="3" width="12" style="1" customWidth="1"/>
    <col min="4" max="4" width="8" style="1" customWidth="1"/>
    <col min="5" max="5" width="12" style="1" customWidth="1"/>
    <col min="6" max="6" width="18" style="1" customWidth="1"/>
    <col min="7" max="8" width="12" style="1" customWidth="1"/>
    <col min="9" max="9" width="10" style="1" customWidth="1"/>
    <col min="11" max="11" width="12" style="1" customWidth="1"/>
    <col min="14" max="14" width="11.33203125" bestFit="1" customWidth="1"/>
  </cols>
  <sheetData>
    <row r="1" spans="1:14" ht="21.75" customHeight="1" x14ac:dyDescent="0.3">
      <c r="A1" s="90" t="s">
        <v>1830</v>
      </c>
      <c r="B1" s="90"/>
      <c r="C1" s="90"/>
      <c r="E1" s="90" t="s">
        <v>1831</v>
      </c>
      <c r="F1" s="90"/>
      <c r="G1" s="90"/>
      <c r="H1" s="90"/>
      <c r="I1" s="90"/>
      <c r="M1" s="31" t="s">
        <v>1832</v>
      </c>
    </row>
    <row r="2" spans="1:14" ht="23.25" customHeight="1" x14ac:dyDescent="0.3">
      <c r="A2" s="13" t="s">
        <v>1833</v>
      </c>
      <c r="B2" s="13" t="s">
        <v>1834</v>
      </c>
      <c r="C2" s="13" t="s">
        <v>1835</v>
      </c>
      <c r="E2" s="13" t="s">
        <v>64</v>
      </c>
      <c r="F2" s="13" t="s">
        <v>1836</v>
      </c>
      <c r="G2" s="13" t="s">
        <v>1837</v>
      </c>
      <c r="H2" s="13" t="s">
        <v>1838</v>
      </c>
      <c r="I2" s="13" t="s">
        <v>1839</v>
      </c>
      <c r="J2" s="13" t="s">
        <v>1840</v>
      </c>
      <c r="K2" s="13" t="s">
        <v>1841</v>
      </c>
      <c r="M2" s="31" t="s">
        <v>1842</v>
      </c>
      <c r="N2" s="32">
        <f ca="1">TODAY()</f>
        <v>46125</v>
      </c>
    </row>
    <row r="3" spans="1:14" ht="23.25" customHeight="1" x14ac:dyDescent="0.3">
      <c r="A3" s="33" t="s">
        <v>37</v>
      </c>
      <c r="B3" s="33" t="s">
        <v>1843</v>
      </c>
      <c r="C3" s="33" t="s">
        <v>1844</v>
      </c>
      <c r="E3" s="34">
        <v>45748</v>
      </c>
      <c r="F3" s="35">
        <v>2025</v>
      </c>
      <c r="G3" s="35">
        <v>4</v>
      </c>
      <c r="H3" s="35" t="s">
        <v>1845</v>
      </c>
      <c r="I3" s="35" t="s">
        <v>1846</v>
      </c>
      <c r="J3" s="36" t="b">
        <f>FALSE()</f>
        <v>0</v>
      </c>
      <c r="K3" s="35" t="s">
        <v>1847</v>
      </c>
    </row>
    <row r="4" spans="1:14" ht="34.5" customHeight="1" x14ac:dyDescent="0.3">
      <c r="A4" s="16" t="s">
        <v>39</v>
      </c>
      <c r="B4" s="16" t="s">
        <v>1848</v>
      </c>
      <c r="C4" s="16" t="s">
        <v>1849</v>
      </c>
      <c r="E4" s="34">
        <v>45749</v>
      </c>
      <c r="F4" s="35">
        <v>2025</v>
      </c>
      <c r="G4" s="35">
        <v>4</v>
      </c>
      <c r="H4" s="35" t="s">
        <v>1845</v>
      </c>
      <c r="I4" s="35" t="s">
        <v>1850</v>
      </c>
      <c r="J4" s="36" t="b">
        <f>FALSE()</f>
        <v>0</v>
      </c>
      <c r="K4" s="35" t="s">
        <v>1847</v>
      </c>
    </row>
    <row r="5" spans="1:14" ht="34.5" customHeight="1" x14ac:dyDescent="0.3">
      <c r="A5" s="33" t="s">
        <v>41</v>
      </c>
      <c r="B5" s="33" t="s">
        <v>1851</v>
      </c>
      <c r="C5" s="33" t="s">
        <v>1852</v>
      </c>
      <c r="E5" s="34">
        <v>45750</v>
      </c>
      <c r="F5" s="35">
        <v>2025</v>
      </c>
      <c r="G5" s="35">
        <v>4</v>
      </c>
      <c r="H5" s="35" t="s">
        <v>1845</v>
      </c>
      <c r="I5" s="35" t="s">
        <v>1853</v>
      </c>
      <c r="J5" s="36" t="b">
        <f>FALSE()</f>
        <v>0</v>
      </c>
      <c r="K5" s="35" t="s">
        <v>1847</v>
      </c>
    </row>
    <row r="6" spans="1:14" ht="23.25" customHeight="1" x14ac:dyDescent="0.3">
      <c r="A6" s="16" t="s">
        <v>43</v>
      </c>
      <c r="B6" s="16" t="s">
        <v>1854</v>
      </c>
      <c r="C6" s="16" t="s">
        <v>1855</v>
      </c>
      <c r="E6" s="34">
        <v>45751</v>
      </c>
      <c r="F6" s="35">
        <v>2025</v>
      </c>
      <c r="G6" s="35">
        <v>4</v>
      </c>
      <c r="H6" s="35" t="s">
        <v>1845</v>
      </c>
      <c r="I6" s="35" t="s">
        <v>1856</v>
      </c>
      <c r="J6" s="36" t="b">
        <f>FALSE()</f>
        <v>0</v>
      </c>
      <c r="K6" s="35" t="s">
        <v>1847</v>
      </c>
    </row>
    <row r="7" spans="1:14" ht="23.25" customHeight="1" x14ac:dyDescent="0.3">
      <c r="A7" s="33" t="s">
        <v>45</v>
      </c>
      <c r="B7" s="33" t="s">
        <v>1857</v>
      </c>
      <c r="C7" s="33" t="s">
        <v>1858</v>
      </c>
      <c r="E7" s="34">
        <v>45752</v>
      </c>
      <c r="F7" s="35">
        <v>2025</v>
      </c>
      <c r="G7" s="35">
        <v>4</v>
      </c>
      <c r="H7" s="35" t="s">
        <v>1845</v>
      </c>
      <c r="I7" s="35" t="s">
        <v>1859</v>
      </c>
      <c r="J7" s="36" t="b">
        <f>TRUE()</f>
        <v>1</v>
      </c>
      <c r="K7" s="35" t="s">
        <v>1847</v>
      </c>
    </row>
    <row r="8" spans="1:14" ht="15" customHeight="1" x14ac:dyDescent="0.3">
      <c r="E8" s="34">
        <v>45753</v>
      </c>
      <c r="F8" s="35">
        <v>2025</v>
      </c>
      <c r="G8" s="35">
        <v>4</v>
      </c>
      <c r="H8" s="35" t="s">
        <v>1845</v>
      </c>
      <c r="I8" s="35" t="s">
        <v>1860</v>
      </c>
      <c r="J8" s="36" t="b">
        <f>TRUE()</f>
        <v>1</v>
      </c>
      <c r="K8" s="35" t="s">
        <v>1847</v>
      </c>
    </row>
    <row r="9" spans="1:14" ht="15" customHeight="1" x14ac:dyDescent="0.3">
      <c r="E9" s="34">
        <v>45754</v>
      </c>
      <c r="F9" s="35">
        <v>2025</v>
      </c>
      <c r="G9" s="35">
        <v>4</v>
      </c>
      <c r="H9" s="35" t="s">
        <v>1845</v>
      </c>
      <c r="I9" s="35" t="s">
        <v>1861</v>
      </c>
      <c r="J9" s="36" t="b">
        <f>FALSE()</f>
        <v>0</v>
      </c>
      <c r="K9" s="35" t="s">
        <v>1847</v>
      </c>
    </row>
    <row r="10" spans="1:14" ht="15" customHeight="1" x14ac:dyDescent="0.3">
      <c r="E10" s="34">
        <v>45755</v>
      </c>
      <c r="F10" s="35">
        <v>2025</v>
      </c>
      <c r="G10" s="35">
        <v>4</v>
      </c>
      <c r="H10" s="35" t="s">
        <v>1845</v>
      </c>
      <c r="I10" s="35" t="s">
        <v>1846</v>
      </c>
      <c r="J10" s="36" t="b">
        <f>FALSE()</f>
        <v>0</v>
      </c>
      <c r="K10" s="35" t="s">
        <v>1847</v>
      </c>
    </row>
    <row r="11" spans="1:14" ht="23.25" customHeight="1" x14ac:dyDescent="0.3">
      <c r="E11" s="34">
        <v>45756</v>
      </c>
      <c r="F11" s="35">
        <v>2025</v>
      </c>
      <c r="G11" s="35">
        <v>4</v>
      </c>
      <c r="H11" s="35" t="s">
        <v>1845</v>
      </c>
      <c r="I11" s="35" t="s">
        <v>1850</v>
      </c>
      <c r="J11" s="36" t="b">
        <f>FALSE()</f>
        <v>0</v>
      </c>
      <c r="K11" s="35" t="s">
        <v>1847</v>
      </c>
    </row>
    <row r="12" spans="1:14" ht="15" customHeight="1" x14ac:dyDescent="0.3">
      <c r="E12" s="34">
        <v>45757</v>
      </c>
      <c r="F12" s="35">
        <v>2025</v>
      </c>
      <c r="G12" s="35">
        <v>4</v>
      </c>
      <c r="H12" s="35" t="s">
        <v>1845</v>
      </c>
      <c r="I12" s="35" t="s">
        <v>1853</v>
      </c>
      <c r="J12" s="36" t="b">
        <f>FALSE()</f>
        <v>0</v>
      </c>
      <c r="K12" s="35" t="s">
        <v>1847</v>
      </c>
    </row>
    <row r="13" spans="1:14" ht="15" customHeight="1" x14ac:dyDescent="0.3">
      <c r="E13" s="34">
        <v>45758</v>
      </c>
      <c r="F13" s="35">
        <v>2025</v>
      </c>
      <c r="G13" s="35">
        <v>4</v>
      </c>
      <c r="H13" s="35" t="s">
        <v>1845</v>
      </c>
      <c r="I13" s="35" t="s">
        <v>1856</v>
      </c>
      <c r="J13" s="36" t="b">
        <f>FALSE()</f>
        <v>0</v>
      </c>
      <c r="K13" s="35" t="s">
        <v>1847</v>
      </c>
    </row>
    <row r="14" spans="1:14" ht="15" customHeight="1" x14ac:dyDescent="0.3">
      <c r="E14" s="34">
        <v>45759</v>
      </c>
      <c r="F14" s="35">
        <v>2025</v>
      </c>
      <c r="G14" s="35">
        <v>4</v>
      </c>
      <c r="H14" s="35" t="s">
        <v>1845</v>
      </c>
      <c r="I14" s="35" t="s">
        <v>1859</v>
      </c>
      <c r="J14" s="36" t="b">
        <f>TRUE()</f>
        <v>1</v>
      </c>
      <c r="K14" s="35" t="s">
        <v>1847</v>
      </c>
    </row>
    <row r="15" spans="1:14" ht="15" customHeight="1" x14ac:dyDescent="0.3">
      <c r="E15" s="34">
        <v>45760</v>
      </c>
      <c r="F15" s="35">
        <v>2025</v>
      </c>
      <c r="G15" s="35">
        <v>4</v>
      </c>
      <c r="H15" s="35" t="s">
        <v>1845</v>
      </c>
      <c r="I15" s="35" t="s">
        <v>1860</v>
      </c>
      <c r="J15" s="36" t="b">
        <f>TRUE()</f>
        <v>1</v>
      </c>
      <c r="K15" s="35" t="s">
        <v>1847</v>
      </c>
    </row>
    <row r="16" spans="1:14" ht="15" customHeight="1" x14ac:dyDescent="0.3">
      <c r="E16" s="34">
        <v>45761</v>
      </c>
      <c r="F16" s="35">
        <v>2025</v>
      </c>
      <c r="G16" s="35">
        <v>4</v>
      </c>
      <c r="H16" s="35" t="s">
        <v>1845</v>
      </c>
      <c r="I16" s="35" t="s">
        <v>1861</v>
      </c>
      <c r="J16" s="36" t="b">
        <f>FALSE()</f>
        <v>0</v>
      </c>
      <c r="K16" s="35" t="s">
        <v>1847</v>
      </c>
    </row>
    <row r="17" spans="5:11" ht="15" customHeight="1" x14ac:dyDescent="0.3">
      <c r="E17" s="34">
        <v>45762</v>
      </c>
      <c r="F17" s="35">
        <v>2025</v>
      </c>
      <c r="G17" s="35">
        <v>4</v>
      </c>
      <c r="H17" s="35" t="s">
        <v>1845</v>
      </c>
      <c r="I17" s="35" t="s">
        <v>1846</v>
      </c>
      <c r="J17" s="36" t="b">
        <f>FALSE()</f>
        <v>0</v>
      </c>
      <c r="K17" s="35" t="s">
        <v>1847</v>
      </c>
    </row>
    <row r="18" spans="5:11" ht="23.25" customHeight="1" x14ac:dyDescent="0.3">
      <c r="E18" s="34">
        <v>45763</v>
      </c>
      <c r="F18" s="35">
        <v>2025</v>
      </c>
      <c r="G18" s="35">
        <v>4</v>
      </c>
      <c r="H18" s="35" t="s">
        <v>1845</v>
      </c>
      <c r="I18" s="35" t="s">
        <v>1850</v>
      </c>
      <c r="J18" s="36" t="b">
        <f>FALSE()</f>
        <v>0</v>
      </c>
      <c r="K18" s="35" t="s">
        <v>1847</v>
      </c>
    </row>
    <row r="19" spans="5:11" ht="15" customHeight="1" x14ac:dyDescent="0.3">
      <c r="E19" s="34">
        <v>45764</v>
      </c>
      <c r="F19" s="35">
        <v>2025</v>
      </c>
      <c r="G19" s="35">
        <v>4</v>
      </c>
      <c r="H19" s="35" t="s">
        <v>1845</v>
      </c>
      <c r="I19" s="35" t="s">
        <v>1853</v>
      </c>
      <c r="J19" s="36" t="b">
        <f>FALSE()</f>
        <v>0</v>
      </c>
      <c r="K19" s="35" t="s">
        <v>1847</v>
      </c>
    </row>
    <row r="20" spans="5:11" ht="15" customHeight="1" x14ac:dyDescent="0.3">
      <c r="E20" s="34">
        <v>45765</v>
      </c>
      <c r="F20" s="35">
        <v>2025</v>
      </c>
      <c r="G20" s="35">
        <v>4</v>
      </c>
      <c r="H20" s="35" t="s">
        <v>1845</v>
      </c>
      <c r="I20" s="35" t="s">
        <v>1856</v>
      </c>
      <c r="J20" s="36" t="b">
        <f>FALSE()</f>
        <v>0</v>
      </c>
      <c r="K20" s="35" t="s">
        <v>1847</v>
      </c>
    </row>
    <row r="21" spans="5:11" ht="15" customHeight="1" x14ac:dyDescent="0.3">
      <c r="E21" s="34">
        <v>45766</v>
      </c>
      <c r="F21" s="35">
        <v>2025</v>
      </c>
      <c r="G21" s="35">
        <v>4</v>
      </c>
      <c r="H21" s="35" t="s">
        <v>1845</v>
      </c>
      <c r="I21" s="35" t="s">
        <v>1859</v>
      </c>
      <c r="J21" s="36" t="b">
        <f>TRUE()</f>
        <v>1</v>
      </c>
      <c r="K21" s="35" t="s">
        <v>1847</v>
      </c>
    </row>
    <row r="22" spans="5:11" ht="15" customHeight="1" x14ac:dyDescent="0.3">
      <c r="E22" s="34">
        <v>45767</v>
      </c>
      <c r="F22" s="35">
        <v>2025</v>
      </c>
      <c r="G22" s="35">
        <v>4</v>
      </c>
      <c r="H22" s="35" t="s">
        <v>1845</v>
      </c>
      <c r="I22" s="35" t="s">
        <v>1860</v>
      </c>
      <c r="J22" s="36" t="b">
        <f>TRUE()</f>
        <v>1</v>
      </c>
      <c r="K22" s="35" t="s">
        <v>1847</v>
      </c>
    </row>
    <row r="23" spans="5:11" ht="15" customHeight="1" x14ac:dyDescent="0.3">
      <c r="E23" s="34">
        <v>45768</v>
      </c>
      <c r="F23" s="35">
        <v>2025</v>
      </c>
      <c r="G23" s="35">
        <v>4</v>
      </c>
      <c r="H23" s="35" t="s">
        <v>1845</v>
      </c>
      <c r="I23" s="35" t="s">
        <v>1861</v>
      </c>
      <c r="J23" s="36" t="b">
        <f>FALSE()</f>
        <v>0</v>
      </c>
      <c r="K23" s="35" t="s">
        <v>1847</v>
      </c>
    </row>
    <row r="24" spans="5:11" ht="15" customHeight="1" x14ac:dyDescent="0.3">
      <c r="E24" s="34">
        <v>45769</v>
      </c>
      <c r="F24" s="35">
        <v>2025</v>
      </c>
      <c r="G24" s="35">
        <v>4</v>
      </c>
      <c r="H24" s="35" t="s">
        <v>1845</v>
      </c>
      <c r="I24" s="35" t="s">
        <v>1846</v>
      </c>
      <c r="J24" s="36" t="b">
        <f>FALSE()</f>
        <v>0</v>
      </c>
      <c r="K24" s="35" t="s">
        <v>1847</v>
      </c>
    </row>
    <row r="25" spans="5:11" ht="23.25" customHeight="1" x14ac:dyDescent="0.3">
      <c r="E25" s="34">
        <v>45770</v>
      </c>
      <c r="F25" s="35">
        <v>2025</v>
      </c>
      <c r="G25" s="35">
        <v>4</v>
      </c>
      <c r="H25" s="35" t="s">
        <v>1845</v>
      </c>
      <c r="I25" s="35" t="s">
        <v>1850</v>
      </c>
      <c r="J25" s="36" t="b">
        <f>FALSE()</f>
        <v>0</v>
      </c>
      <c r="K25" s="35" t="s">
        <v>1847</v>
      </c>
    </row>
    <row r="26" spans="5:11" ht="15" customHeight="1" x14ac:dyDescent="0.3">
      <c r="E26" s="34">
        <v>45771</v>
      </c>
      <c r="F26" s="35">
        <v>2025</v>
      </c>
      <c r="G26" s="35">
        <v>4</v>
      </c>
      <c r="H26" s="35" t="s">
        <v>1845</v>
      </c>
      <c r="I26" s="35" t="s">
        <v>1853</v>
      </c>
      <c r="J26" s="36" t="b">
        <f>FALSE()</f>
        <v>0</v>
      </c>
      <c r="K26" s="35" t="s">
        <v>1847</v>
      </c>
    </row>
    <row r="27" spans="5:11" ht="15" customHeight="1" x14ac:dyDescent="0.3">
      <c r="E27" s="34">
        <v>45772</v>
      </c>
      <c r="F27" s="35">
        <v>2025</v>
      </c>
      <c r="G27" s="35">
        <v>4</v>
      </c>
      <c r="H27" s="35" t="s">
        <v>1845</v>
      </c>
      <c r="I27" s="35" t="s">
        <v>1856</v>
      </c>
      <c r="J27" s="36" t="b">
        <f>FALSE()</f>
        <v>0</v>
      </c>
      <c r="K27" s="35" t="s">
        <v>1847</v>
      </c>
    </row>
    <row r="28" spans="5:11" ht="15" customHeight="1" x14ac:dyDescent="0.3">
      <c r="E28" s="34">
        <v>45773</v>
      </c>
      <c r="F28" s="35">
        <v>2025</v>
      </c>
      <c r="G28" s="35">
        <v>4</v>
      </c>
      <c r="H28" s="35" t="s">
        <v>1845</v>
      </c>
      <c r="I28" s="35" t="s">
        <v>1859</v>
      </c>
      <c r="J28" s="36" t="b">
        <f>TRUE()</f>
        <v>1</v>
      </c>
      <c r="K28" s="35" t="s">
        <v>1847</v>
      </c>
    </row>
    <row r="29" spans="5:11" ht="15" customHeight="1" x14ac:dyDescent="0.3">
      <c r="E29" s="34">
        <v>45774</v>
      </c>
      <c r="F29" s="35">
        <v>2025</v>
      </c>
      <c r="G29" s="35">
        <v>4</v>
      </c>
      <c r="H29" s="35" t="s">
        <v>1845</v>
      </c>
      <c r="I29" s="35" t="s">
        <v>1860</v>
      </c>
      <c r="J29" s="36" t="b">
        <f>TRUE()</f>
        <v>1</v>
      </c>
      <c r="K29" s="35" t="s">
        <v>1847</v>
      </c>
    </row>
    <row r="30" spans="5:11" ht="15" customHeight="1" x14ac:dyDescent="0.3">
      <c r="E30" s="34">
        <v>45775</v>
      </c>
      <c r="F30" s="35">
        <v>2025</v>
      </c>
      <c r="G30" s="35">
        <v>4</v>
      </c>
      <c r="H30" s="35" t="s">
        <v>1845</v>
      </c>
      <c r="I30" s="35" t="s">
        <v>1861</v>
      </c>
      <c r="J30" s="36" t="b">
        <f>FALSE()</f>
        <v>0</v>
      </c>
      <c r="K30" s="35" t="s">
        <v>1847</v>
      </c>
    </row>
    <row r="31" spans="5:11" ht="15" customHeight="1" x14ac:dyDescent="0.3">
      <c r="E31" s="34">
        <v>45776</v>
      </c>
      <c r="F31" s="35">
        <v>2025</v>
      </c>
      <c r="G31" s="35">
        <v>4</v>
      </c>
      <c r="H31" s="35" t="s">
        <v>1845</v>
      </c>
      <c r="I31" s="35" t="s">
        <v>1846</v>
      </c>
      <c r="J31" s="36" t="b">
        <f>FALSE()</f>
        <v>0</v>
      </c>
      <c r="K31" s="35" t="s">
        <v>1847</v>
      </c>
    </row>
    <row r="32" spans="5:11" ht="23.25" customHeight="1" x14ac:dyDescent="0.3">
      <c r="E32" s="34">
        <v>45777</v>
      </c>
      <c r="F32" s="35">
        <v>2025</v>
      </c>
      <c r="G32" s="35">
        <v>4</v>
      </c>
      <c r="H32" s="35" t="s">
        <v>1845</v>
      </c>
      <c r="I32" s="35" t="s">
        <v>1850</v>
      </c>
      <c r="J32" s="36" t="b">
        <f>FALSE()</f>
        <v>0</v>
      </c>
      <c r="K32" s="35" t="s">
        <v>1847</v>
      </c>
    </row>
    <row r="33" spans="5:11" ht="15" customHeight="1" x14ac:dyDescent="0.3">
      <c r="E33" s="34">
        <v>45778</v>
      </c>
      <c r="F33" s="35">
        <v>2025</v>
      </c>
      <c r="G33" s="35">
        <v>5</v>
      </c>
      <c r="H33" s="35" t="s">
        <v>1862</v>
      </c>
      <c r="I33" s="35" t="s">
        <v>1853</v>
      </c>
      <c r="J33" s="36" t="b">
        <f>FALSE()</f>
        <v>0</v>
      </c>
      <c r="K33" s="35" t="s">
        <v>1847</v>
      </c>
    </row>
    <row r="34" spans="5:11" ht="15" customHeight="1" x14ac:dyDescent="0.3">
      <c r="E34" s="34">
        <v>45779</v>
      </c>
      <c r="F34" s="35">
        <v>2025</v>
      </c>
      <c r="G34" s="35">
        <v>5</v>
      </c>
      <c r="H34" s="35" t="s">
        <v>1862</v>
      </c>
      <c r="I34" s="35" t="s">
        <v>1856</v>
      </c>
      <c r="J34" s="36" t="b">
        <f>FALSE()</f>
        <v>0</v>
      </c>
      <c r="K34" s="35" t="s">
        <v>1847</v>
      </c>
    </row>
    <row r="35" spans="5:11" ht="15" customHeight="1" x14ac:dyDescent="0.3">
      <c r="E35" s="34">
        <v>45780</v>
      </c>
      <c r="F35" s="35">
        <v>2025</v>
      </c>
      <c r="G35" s="35">
        <v>5</v>
      </c>
      <c r="H35" s="35" t="s">
        <v>1862</v>
      </c>
      <c r="I35" s="35" t="s">
        <v>1859</v>
      </c>
      <c r="J35" s="36" t="b">
        <f>TRUE()</f>
        <v>1</v>
      </c>
      <c r="K35" s="35" t="s">
        <v>1847</v>
      </c>
    </row>
    <row r="36" spans="5:11" ht="15" customHeight="1" x14ac:dyDescent="0.3">
      <c r="E36" s="34">
        <v>45781</v>
      </c>
      <c r="F36" s="35">
        <v>2025</v>
      </c>
      <c r="G36" s="35">
        <v>5</v>
      </c>
      <c r="H36" s="35" t="s">
        <v>1862</v>
      </c>
      <c r="I36" s="35" t="s">
        <v>1860</v>
      </c>
      <c r="J36" s="36" t="b">
        <f>TRUE()</f>
        <v>1</v>
      </c>
      <c r="K36" s="35" t="s">
        <v>1847</v>
      </c>
    </row>
    <row r="37" spans="5:11" ht="15" customHeight="1" x14ac:dyDescent="0.3">
      <c r="E37" s="34">
        <v>45782</v>
      </c>
      <c r="F37" s="35">
        <v>2025</v>
      </c>
      <c r="G37" s="35">
        <v>5</v>
      </c>
      <c r="H37" s="35" t="s">
        <v>1862</v>
      </c>
      <c r="I37" s="35" t="s">
        <v>1861</v>
      </c>
      <c r="J37" s="36" t="b">
        <f>FALSE()</f>
        <v>0</v>
      </c>
      <c r="K37" s="35" t="s">
        <v>1847</v>
      </c>
    </row>
    <row r="38" spans="5:11" ht="15" customHeight="1" x14ac:dyDescent="0.3">
      <c r="E38" s="34">
        <v>45783</v>
      </c>
      <c r="F38" s="35">
        <v>2025</v>
      </c>
      <c r="G38" s="35">
        <v>5</v>
      </c>
      <c r="H38" s="35" t="s">
        <v>1862</v>
      </c>
      <c r="I38" s="35" t="s">
        <v>1846</v>
      </c>
      <c r="J38" s="36" t="b">
        <f>FALSE()</f>
        <v>0</v>
      </c>
      <c r="K38" s="35" t="s">
        <v>1847</v>
      </c>
    </row>
    <row r="39" spans="5:11" ht="23.25" customHeight="1" x14ac:dyDescent="0.3">
      <c r="E39" s="34">
        <v>45784</v>
      </c>
      <c r="F39" s="35">
        <v>2025</v>
      </c>
      <c r="G39" s="35">
        <v>5</v>
      </c>
      <c r="H39" s="35" t="s">
        <v>1862</v>
      </c>
      <c r="I39" s="35" t="s">
        <v>1850</v>
      </c>
      <c r="J39" s="36" t="b">
        <f>FALSE()</f>
        <v>0</v>
      </c>
      <c r="K39" s="35" t="s">
        <v>1847</v>
      </c>
    </row>
    <row r="40" spans="5:11" ht="15" customHeight="1" x14ac:dyDescent="0.3">
      <c r="E40" s="34">
        <v>45785</v>
      </c>
      <c r="F40" s="35">
        <v>2025</v>
      </c>
      <c r="G40" s="35">
        <v>5</v>
      </c>
      <c r="H40" s="35" t="s">
        <v>1862</v>
      </c>
      <c r="I40" s="35" t="s">
        <v>1853</v>
      </c>
      <c r="J40" s="36" t="b">
        <f>FALSE()</f>
        <v>0</v>
      </c>
      <c r="K40" s="35" t="s">
        <v>1847</v>
      </c>
    </row>
    <row r="41" spans="5:11" ht="15" customHeight="1" x14ac:dyDescent="0.3">
      <c r="E41" s="34">
        <v>45786</v>
      </c>
      <c r="F41" s="35">
        <v>2025</v>
      </c>
      <c r="G41" s="35">
        <v>5</v>
      </c>
      <c r="H41" s="35" t="s">
        <v>1862</v>
      </c>
      <c r="I41" s="35" t="s">
        <v>1856</v>
      </c>
      <c r="J41" s="36" t="b">
        <f>FALSE()</f>
        <v>0</v>
      </c>
      <c r="K41" s="35" t="s">
        <v>1847</v>
      </c>
    </row>
    <row r="42" spans="5:11" ht="15" customHeight="1" x14ac:dyDescent="0.3">
      <c r="E42" s="34">
        <v>45787</v>
      </c>
      <c r="F42" s="35">
        <v>2025</v>
      </c>
      <c r="G42" s="35">
        <v>5</v>
      </c>
      <c r="H42" s="35" t="s">
        <v>1862</v>
      </c>
      <c r="I42" s="35" t="s">
        <v>1859</v>
      </c>
      <c r="J42" s="36" t="b">
        <f>TRUE()</f>
        <v>1</v>
      </c>
      <c r="K42" s="35" t="s">
        <v>1847</v>
      </c>
    </row>
    <row r="43" spans="5:11" ht="15" customHeight="1" x14ac:dyDescent="0.3">
      <c r="E43" s="34">
        <v>45788</v>
      </c>
      <c r="F43" s="35">
        <v>2025</v>
      </c>
      <c r="G43" s="35">
        <v>5</v>
      </c>
      <c r="H43" s="35" t="s">
        <v>1862</v>
      </c>
      <c r="I43" s="35" t="s">
        <v>1860</v>
      </c>
      <c r="J43" s="36" t="b">
        <f>TRUE()</f>
        <v>1</v>
      </c>
      <c r="K43" s="35" t="s">
        <v>1847</v>
      </c>
    </row>
    <row r="44" spans="5:11" ht="15" customHeight="1" x14ac:dyDescent="0.3">
      <c r="E44" s="34">
        <v>45789</v>
      </c>
      <c r="F44" s="35">
        <v>2025</v>
      </c>
      <c r="G44" s="35">
        <v>5</v>
      </c>
      <c r="H44" s="35" t="s">
        <v>1862</v>
      </c>
      <c r="I44" s="35" t="s">
        <v>1861</v>
      </c>
      <c r="J44" s="36" t="b">
        <f>FALSE()</f>
        <v>0</v>
      </c>
      <c r="K44" s="35" t="s">
        <v>1847</v>
      </c>
    </row>
    <row r="45" spans="5:11" ht="15" customHeight="1" x14ac:dyDescent="0.3">
      <c r="E45" s="34">
        <v>45790</v>
      </c>
      <c r="F45" s="35">
        <v>2025</v>
      </c>
      <c r="G45" s="35">
        <v>5</v>
      </c>
      <c r="H45" s="35" t="s">
        <v>1862</v>
      </c>
      <c r="I45" s="35" t="s">
        <v>1846</v>
      </c>
      <c r="J45" s="36" t="b">
        <f>FALSE()</f>
        <v>0</v>
      </c>
      <c r="K45" s="35" t="s">
        <v>1847</v>
      </c>
    </row>
    <row r="46" spans="5:11" ht="23.25" customHeight="1" x14ac:dyDescent="0.3">
      <c r="E46" s="34">
        <v>45791</v>
      </c>
      <c r="F46" s="35">
        <v>2025</v>
      </c>
      <c r="G46" s="35">
        <v>5</v>
      </c>
      <c r="H46" s="35" t="s">
        <v>1862</v>
      </c>
      <c r="I46" s="35" t="s">
        <v>1850</v>
      </c>
      <c r="J46" s="36" t="b">
        <f>FALSE()</f>
        <v>0</v>
      </c>
      <c r="K46" s="35" t="s">
        <v>1847</v>
      </c>
    </row>
    <row r="47" spans="5:11" ht="15" customHeight="1" x14ac:dyDescent="0.3">
      <c r="E47" s="34">
        <v>45792</v>
      </c>
      <c r="F47" s="35">
        <v>2025</v>
      </c>
      <c r="G47" s="35">
        <v>5</v>
      </c>
      <c r="H47" s="35" t="s">
        <v>1862</v>
      </c>
      <c r="I47" s="35" t="s">
        <v>1853</v>
      </c>
      <c r="J47" s="36" t="b">
        <f>FALSE()</f>
        <v>0</v>
      </c>
      <c r="K47" s="35" t="s">
        <v>1847</v>
      </c>
    </row>
    <row r="48" spans="5:11" ht="15" customHeight="1" x14ac:dyDescent="0.3">
      <c r="E48" s="34">
        <v>45793</v>
      </c>
      <c r="F48" s="35">
        <v>2025</v>
      </c>
      <c r="G48" s="35">
        <v>5</v>
      </c>
      <c r="H48" s="35" t="s">
        <v>1862</v>
      </c>
      <c r="I48" s="35" t="s">
        <v>1856</v>
      </c>
      <c r="J48" s="36" t="b">
        <f>FALSE()</f>
        <v>0</v>
      </c>
      <c r="K48" s="35" t="s">
        <v>1847</v>
      </c>
    </row>
    <row r="49" spans="5:11" ht="15" customHeight="1" x14ac:dyDescent="0.3">
      <c r="E49" s="34">
        <v>45794</v>
      </c>
      <c r="F49" s="35">
        <v>2025</v>
      </c>
      <c r="G49" s="35">
        <v>5</v>
      </c>
      <c r="H49" s="35" t="s">
        <v>1862</v>
      </c>
      <c r="I49" s="35" t="s">
        <v>1859</v>
      </c>
      <c r="J49" s="36" t="b">
        <f>TRUE()</f>
        <v>1</v>
      </c>
      <c r="K49" s="35" t="s">
        <v>1847</v>
      </c>
    </row>
    <row r="50" spans="5:11" ht="15" customHeight="1" x14ac:dyDescent="0.3">
      <c r="E50" s="34">
        <v>45795</v>
      </c>
      <c r="F50" s="35">
        <v>2025</v>
      </c>
      <c r="G50" s="35">
        <v>5</v>
      </c>
      <c r="H50" s="35" t="s">
        <v>1862</v>
      </c>
      <c r="I50" s="35" t="s">
        <v>1860</v>
      </c>
      <c r="J50" s="36" t="b">
        <f>TRUE()</f>
        <v>1</v>
      </c>
      <c r="K50" s="35" t="s">
        <v>1847</v>
      </c>
    </row>
    <row r="51" spans="5:11" ht="15" customHeight="1" x14ac:dyDescent="0.3">
      <c r="E51" s="34">
        <v>45796</v>
      </c>
      <c r="F51" s="35">
        <v>2025</v>
      </c>
      <c r="G51" s="35">
        <v>5</v>
      </c>
      <c r="H51" s="35" t="s">
        <v>1862</v>
      </c>
      <c r="I51" s="35" t="s">
        <v>1861</v>
      </c>
      <c r="J51" s="36" t="b">
        <f>FALSE()</f>
        <v>0</v>
      </c>
      <c r="K51" s="35" t="s">
        <v>1847</v>
      </c>
    </row>
    <row r="52" spans="5:11" ht="15" customHeight="1" x14ac:dyDescent="0.3">
      <c r="E52" s="34">
        <v>45797</v>
      </c>
      <c r="F52" s="35">
        <v>2025</v>
      </c>
      <c r="G52" s="35">
        <v>5</v>
      </c>
      <c r="H52" s="35" t="s">
        <v>1862</v>
      </c>
      <c r="I52" s="35" t="s">
        <v>1846</v>
      </c>
      <c r="J52" s="36" t="b">
        <f>FALSE()</f>
        <v>0</v>
      </c>
      <c r="K52" s="35" t="s">
        <v>1847</v>
      </c>
    </row>
    <row r="53" spans="5:11" ht="23.25" customHeight="1" x14ac:dyDescent="0.3">
      <c r="E53" s="34">
        <v>45798</v>
      </c>
      <c r="F53" s="35">
        <v>2025</v>
      </c>
      <c r="G53" s="35">
        <v>5</v>
      </c>
      <c r="H53" s="35" t="s">
        <v>1862</v>
      </c>
      <c r="I53" s="35" t="s">
        <v>1850</v>
      </c>
      <c r="J53" s="36" t="b">
        <f>FALSE()</f>
        <v>0</v>
      </c>
      <c r="K53" s="35" t="s">
        <v>1847</v>
      </c>
    </row>
    <row r="54" spans="5:11" ht="15" customHeight="1" x14ac:dyDescent="0.3">
      <c r="E54" s="34">
        <v>45799</v>
      </c>
      <c r="F54" s="35">
        <v>2025</v>
      </c>
      <c r="G54" s="35">
        <v>5</v>
      </c>
      <c r="H54" s="35" t="s">
        <v>1862</v>
      </c>
      <c r="I54" s="35" t="s">
        <v>1853</v>
      </c>
      <c r="J54" s="36" t="b">
        <f>FALSE()</f>
        <v>0</v>
      </c>
      <c r="K54" s="35" t="s">
        <v>1847</v>
      </c>
    </row>
    <row r="55" spans="5:11" ht="15" customHeight="1" x14ac:dyDescent="0.3">
      <c r="E55" s="34">
        <v>45800</v>
      </c>
      <c r="F55" s="35">
        <v>2025</v>
      </c>
      <c r="G55" s="35">
        <v>5</v>
      </c>
      <c r="H55" s="35" t="s">
        <v>1862</v>
      </c>
      <c r="I55" s="35" t="s">
        <v>1856</v>
      </c>
      <c r="J55" s="36" t="b">
        <f>FALSE()</f>
        <v>0</v>
      </c>
      <c r="K55" s="35" t="s">
        <v>1847</v>
      </c>
    </row>
    <row r="56" spans="5:11" ht="15" customHeight="1" x14ac:dyDescent="0.3">
      <c r="E56" s="34">
        <v>45801</v>
      </c>
      <c r="F56" s="35">
        <v>2025</v>
      </c>
      <c r="G56" s="35">
        <v>5</v>
      </c>
      <c r="H56" s="35" t="s">
        <v>1862</v>
      </c>
      <c r="I56" s="35" t="s">
        <v>1859</v>
      </c>
      <c r="J56" s="36" t="b">
        <f>TRUE()</f>
        <v>1</v>
      </c>
      <c r="K56" s="35" t="s">
        <v>1847</v>
      </c>
    </row>
    <row r="57" spans="5:11" ht="15" customHeight="1" x14ac:dyDescent="0.3">
      <c r="E57" s="34">
        <v>45802</v>
      </c>
      <c r="F57" s="35">
        <v>2025</v>
      </c>
      <c r="G57" s="35">
        <v>5</v>
      </c>
      <c r="H57" s="35" t="s">
        <v>1862</v>
      </c>
      <c r="I57" s="35" t="s">
        <v>1860</v>
      </c>
      <c r="J57" s="36" t="b">
        <f>TRUE()</f>
        <v>1</v>
      </c>
      <c r="K57" s="35" t="s">
        <v>1847</v>
      </c>
    </row>
    <row r="58" spans="5:11" ht="15" customHeight="1" x14ac:dyDescent="0.3">
      <c r="E58" s="34">
        <v>45803</v>
      </c>
      <c r="F58" s="35">
        <v>2025</v>
      </c>
      <c r="G58" s="35">
        <v>5</v>
      </c>
      <c r="H58" s="35" t="s">
        <v>1862</v>
      </c>
      <c r="I58" s="35" t="s">
        <v>1861</v>
      </c>
      <c r="J58" s="36" t="b">
        <f>FALSE()</f>
        <v>0</v>
      </c>
      <c r="K58" s="35" t="s">
        <v>1847</v>
      </c>
    </row>
    <row r="59" spans="5:11" ht="15" customHeight="1" x14ac:dyDescent="0.3">
      <c r="E59" s="34">
        <v>45804</v>
      </c>
      <c r="F59" s="35">
        <v>2025</v>
      </c>
      <c r="G59" s="35">
        <v>5</v>
      </c>
      <c r="H59" s="35" t="s">
        <v>1862</v>
      </c>
      <c r="I59" s="35" t="s">
        <v>1846</v>
      </c>
      <c r="J59" s="36" t="b">
        <f>FALSE()</f>
        <v>0</v>
      </c>
      <c r="K59" s="35" t="s">
        <v>1847</v>
      </c>
    </row>
    <row r="60" spans="5:11" ht="23.25" customHeight="1" x14ac:dyDescent="0.3">
      <c r="E60" s="34">
        <v>45805</v>
      </c>
      <c r="F60" s="35">
        <v>2025</v>
      </c>
      <c r="G60" s="35">
        <v>5</v>
      </c>
      <c r="H60" s="35" t="s">
        <v>1862</v>
      </c>
      <c r="I60" s="35" t="s">
        <v>1850</v>
      </c>
      <c r="J60" s="36" t="b">
        <f>FALSE()</f>
        <v>0</v>
      </c>
      <c r="K60" s="35" t="s">
        <v>1847</v>
      </c>
    </row>
    <row r="61" spans="5:11" ht="15" customHeight="1" x14ac:dyDescent="0.3">
      <c r="E61" s="34">
        <v>45806</v>
      </c>
      <c r="F61" s="35">
        <v>2025</v>
      </c>
      <c r="G61" s="35">
        <v>5</v>
      </c>
      <c r="H61" s="35" t="s">
        <v>1862</v>
      </c>
      <c r="I61" s="35" t="s">
        <v>1853</v>
      </c>
      <c r="J61" s="36" t="b">
        <f>FALSE()</f>
        <v>0</v>
      </c>
      <c r="K61" s="35" t="s">
        <v>1847</v>
      </c>
    </row>
    <row r="62" spans="5:11" ht="15" customHeight="1" x14ac:dyDescent="0.3">
      <c r="E62" s="34">
        <v>45807</v>
      </c>
      <c r="F62" s="35">
        <v>2025</v>
      </c>
      <c r="G62" s="35">
        <v>5</v>
      </c>
      <c r="H62" s="35" t="s">
        <v>1862</v>
      </c>
      <c r="I62" s="35" t="s">
        <v>1856</v>
      </c>
      <c r="J62" s="36" t="b">
        <f>FALSE()</f>
        <v>0</v>
      </c>
      <c r="K62" s="35" t="s">
        <v>1847</v>
      </c>
    </row>
    <row r="63" spans="5:11" ht="15" customHeight="1" x14ac:dyDescent="0.3">
      <c r="E63" s="34">
        <v>45808</v>
      </c>
      <c r="F63" s="35">
        <v>2025</v>
      </c>
      <c r="G63" s="35">
        <v>5</v>
      </c>
      <c r="H63" s="35" t="s">
        <v>1862</v>
      </c>
      <c r="I63" s="35" t="s">
        <v>1859</v>
      </c>
      <c r="J63" s="36" t="b">
        <f>TRUE()</f>
        <v>1</v>
      </c>
      <c r="K63" s="35" t="s">
        <v>1847</v>
      </c>
    </row>
    <row r="64" spans="5:11" ht="15" customHeight="1" x14ac:dyDescent="0.3">
      <c r="E64" s="34">
        <v>45809</v>
      </c>
      <c r="F64" s="35">
        <v>2025</v>
      </c>
      <c r="G64" s="35">
        <v>6</v>
      </c>
      <c r="H64" s="35" t="s">
        <v>1863</v>
      </c>
      <c r="I64" s="35" t="s">
        <v>1860</v>
      </c>
      <c r="J64" s="36" t="b">
        <f>TRUE()</f>
        <v>1</v>
      </c>
      <c r="K64" s="35" t="s">
        <v>1847</v>
      </c>
    </row>
    <row r="65" spans="5:11" ht="15" customHeight="1" x14ac:dyDescent="0.3">
      <c r="E65" s="34">
        <v>45810</v>
      </c>
      <c r="F65" s="35">
        <v>2025</v>
      </c>
      <c r="G65" s="35">
        <v>6</v>
      </c>
      <c r="H65" s="35" t="s">
        <v>1863</v>
      </c>
      <c r="I65" s="35" t="s">
        <v>1861</v>
      </c>
      <c r="J65" s="36" t="b">
        <f>FALSE()</f>
        <v>0</v>
      </c>
      <c r="K65" s="35" t="s">
        <v>1847</v>
      </c>
    </row>
    <row r="66" spans="5:11" ht="15" customHeight="1" x14ac:dyDescent="0.3">
      <c r="E66" s="34">
        <v>45811</v>
      </c>
      <c r="F66" s="35">
        <v>2025</v>
      </c>
      <c r="G66" s="35">
        <v>6</v>
      </c>
      <c r="H66" s="35" t="s">
        <v>1863</v>
      </c>
      <c r="I66" s="35" t="s">
        <v>1846</v>
      </c>
      <c r="J66" s="36" t="b">
        <f>FALSE()</f>
        <v>0</v>
      </c>
      <c r="K66" s="35" t="s">
        <v>1847</v>
      </c>
    </row>
    <row r="67" spans="5:11" ht="23.25" customHeight="1" x14ac:dyDescent="0.3">
      <c r="E67" s="34">
        <v>45812</v>
      </c>
      <c r="F67" s="35">
        <v>2025</v>
      </c>
      <c r="G67" s="35">
        <v>6</v>
      </c>
      <c r="H67" s="35" t="s">
        <v>1863</v>
      </c>
      <c r="I67" s="35" t="s">
        <v>1850</v>
      </c>
      <c r="J67" s="36" t="b">
        <f>FALSE()</f>
        <v>0</v>
      </c>
      <c r="K67" s="35" t="s">
        <v>1847</v>
      </c>
    </row>
    <row r="68" spans="5:11" ht="15" customHeight="1" x14ac:dyDescent="0.3">
      <c r="E68" s="34">
        <v>45813</v>
      </c>
      <c r="F68" s="35">
        <v>2025</v>
      </c>
      <c r="G68" s="35">
        <v>6</v>
      </c>
      <c r="H68" s="35" t="s">
        <v>1863</v>
      </c>
      <c r="I68" s="35" t="s">
        <v>1853</v>
      </c>
      <c r="J68" s="36" t="b">
        <f>FALSE()</f>
        <v>0</v>
      </c>
      <c r="K68" s="35" t="s">
        <v>1847</v>
      </c>
    </row>
    <row r="69" spans="5:11" ht="15" customHeight="1" x14ac:dyDescent="0.3">
      <c r="E69" s="34">
        <v>45814</v>
      </c>
      <c r="F69" s="35">
        <v>2025</v>
      </c>
      <c r="G69" s="35">
        <v>6</v>
      </c>
      <c r="H69" s="35" t="s">
        <v>1863</v>
      </c>
      <c r="I69" s="35" t="s">
        <v>1856</v>
      </c>
      <c r="J69" s="36" t="b">
        <f>FALSE()</f>
        <v>0</v>
      </c>
      <c r="K69" s="35" t="s">
        <v>1847</v>
      </c>
    </row>
    <row r="70" spans="5:11" ht="15" customHeight="1" x14ac:dyDescent="0.3">
      <c r="E70" s="34">
        <v>45815</v>
      </c>
      <c r="F70" s="35">
        <v>2025</v>
      </c>
      <c r="G70" s="35">
        <v>6</v>
      </c>
      <c r="H70" s="35" t="s">
        <v>1863</v>
      </c>
      <c r="I70" s="35" t="s">
        <v>1859</v>
      </c>
      <c r="J70" s="36" t="b">
        <f>TRUE()</f>
        <v>1</v>
      </c>
      <c r="K70" s="35" t="s">
        <v>1847</v>
      </c>
    </row>
    <row r="71" spans="5:11" ht="15" customHeight="1" x14ac:dyDescent="0.3">
      <c r="E71" s="34">
        <v>45816</v>
      </c>
      <c r="F71" s="35">
        <v>2025</v>
      </c>
      <c r="G71" s="35">
        <v>6</v>
      </c>
      <c r="H71" s="35" t="s">
        <v>1863</v>
      </c>
      <c r="I71" s="35" t="s">
        <v>1860</v>
      </c>
      <c r="J71" s="36" t="b">
        <f>TRUE()</f>
        <v>1</v>
      </c>
      <c r="K71" s="35" t="s">
        <v>1847</v>
      </c>
    </row>
    <row r="72" spans="5:11" ht="15" customHeight="1" x14ac:dyDescent="0.3">
      <c r="E72" s="34">
        <v>45817</v>
      </c>
      <c r="F72" s="35">
        <v>2025</v>
      </c>
      <c r="G72" s="35">
        <v>6</v>
      </c>
      <c r="H72" s="35" t="s">
        <v>1863</v>
      </c>
      <c r="I72" s="35" t="s">
        <v>1861</v>
      </c>
      <c r="J72" s="36" t="b">
        <f>FALSE()</f>
        <v>0</v>
      </c>
      <c r="K72" s="35" t="s">
        <v>1847</v>
      </c>
    </row>
    <row r="73" spans="5:11" ht="15" customHeight="1" x14ac:dyDescent="0.3">
      <c r="E73" s="34">
        <v>45818</v>
      </c>
      <c r="F73" s="35">
        <v>2025</v>
      </c>
      <c r="G73" s="35">
        <v>6</v>
      </c>
      <c r="H73" s="35" t="s">
        <v>1863</v>
      </c>
      <c r="I73" s="35" t="s">
        <v>1846</v>
      </c>
      <c r="J73" s="36" t="b">
        <f>FALSE()</f>
        <v>0</v>
      </c>
      <c r="K73" s="35" t="s">
        <v>1847</v>
      </c>
    </row>
    <row r="74" spans="5:11" ht="23.25" customHeight="1" x14ac:dyDescent="0.3">
      <c r="E74" s="34">
        <v>45819</v>
      </c>
      <c r="F74" s="35">
        <v>2025</v>
      </c>
      <c r="G74" s="35">
        <v>6</v>
      </c>
      <c r="H74" s="35" t="s">
        <v>1863</v>
      </c>
      <c r="I74" s="35" t="s">
        <v>1850</v>
      </c>
      <c r="J74" s="36" t="b">
        <f>FALSE()</f>
        <v>0</v>
      </c>
      <c r="K74" s="35" t="s">
        <v>1847</v>
      </c>
    </row>
    <row r="75" spans="5:11" ht="15" customHeight="1" x14ac:dyDescent="0.3">
      <c r="E75" s="34">
        <v>45820</v>
      </c>
      <c r="F75" s="35">
        <v>2025</v>
      </c>
      <c r="G75" s="35">
        <v>6</v>
      </c>
      <c r="H75" s="35" t="s">
        <v>1863</v>
      </c>
      <c r="I75" s="35" t="s">
        <v>1853</v>
      </c>
      <c r="J75" s="36" t="b">
        <f>FALSE()</f>
        <v>0</v>
      </c>
      <c r="K75" s="35" t="s">
        <v>1847</v>
      </c>
    </row>
    <row r="76" spans="5:11" ht="15" customHeight="1" x14ac:dyDescent="0.3">
      <c r="E76" s="34">
        <v>45821</v>
      </c>
      <c r="F76" s="35">
        <v>2025</v>
      </c>
      <c r="G76" s="35">
        <v>6</v>
      </c>
      <c r="H76" s="35" t="s">
        <v>1863</v>
      </c>
      <c r="I76" s="35" t="s">
        <v>1856</v>
      </c>
      <c r="J76" s="36" t="b">
        <f>FALSE()</f>
        <v>0</v>
      </c>
      <c r="K76" s="35" t="s">
        <v>1847</v>
      </c>
    </row>
    <row r="77" spans="5:11" ht="15" customHeight="1" x14ac:dyDescent="0.3">
      <c r="E77" s="34">
        <v>45822</v>
      </c>
      <c r="F77" s="35">
        <v>2025</v>
      </c>
      <c r="G77" s="35">
        <v>6</v>
      </c>
      <c r="H77" s="35" t="s">
        <v>1863</v>
      </c>
      <c r="I77" s="35" t="s">
        <v>1859</v>
      </c>
      <c r="J77" s="36" t="b">
        <f>TRUE()</f>
        <v>1</v>
      </c>
      <c r="K77" s="35" t="s">
        <v>1847</v>
      </c>
    </row>
    <row r="78" spans="5:11" ht="15" customHeight="1" x14ac:dyDescent="0.3">
      <c r="E78" s="34">
        <v>45823</v>
      </c>
      <c r="F78" s="35">
        <v>2025</v>
      </c>
      <c r="G78" s="35">
        <v>6</v>
      </c>
      <c r="H78" s="35" t="s">
        <v>1863</v>
      </c>
      <c r="I78" s="35" t="s">
        <v>1860</v>
      </c>
      <c r="J78" s="36" t="b">
        <f>TRUE()</f>
        <v>1</v>
      </c>
      <c r="K78" s="35" t="s">
        <v>1847</v>
      </c>
    </row>
    <row r="79" spans="5:11" ht="15" customHeight="1" x14ac:dyDescent="0.3">
      <c r="E79" s="34">
        <v>45824</v>
      </c>
      <c r="F79" s="35">
        <v>2025</v>
      </c>
      <c r="G79" s="35">
        <v>6</v>
      </c>
      <c r="H79" s="35" t="s">
        <v>1863</v>
      </c>
      <c r="I79" s="35" t="s">
        <v>1861</v>
      </c>
      <c r="J79" s="36" t="b">
        <f>FALSE()</f>
        <v>0</v>
      </c>
      <c r="K79" s="35" t="s">
        <v>1847</v>
      </c>
    </row>
    <row r="80" spans="5:11" ht="15" customHeight="1" x14ac:dyDescent="0.3">
      <c r="E80" s="34">
        <v>45825</v>
      </c>
      <c r="F80" s="35">
        <v>2025</v>
      </c>
      <c r="G80" s="35">
        <v>6</v>
      </c>
      <c r="H80" s="35" t="s">
        <v>1863</v>
      </c>
      <c r="I80" s="35" t="s">
        <v>1846</v>
      </c>
      <c r="J80" s="36" t="b">
        <f>FALSE()</f>
        <v>0</v>
      </c>
      <c r="K80" s="35" t="s">
        <v>1847</v>
      </c>
    </row>
    <row r="81" spans="5:11" ht="23.25" customHeight="1" x14ac:dyDescent="0.3">
      <c r="E81" s="34">
        <v>45826</v>
      </c>
      <c r="F81" s="35">
        <v>2025</v>
      </c>
      <c r="G81" s="35">
        <v>6</v>
      </c>
      <c r="H81" s="35" t="s">
        <v>1863</v>
      </c>
      <c r="I81" s="35" t="s">
        <v>1850</v>
      </c>
      <c r="J81" s="36" t="b">
        <f>FALSE()</f>
        <v>0</v>
      </c>
      <c r="K81" s="35" t="s">
        <v>1847</v>
      </c>
    </row>
    <row r="82" spans="5:11" ht="15" customHeight="1" x14ac:dyDescent="0.3">
      <c r="E82" s="34">
        <v>45827</v>
      </c>
      <c r="F82" s="35">
        <v>2025</v>
      </c>
      <c r="G82" s="35">
        <v>6</v>
      </c>
      <c r="H82" s="35" t="s">
        <v>1863</v>
      </c>
      <c r="I82" s="35" t="s">
        <v>1853</v>
      </c>
      <c r="J82" s="36" t="b">
        <f>FALSE()</f>
        <v>0</v>
      </c>
      <c r="K82" s="35" t="s">
        <v>1847</v>
      </c>
    </row>
    <row r="83" spans="5:11" ht="15" customHeight="1" x14ac:dyDescent="0.3">
      <c r="E83" s="34">
        <v>45828</v>
      </c>
      <c r="F83" s="35">
        <v>2025</v>
      </c>
      <c r="G83" s="35">
        <v>6</v>
      </c>
      <c r="H83" s="35" t="s">
        <v>1863</v>
      </c>
      <c r="I83" s="35" t="s">
        <v>1856</v>
      </c>
      <c r="J83" s="36" t="b">
        <f>FALSE()</f>
        <v>0</v>
      </c>
      <c r="K83" s="35" t="s">
        <v>1847</v>
      </c>
    </row>
    <row r="84" spans="5:11" ht="15" customHeight="1" x14ac:dyDescent="0.3">
      <c r="E84" s="34">
        <v>45829</v>
      </c>
      <c r="F84" s="35">
        <v>2025</v>
      </c>
      <c r="G84" s="35">
        <v>6</v>
      </c>
      <c r="H84" s="35" t="s">
        <v>1863</v>
      </c>
      <c r="I84" s="35" t="s">
        <v>1859</v>
      </c>
      <c r="J84" s="36" t="b">
        <f>TRUE()</f>
        <v>1</v>
      </c>
      <c r="K84" s="35" t="s">
        <v>1847</v>
      </c>
    </row>
    <row r="85" spans="5:11" ht="15" customHeight="1" x14ac:dyDescent="0.3">
      <c r="E85" s="34">
        <v>45830</v>
      </c>
      <c r="F85" s="35">
        <v>2025</v>
      </c>
      <c r="G85" s="35">
        <v>6</v>
      </c>
      <c r="H85" s="35" t="s">
        <v>1863</v>
      </c>
      <c r="I85" s="35" t="s">
        <v>1860</v>
      </c>
      <c r="J85" s="36" t="b">
        <f>TRUE()</f>
        <v>1</v>
      </c>
      <c r="K85" s="35" t="s">
        <v>1847</v>
      </c>
    </row>
    <row r="86" spans="5:11" ht="15" customHeight="1" x14ac:dyDescent="0.3">
      <c r="E86" s="34">
        <v>45831</v>
      </c>
      <c r="F86" s="35">
        <v>2025</v>
      </c>
      <c r="G86" s="35">
        <v>6</v>
      </c>
      <c r="H86" s="35" t="s">
        <v>1863</v>
      </c>
      <c r="I86" s="35" t="s">
        <v>1861</v>
      </c>
      <c r="J86" s="36" t="b">
        <f>FALSE()</f>
        <v>0</v>
      </c>
      <c r="K86" s="35" t="s">
        <v>1847</v>
      </c>
    </row>
    <row r="87" spans="5:11" ht="15" customHeight="1" x14ac:dyDescent="0.3">
      <c r="E87" s="34">
        <v>45832</v>
      </c>
      <c r="F87" s="35">
        <v>2025</v>
      </c>
      <c r="G87" s="35">
        <v>6</v>
      </c>
      <c r="H87" s="35" t="s">
        <v>1863</v>
      </c>
      <c r="I87" s="35" t="s">
        <v>1846</v>
      </c>
      <c r="J87" s="36" t="b">
        <f>FALSE()</f>
        <v>0</v>
      </c>
      <c r="K87" s="35" t="s">
        <v>1847</v>
      </c>
    </row>
    <row r="88" spans="5:11" ht="23.25" customHeight="1" x14ac:dyDescent="0.3">
      <c r="E88" s="34">
        <v>45833</v>
      </c>
      <c r="F88" s="35">
        <v>2025</v>
      </c>
      <c r="G88" s="35">
        <v>6</v>
      </c>
      <c r="H88" s="35" t="s">
        <v>1863</v>
      </c>
      <c r="I88" s="35" t="s">
        <v>1850</v>
      </c>
      <c r="J88" s="36" t="b">
        <f>FALSE()</f>
        <v>0</v>
      </c>
      <c r="K88" s="35" t="s">
        <v>1847</v>
      </c>
    </row>
    <row r="89" spans="5:11" ht="15" customHeight="1" x14ac:dyDescent="0.3">
      <c r="E89" s="34">
        <v>45834</v>
      </c>
      <c r="F89" s="35">
        <v>2025</v>
      </c>
      <c r="G89" s="35">
        <v>6</v>
      </c>
      <c r="H89" s="35" t="s">
        <v>1863</v>
      </c>
      <c r="I89" s="35" t="s">
        <v>1853</v>
      </c>
      <c r="J89" s="36" t="b">
        <f>FALSE()</f>
        <v>0</v>
      </c>
      <c r="K89" s="35" t="s">
        <v>1847</v>
      </c>
    </row>
    <row r="90" spans="5:11" ht="15" customHeight="1" x14ac:dyDescent="0.3">
      <c r="E90" s="34">
        <v>45835</v>
      </c>
      <c r="F90" s="35">
        <v>2025</v>
      </c>
      <c r="G90" s="35">
        <v>6</v>
      </c>
      <c r="H90" s="35" t="s">
        <v>1863</v>
      </c>
      <c r="I90" s="35" t="s">
        <v>1856</v>
      </c>
      <c r="J90" s="36" t="b">
        <f>FALSE()</f>
        <v>0</v>
      </c>
      <c r="K90" s="35" t="s">
        <v>1847</v>
      </c>
    </row>
    <row r="91" spans="5:11" ht="15" customHeight="1" x14ac:dyDescent="0.3">
      <c r="E91" s="34">
        <v>45836</v>
      </c>
      <c r="F91" s="35">
        <v>2025</v>
      </c>
      <c r="G91" s="35">
        <v>6</v>
      </c>
      <c r="H91" s="35" t="s">
        <v>1863</v>
      </c>
      <c r="I91" s="35" t="s">
        <v>1859</v>
      </c>
      <c r="J91" s="36" t="b">
        <f>TRUE()</f>
        <v>1</v>
      </c>
      <c r="K91" s="35" t="s">
        <v>1847</v>
      </c>
    </row>
    <row r="92" spans="5:11" ht="15" customHeight="1" x14ac:dyDescent="0.3">
      <c r="E92" s="34">
        <v>45837</v>
      </c>
      <c r="F92" s="35">
        <v>2025</v>
      </c>
      <c r="G92" s="35">
        <v>6</v>
      </c>
      <c r="H92" s="35" t="s">
        <v>1863</v>
      </c>
      <c r="I92" s="35" t="s">
        <v>1860</v>
      </c>
      <c r="J92" s="36" t="b">
        <f>TRUE()</f>
        <v>1</v>
      </c>
      <c r="K92" s="35" t="s">
        <v>1847</v>
      </c>
    </row>
    <row r="93" spans="5:11" ht="15" customHeight="1" x14ac:dyDescent="0.3">
      <c r="E93" s="34">
        <v>45838</v>
      </c>
      <c r="F93" s="35">
        <v>2025</v>
      </c>
      <c r="G93" s="35">
        <v>6</v>
      </c>
      <c r="H93" s="35" t="s">
        <v>1863</v>
      </c>
      <c r="I93" s="35" t="s">
        <v>1861</v>
      </c>
      <c r="J93" s="36" t="b">
        <f>FALSE()</f>
        <v>0</v>
      </c>
      <c r="K93" s="35" t="s">
        <v>1847</v>
      </c>
    </row>
    <row r="94" spans="5:11" ht="15" customHeight="1" x14ac:dyDescent="0.3">
      <c r="E94" s="34">
        <v>45839</v>
      </c>
      <c r="F94" s="35">
        <v>2025</v>
      </c>
      <c r="G94" s="35">
        <v>7</v>
      </c>
      <c r="H94" s="35" t="s">
        <v>1864</v>
      </c>
      <c r="I94" s="35" t="s">
        <v>1846</v>
      </c>
      <c r="J94" s="36" t="b">
        <f>FALSE()</f>
        <v>0</v>
      </c>
      <c r="K94" s="35" t="s">
        <v>1865</v>
      </c>
    </row>
    <row r="95" spans="5:11" ht="23.25" customHeight="1" x14ac:dyDescent="0.3">
      <c r="E95" s="34">
        <v>45840</v>
      </c>
      <c r="F95" s="35">
        <v>2025</v>
      </c>
      <c r="G95" s="35">
        <v>7</v>
      </c>
      <c r="H95" s="35" t="s">
        <v>1864</v>
      </c>
      <c r="I95" s="35" t="s">
        <v>1850</v>
      </c>
      <c r="J95" s="36" t="b">
        <f>FALSE()</f>
        <v>0</v>
      </c>
      <c r="K95" s="35" t="s">
        <v>1865</v>
      </c>
    </row>
    <row r="96" spans="5:11" ht="15" customHeight="1" x14ac:dyDescent="0.3">
      <c r="E96" s="34">
        <v>45841</v>
      </c>
      <c r="F96" s="35">
        <v>2025</v>
      </c>
      <c r="G96" s="35">
        <v>7</v>
      </c>
      <c r="H96" s="35" t="s">
        <v>1864</v>
      </c>
      <c r="I96" s="35" t="s">
        <v>1853</v>
      </c>
      <c r="J96" s="36" t="b">
        <f>FALSE()</f>
        <v>0</v>
      </c>
      <c r="K96" s="35" t="s">
        <v>1865</v>
      </c>
    </row>
    <row r="97" spans="5:11" ht="15" customHeight="1" x14ac:dyDescent="0.3">
      <c r="E97" s="34">
        <v>45842</v>
      </c>
      <c r="F97" s="35">
        <v>2025</v>
      </c>
      <c r="G97" s="35">
        <v>7</v>
      </c>
      <c r="H97" s="35" t="s">
        <v>1864</v>
      </c>
      <c r="I97" s="35" t="s">
        <v>1856</v>
      </c>
      <c r="J97" s="36" t="b">
        <f>FALSE()</f>
        <v>0</v>
      </c>
      <c r="K97" s="35" t="s">
        <v>1865</v>
      </c>
    </row>
    <row r="98" spans="5:11" ht="15" customHeight="1" x14ac:dyDescent="0.3">
      <c r="E98" s="34">
        <v>45843</v>
      </c>
      <c r="F98" s="35">
        <v>2025</v>
      </c>
      <c r="G98" s="35">
        <v>7</v>
      </c>
      <c r="H98" s="35" t="s">
        <v>1864</v>
      </c>
      <c r="I98" s="35" t="s">
        <v>1859</v>
      </c>
      <c r="J98" s="36" t="b">
        <f>TRUE()</f>
        <v>1</v>
      </c>
      <c r="K98" s="35" t="s">
        <v>1865</v>
      </c>
    </row>
    <row r="99" spans="5:11" ht="15" customHeight="1" x14ac:dyDescent="0.3">
      <c r="E99" s="34">
        <v>45844</v>
      </c>
      <c r="F99" s="35">
        <v>2025</v>
      </c>
      <c r="G99" s="35">
        <v>7</v>
      </c>
      <c r="H99" s="35" t="s">
        <v>1864</v>
      </c>
      <c r="I99" s="35" t="s">
        <v>1860</v>
      </c>
      <c r="J99" s="36" t="b">
        <f>TRUE()</f>
        <v>1</v>
      </c>
      <c r="K99" s="35" t="s">
        <v>1865</v>
      </c>
    </row>
    <row r="100" spans="5:11" ht="15" customHeight="1" x14ac:dyDescent="0.3">
      <c r="E100" s="34">
        <v>45845</v>
      </c>
      <c r="F100" s="35">
        <v>2025</v>
      </c>
      <c r="G100" s="35">
        <v>7</v>
      </c>
      <c r="H100" s="35" t="s">
        <v>1864</v>
      </c>
      <c r="I100" s="35" t="s">
        <v>1861</v>
      </c>
      <c r="J100" s="36" t="b">
        <f>FALSE()</f>
        <v>0</v>
      </c>
      <c r="K100" s="35" t="s">
        <v>1865</v>
      </c>
    </row>
    <row r="101" spans="5:11" ht="15" customHeight="1" x14ac:dyDescent="0.3">
      <c r="E101" s="34">
        <v>45846</v>
      </c>
      <c r="F101" s="35">
        <v>2025</v>
      </c>
      <c r="G101" s="35">
        <v>7</v>
      </c>
      <c r="H101" s="35" t="s">
        <v>1864</v>
      </c>
      <c r="I101" s="35" t="s">
        <v>1846</v>
      </c>
      <c r="J101" s="36" t="b">
        <f>FALSE()</f>
        <v>0</v>
      </c>
      <c r="K101" s="35" t="s">
        <v>1865</v>
      </c>
    </row>
    <row r="102" spans="5:11" ht="23.25" customHeight="1" x14ac:dyDescent="0.3">
      <c r="E102" s="34">
        <v>45847</v>
      </c>
      <c r="F102" s="35">
        <v>2025</v>
      </c>
      <c r="G102" s="35">
        <v>7</v>
      </c>
      <c r="H102" s="35" t="s">
        <v>1864</v>
      </c>
      <c r="I102" s="35" t="s">
        <v>1850</v>
      </c>
      <c r="J102" s="36" t="b">
        <f>FALSE()</f>
        <v>0</v>
      </c>
      <c r="K102" s="35" t="s">
        <v>1865</v>
      </c>
    </row>
    <row r="103" spans="5:11" ht="15" customHeight="1" x14ac:dyDescent="0.3">
      <c r="E103" s="34">
        <v>45848</v>
      </c>
      <c r="F103" s="35">
        <v>2025</v>
      </c>
      <c r="G103" s="35">
        <v>7</v>
      </c>
      <c r="H103" s="35" t="s">
        <v>1864</v>
      </c>
      <c r="I103" s="35" t="s">
        <v>1853</v>
      </c>
      <c r="J103" s="36" t="b">
        <f>FALSE()</f>
        <v>0</v>
      </c>
      <c r="K103" s="35" t="s">
        <v>1865</v>
      </c>
    </row>
    <row r="104" spans="5:11" ht="15" customHeight="1" x14ac:dyDescent="0.3">
      <c r="E104" s="34">
        <v>45849</v>
      </c>
      <c r="F104" s="35">
        <v>2025</v>
      </c>
      <c r="G104" s="35">
        <v>7</v>
      </c>
      <c r="H104" s="35" t="s">
        <v>1864</v>
      </c>
      <c r="I104" s="35" t="s">
        <v>1856</v>
      </c>
      <c r="J104" s="36" t="b">
        <f>FALSE()</f>
        <v>0</v>
      </c>
      <c r="K104" s="35" t="s">
        <v>1865</v>
      </c>
    </row>
    <row r="105" spans="5:11" ht="15" customHeight="1" x14ac:dyDescent="0.3">
      <c r="E105" s="34">
        <v>45850</v>
      </c>
      <c r="F105" s="35">
        <v>2025</v>
      </c>
      <c r="G105" s="35">
        <v>7</v>
      </c>
      <c r="H105" s="35" t="s">
        <v>1864</v>
      </c>
      <c r="I105" s="35" t="s">
        <v>1859</v>
      </c>
      <c r="J105" s="36" t="b">
        <f>TRUE()</f>
        <v>1</v>
      </c>
      <c r="K105" s="35" t="s">
        <v>1865</v>
      </c>
    </row>
    <row r="106" spans="5:11" ht="15" customHeight="1" x14ac:dyDescent="0.3">
      <c r="E106" s="34">
        <v>45851</v>
      </c>
      <c r="F106" s="35">
        <v>2025</v>
      </c>
      <c r="G106" s="35">
        <v>7</v>
      </c>
      <c r="H106" s="35" t="s">
        <v>1864</v>
      </c>
      <c r="I106" s="35" t="s">
        <v>1860</v>
      </c>
      <c r="J106" s="36" t="b">
        <f>TRUE()</f>
        <v>1</v>
      </c>
      <c r="K106" s="35" t="s">
        <v>1865</v>
      </c>
    </row>
    <row r="107" spans="5:11" ht="15" customHeight="1" x14ac:dyDescent="0.3">
      <c r="E107" s="34">
        <v>45852</v>
      </c>
      <c r="F107" s="35">
        <v>2025</v>
      </c>
      <c r="G107" s="35">
        <v>7</v>
      </c>
      <c r="H107" s="35" t="s">
        <v>1864</v>
      </c>
      <c r="I107" s="35" t="s">
        <v>1861</v>
      </c>
      <c r="J107" s="36" t="b">
        <f>FALSE()</f>
        <v>0</v>
      </c>
      <c r="K107" s="35" t="s">
        <v>1865</v>
      </c>
    </row>
    <row r="108" spans="5:11" ht="15" customHeight="1" x14ac:dyDescent="0.3">
      <c r="E108" s="34">
        <v>45853</v>
      </c>
      <c r="F108" s="35">
        <v>2025</v>
      </c>
      <c r="G108" s="35">
        <v>7</v>
      </c>
      <c r="H108" s="35" t="s">
        <v>1864</v>
      </c>
      <c r="I108" s="35" t="s">
        <v>1846</v>
      </c>
      <c r="J108" s="36" t="b">
        <f>FALSE()</f>
        <v>0</v>
      </c>
      <c r="K108" s="35" t="s">
        <v>1865</v>
      </c>
    </row>
    <row r="109" spans="5:11" ht="23.25" customHeight="1" x14ac:dyDescent="0.3">
      <c r="E109" s="34">
        <v>45854</v>
      </c>
      <c r="F109" s="35">
        <v>2025</v>
      </c>
      <c r="G109" s="35">
        <v>7</v>
      </c>
      <c r="H109" s="35" t="s">
        <v>1864</v>
      </c>
      <c r="I109" s="35" t="s">
        <v>1850</v>
      </c>
      <c r="J109" s="36" t="b">
        <f>FALSE()</f>
        <v>0</v>
      </c>
      <c r="K109" s="35" t="s">
        <v>1865</v>
      </c>
    </row>
    <row r="110" spans="5:11" ht="15" customHeight="1" x14ac:dyDescent="0.3">
      <c r="E110" s="34">
        <v>45855</v>
      </c>
      <c r="F110" s="35">
        <v>2025</v>
      </c>
      <c r="G110" s="35">
        <v>7</v>
      </c>
      <c r="H110" s="35" t="s">
        <v>1864</v>
      </c>
      <c r="I110" s="35" t="s">
        <v>1853</v>
      </c>
      <c r="J110" s="36" t="b">
        <f>FALSE()</f>
        <v>0</v>
      </c>
      <c r="K110" s="35" t="s">
        <v>1865</v>
      </c>
    </row>
    <row r="111" spans="5:11" ht="15" customHeight="1" x14ac:dyDescent="0.3">
      <c r="E111" s="34">
        <v>45856</v>
      </c>
      <c r="F111" s="35">
        <v>2025</v>
      </c>
      <c r="G111" s="35">
        <v>7</v>
      </c>
      <c r="H111" s="35" t="s">
        <v>1864</v>
      </c>
      <c r="I111" s="35" t="s">
        <v>1856</v>
      </c>
      <c r="J111" s="36" t="b">
        <f>FALSE()</f>
        <v>0</v>
      </c>
      <c r="K111" s="35" t="s">
        <v>1865</v>
      </c>
    </row>
    <row r="112" spans="5:11" ht="15" customHeight="1" x14ac:dyDescent="0.3">
      <c r="E112" s="34">
        <v>45857</v>
      </c>
      <c r="F112" s="35">
        <v>2025</v>
      </c>
      <c r="G112" s="35">
        <v>7</v>
      </c>
      <c r="H112" s="35" t="s">
        <v>1864</v>
      </c>
      <c r="I112" s="35" t="s">
        <v>1859</v>
      </c>
      <c r="J112" s="36" t="b">
        <f>TRUE()</f>
        <v>1</v>
      </c>
      <c r="K112" s="35" t="s">
        <v>1865</v>
      </c>
    </row>
    <row r="113" spans="5:11" ht="15" customHeight="1" x14ac:dyDescent="0.3">
      <c r="E113" s="34">
        <v>45858</v>
      </c>
      <c r="F113" s="35">
        <v>2025</v>
      </c>
      <c r="G113" s="35">
        <v>7</v>
      </c>
      <c r="H113" s="35" t="s">
        <v>1864</v>
      </c>
      <c r="I113" s="35" t="s">
        <v>1860</v>
      </c>
      <c r="J113" s="36" t="b">
        <f>TRUE()</f>
        <v>1</v>
      </c>
      <c r="K113" s="35" t="s">
        <v>1865</v>
      </c>
    </row>
    <row r="114" spans="5:11" ht="15" customHeight="1" x14ac:dyDescent="0.3">
      <c r="E114" s="34">
        <v>45859</v>
      </c>
      <c r="F114" s="35">
        <v>2025</v>
      </c>
      <c r="G114" s="35">
        <v>7</v>
      </c>
      <c r="H114" s="35" t="s">
        <v>1864</v>
      </c>
      <c r="I114" s="35" t="s">
        <v>1861</v>
      </c>
      <c r="J114" s="36" t="b">
        <f>FALSE()</f>
        <v>0</v>
      </c>
      <c r="K114" s="35" t="s">
        <v>1865</v>
      </c>
    </row>
    <row r="115" spans="5:11" ht="15" customHeight="1" x14ac:dyDescent="0.3">
      <c r="E115" s="34">
        <v>45860</v>
      </c>
      <c r="F115" s="35">
        <v>2025</v>
      </c>
      <c r="G115" s="35">
        <v>7</v>
      </c>
      <c r="H115" s="35" t="s">
        <v>1864</v>
      </c>
      <c r="I115" s="35" t="s">
        <v>1846</v>
      </c>
      <c r="J115" s="36" t="b">
        <f>FALSE()</f>
        <v>0</v>
      </c>
      <c r="K115" s="35" t="s">
        <v>1865</v>
      </c>
    </row>
    <row r="116" spans="5:11" ht="23.25" customHeight="1" x14ac:dyDescent="0.3">
      <c r="E116" s="34">
        <v>45861</v>
      </c>
      <c r="F116" s="35">
        <v>2025</v>
      </c>
      <c r="G116" s="35">
        <v>7</v>
      </c>
      <c r="H116" s="35" t="s">
        <v>1864</v>
      </c>
      <c r="I116" s="35" t="s">
        <v>1850</v>
      </c>
      <c r="J116" s="36" t="b">
        <f>FALSE()</f>
        <v>0</v>
      </c>
      <c r="K116" s="35" t="s">
        <v>1865</v>
      </c>
    </row>
    <row r="117" spans="5:11" ht="15" customHeight="1" x14ac:dyDescent="0.3">
      <c r="E117" s="34">
        <v>45862</v>
      </c>
      <c r="F117" s="35">
        <v>2025</v>
      </c>
      <c r="G117" s="35">
        <v>7</v>
      </c>
      <c r="H117" s="35" t="s">
        <v>1864</v>
      </c>
      <c r="I117" s="35" t="s">
        <v>1853</v>
      </c>
      <c r="J117" s="36" t="b">
        <f>FALSE()</f>
        <v>0</v>
      </c>
      <c r="K117" s="35" t="s">
        <v>1865</v>
      </c>
    </row>
    <row r="118" spans="5:11" ht="15" customHeight="1" x14ac:dyDescent="0.3">
      <c r="E118" s="34">
        <v>45863</v>
      </c>
      <c r="F118" s="35">
        <v>2025</v>
      </c>
      <c r="G118" s="35">
        <v>7</v>
      </c>
      <c r="H118" s="35" t="s">
        <v>1864</v>
      </c>
      <c r="I118" s="35" t="s">
        <v>1856</v>
      </c>
      <c r="J118" s="36" t="b">
        <f>FALSE()</f>
        <v>0</v>
      </c>
      <c r="K118" s="35" t="s">
        <v>1865</v>
      </c>
    </row>
    <row r="119" spans="5:11" ht="15" customHeight="1" x14ac:dyDescent="0.3">
      <c r="E119" s="34">
        <v>45864</v>
      </c>
      <c r="F119" s="35">
        <v>2025</v>
      </c>
      <c r="G119" s="35">
        <v>7</v>
      </c>
      <c r="H119" s="35" t="s">
        <v>1864</v>
      </c>
      <c r="I119" s="35" t="s">
        <v>1859</v>
      </c>
      <c r="J119" s="36" t="b">
        <f>TRUE()</f>
        <v>1</v>
      </c>
      <c r="K119" s="35" t="s">
        <v>1865</v>
      </c>
    </row>
    <row r="120" spans="5:11" ht="15" customHeight="1" x14ac:dyDescent="0.3">
      <c r="E120" s="34">
        <v>45865</v>
      </c>
      <c r="F120" s="35">
        <v>2025</v>
      </c>
      <c r="G120" s="35">
        <v>7</v>
      </c>
      <c r="H120" s="35" t="s">
        <v>1864</v>
      </c>
      <c r="I120" s="35" t="s">
        <v>1860</v>
      </c>
      <c r="J120" s="36" t="b">
        <f>TRUE()</f>
        <v>1</v>
      </c>
      <c r="K120" s="35" t="s">
        <v>1865</v>
      </c>
    </row>
    <row r="121" spans="5:11" ht="15" customHeight="1" x14ac:dyDescent="0.3">
      <c r="E121" s="34">
        <v>45866</v>
      </c>
      <c r="F121" s="35">
        <v>2025</v>
      </c>
      <c r="G121" s="35">
        <v>7</v>
      </c>
      <c r="H121" s="35" t="s">
        <v>1864</v>
      </c>
      <c r="I121" s="35" t="s">
        <v>1861</v>
      </c>
      <c r="J121" s="36" t="b">
        <f>FALSE()</f>
        <v>0</v>
      </c>
      <c r="K121" s="35" t="s">
        <v>1865</v>
      </c>
    </row>
    <row r="122" spans="5:11" ht="15" customHeight="1" x14ac:dyDescent="0.3">
      <c r="E122" s="34">
        <v>45867</v>
      </c>
      <c r="F122" s="35">
        <v>2025</v>
      </c>
      <c r="G122" s="35">
        <v>7</v>
      </c>
      <c r="H122" s="35" t="s">
        <v>1864</v>
      </c>
      <c r="I122" s="35" t="s">
        <v>1846</v>
      </c>
      <c r="J122" s="36" t="b">
        <f>FALSE()</f>
        <v>0</v>
      </c>
      <c r="K122" s="35" t="s">
        <v>1865</v>
      </c>
    </row>
    <row r="123" spans="5:11" ht="23.25" customHeight="1" x14ac:dyDescent="0.3">
      <c r="E123" s="34">
        <v>45868</v>
      </c>
      <c r="F123" s="35">
        <v>2025</v>
      </c>
      <c r="G123" s="35">
        <v>7</v>
      </c>
      <c r="H123" s="35" t="s">
        <v>1864</v>
      </c>
      <c r="I123" s="35" t="s">
        <v>1850</v>
      </c>
      <c r="J123" s="36" t="b">
        <f>FALSE()</f>
        <v>0</v>
      </c>
      <c r="K123" s="35" t="s">
        <v>1865</v>
      </c>
    </row>
    <row r="124" spans="5:11" ht="15" customHeight="1" x14ac:dyDescent="0.3">
      <c r="E124" s="34">
        <v>45869</v>
      </c>
      <c r="F124" s="35">
        <v>2025</v>
      </c>
      <c r="G124" s="35">
        <v>7</v>
      </c>
      <c r="H124" s="35" t="s">
        <v>1864</v>
      </c>
      <c r="I124" s="35" t="s">
        <v>1853</v>
      </c>
      <c r="J124" s="36" t="b">
        <f>FALSE()</f>
        <v>0</v>
      </c>
      <c r="K124" s="35" t="s">
        <v>1865</v>
      </c>
    </row>
    <row r="125" spans="5:11" ht="15" customHeight="1" x14ac:dyDescent="0.3">
      <c r="E125" s="34">
        <v>45870</v>
      </c>
      <c r="F125" s="35">
        <v>2025</v>
      </c>
      <c r="G125" s="35">
        <v>8</v>
      </c>
      <c r="H125" s="35" t="s">
        <v>1866</v>
      </c>
      <c r="I125" s="35" t="s">
        <v>1856</v>
      </c>
      <c r="J125" s="36" t="b">
        <f>FALSE()</f>
        <v>0</v>
      </c>
      <c r="K125" s="35" t="s">
        <v>1865</v>
      </c>
    </row>
    <row r="126" spans="5:11" ht="15" customHeight="1" x14ac:dyDescent="0.3">
      <c r="E126" s="34">
        <v>45871</v>
      </c>
      <c r="F126" s="35">
        <v>2025</v>
      </c>
      <c r="G126" s="35">
        <v>8</v>
      </c>
      <c r="H126" s="35" t="s">
        <v>1866</v>
      </c>
      <c r="I126" s="35" t="s">
        <v>1859</v>
      </c>
      <c r="J126" s="36" t="b">
        <f>TRUE()</f>
        <v>1</v>
      </c>
      <c r="K126" s="35" t="s">
        <v>1865</v>
      </c>
    </row>
    <row r="127" spans="5:11" ht="15" customHeight="1" x14ac:dyDescent="0.3">
      <c r="E127" s="34">
        <v>45872</v>
      </c>
      <c r="F127" s="35">
        <v>2025</v>
      </c>
      <c r="G127" s="35">
        <v>8</v>
      </c>
      <c r="H127" s="35" t="s">
        <v>1866</v>
      </c>
      <c r="I127" s="35" t="s">
        <v>1860</v>
      </c>
      <c r="J127" s="36" t="b">
        <f>TRUE()</f>
        <v>1</v>
      </c>
      <c r="K127" s="35" t="s">
        <v>1865</v>
      </c>
    </row>
    <row r="128" spans="5:11" ht="15" customHeight="1" x14ac:dyDescent="0.3">
      <c r="E128" s="34">
        <v>45873</v>
      </c>
      <c r="F128" s="35">
        <v>2025</v>
      </c>
      <c r="G128" s="35">
        <v>8</v>
      </c>
      <c r="H128" s="35" t="s">
        <v>1866</v>
      </c>
      <c r="I128" s="35" t="s">
        <v>1861</v>
      </c>
      <c r="J128" s="36" t="b">
        <f>FALSE()</f>
        <v>0</v>
      </c>
      <c r="K128" s="35" t="s">
        <v>1865</v>
      </c>
    </row>
    <row r="129" spans="5:11" ht="15" customHeight="1" x14ac:dyDescent="0.3">
      <c r="E129" s="34">
        <v>45874</v>
      </c>
      <c r="F129" s="35">
        <v>2025</v>
      </c>
      <c r="G129" s="35">
        <v>8</v>
      </c>
      <c r="H129" s="35" t="s">
        <v>1866</v>
      </c>
      <c r="I129" s="35" t="s">
        <v>1846</v>
      </c>
      <c r="J129" s="36" t="b">
        <f>FALSE()</f>
        <v>0</v>
      </c>
      <c r="K129" s="35" t="s">
        <v>1865</v>
      </c>
    </row>
    <row r="130" spans="5:11" ht="23.25" customHeight="1" x14ac:dyDescent="0.3">
      <c r="E130" s="34">
        <v>45875</v>
      </c>
      <c r="F130" s="35">
        <v>2025</v>
      </c>
      <c r="G130" s="35">
        <v>8</v>
      </c>
      <c r="H130" s="35" t="s">
        <v>1866</v>
      </c>
      <c r="I130" s="35" t="s">
        <v>1850</v>
      </c>
      <c r="J130" s="36" t="b">
        <f>FALSE()</f>
        <v>0</v>
      </c>
      <c r="K130" s="35" t="s">
        <v>1865</v>
      </c>
    </row>
    <row r="131" spans="5:11" ht="15" customHeight="1" x14ac:dyDescent="0.3">
      <c r="E131" s="34">
        <v>45876</v>
      </c>
      <c r="F131" s="35">
        <v>2025</v>
      </c>
      <c r="G131" s="35">
        <v>8</v>
      </c>
      <c r="H131" s="35" t="s">
        <v>1866</v>
      </c>
      <c r="I131" s="35" t="s">
        <v>1853</v>
      </c>
      <c r="J131" s="36" t="b">
        <f>FALSE()</f>
        <v>0</v>
      </c>
      <c r="K131" s="35" t="s">
        <v>1865</v>
      </c>
    </row>
    <row r="132" spans="5:11" ht="15" customHeight="1" x14ac:dyDescent="0.3">
      <c r="E132" s="34">
        <v>45877</v>
      </c>
      <c r="F132" s="35">
        <v>2025</v>
      </c>
      <c r="G132" s="35">
        <v>8</v>
      </c>
      <c r="H132" s="35" t="s">
        <v>1866</v>
      </c>
      <c r="I132" s="35" t="s">
        <v>1856</v>
      </c>
      <c r="J132" s="36" t="b">
        <f>FALSE()</f>
        <v>0</v>
      </c>
      <c r="K132" s="35" t="s">
        <v>1865</v>
      </c>
    </row>
    <row r="133" spans="5:11" ht="15" customHeight="1" x14ac:dyDescent="0.3">
      <c r="E133" s="34">
        <v>45878</v>
      </c>
      <c r="F133" s="35">
        <v>2025</v>
      </c>
      <c r="G133" s="35">
        <v>8</v>
      </c>
      <c r="H133" s="35" t="s">
        <v>1866</v>
      </c>
      <c r="I133" s="35" t="s">
        <v>1859</v>
      </c>
      <c r="J133" s="36" t="b">
        <f>TRUE()</f>
        <v>1</v>
      </c>
      <c r="K133" s="35" t="s">
        <v>1865</v>
      </c>
    </row>
    <row r="134" spans="5:11" ht="15" customHeight="1" x14ac:dyDescent="0.3">
      <c r="E134" s="34">
        <v>45879</v>
      </c>
      <c r="F134" s="35">
        <v>2025</v>
      </c>
      <c r="G134" s="35">
        <v>8</v>
      </c>
      <c r="H134" s="35" t="s">
        <v>1866</v>
      </c>
      <c r="I134" s="35" t="s">
        <v>1860</v>
      </c>
      <c r="J134" s="36" t="b">
        <f>TRUE()</f>
        <v>1</v>
      </c>
      <c r="K134" s="35" t="s">
        <v>1865</v>
      </c>
    </row>
    <row r="135" spans="5:11" ht="15" customHeight="1" x14ac:dyDescent="0.3">
      <c r="E135" s="34">
        <v>45880</v>
      </c>
      <c r="F135" s="35">
        <v>2025</v>
      </c>
      <c r="G135" s="35">
        <v>8</v>
      </c>
      <c r="H135" s="35" t="s">
        <v>1866</v>
      </c>
      <c r="I135" s="35" t="s">
        <v>1861</v>
      </c>
      <c r="J135" s="36" t="b">
        <f>FALSE()</f>
        <v>0</v>
      </c>
      <c r="K135" s="35" t="s">
        <v>1865</v>
      </c>
    </row>
    <row r="136" spans="5:11" ht="15" customHeight="1" x14ac:dyDescent="0.3">
      <c r="E136" s="34">
        <v>45881</v>
      </c>
      <c r="F136" s="35">
        <v>2025</v>
      </c>
      <c r="G136" s="35">
        <v>8</v>
      </c>
      <c r="H136" s="35" t="s">
        <v>1866</v>
      </c>
      <c r="I136" s="35" t="s">
        <v>1846</v>
      </c>
      <c r="J136" s="36" t="b">
        <f>FALSE()</f>
        <v>0</v>
      </c>
      <c r="K136" s="35" t="s">
        <v>1865</v>
      </c>
    </row>
    <row r="137" spans="5:11" ht="23.25" customHeight="1" x14ac:dyDescent="0.3">
      <c r="E137" s="34">
        <v>45882</v>
      </c>
      <c r="F137" s="35">
        <v>2025</v>
      </c>
      <c r="G137" s="35">
        <v>8</v>
      </c>
      <c r="H137" s="35" t="s">
        <v>1866</v>
      </c>
      <c r="I137" s="35" t="s">
        <v>1850</v>
      </c>
      <c r="J137" s="36" t="b">
        <f>FALSE()</f>
        <v>0</v>
      </c>
      <c r="K137" s="35" t="s">
        <v>1865</v>
      </c>
    </row>
    <row r="138" spans="5:11" ht="15" customHeight="1" x14ac:dyDescent="0.3">
      <c r="E138" s="34">
        <v>45883</v>
      </c>
      <c r="F138" s="35">
        <v>2025</v>
      </c>
      <c r="G138" s="35">
        <v>8</v>
      </c>
      <c r="H138" s="35" t="s">
        <v>1866</v>
      </c>
      <c r="I138" s="35" t="s">
        <v>1853</v>
      </c>
      <c r="J138" s="36" t="b">
        <f>FALSE()</f>
        <v>0</v>
      </c>
      <c r="K138" s="35" t="s">
        <v>1865</v>
      </c>
    </row>
    <row r="139" spans="5:11" ht="15" customHeight="1" x14ac:dyDescent="0.3">
      <c r="E139" s="34">
        <v>45884</v>
      </c>
      <c r="F139" s="35">
        <v>2025</v>
      </c>
      <c r="G139" s="35">
        <v>8</v>
      </c>
      <c r="H139" s="35" t="s">
        <v>1866</v>
      </c>
      <c r="I139" s="35" t="s">
        <v>1856</v>
      </c>
      <c r="J139" s="36" t="b">
        <f>FALSE()</f>
        <v>0</v>
      </c>
      <c r="K139" s="35" t="s">
        <v>1865</v>
      </c>
    </row>
    <row r="140" spans="5:11" ht="15" customHeight="1" x14ac:dyDescent="0.3">
      <c r="E140" s="34">
        <v>45885</v>
      </c>
      <c r="F140" s="35">
        <v>2025</v>
      </c>
      <c r="G140" s="35">
        <v>8</v>
      </c>
      <c r="H140" s="35" t="s">
        <v>1866</v>
      </c>
      <c r="I140" s="35" t="s">
        <v>1859</v>
      </c>
      <c r="J140" s="36" t="b">
        <f>TRUE()</f>
        <v>1</v>
      </c>
      <c r="K140" s="35" t="s">
        <v>1865</v>
      </c>
    </row>
    <row r="141" spans="5:11" ht="15" customHeight="1" x14ac:dyDescent="0.3">
      <c r="E141" s="34">
        <v>45886</v>
      </c>
      <c r="F141" s="35">
        <v>2025</v>
      </c>
      <c r="G141" s="35">
        <v>8</v>
      </c>
      <c r="H141" s="35" t="s">
        <v>1866</v>
      </c>
      <c r="I141" s="35" t="s">
        <v>1860</v>
      </c>
      <c r="J141" s="36" t="b">
        <f>TRUE()</f>
        <v>1</v>
      </c>
      <c r="K141" s="35" t="s">
        <v>1865</v>
      </c>
    </row>
    <row r="142" spans="5:11" ht="15" customHeight="1" x14ac:dyDescent="0.3">
      <c r="E142" s="34">
        <v>45887</v>
      </c>
      <c r="F142" s="35">
        <v>2025</v>
      </c>
      <c r="G142" s="35">
        <v>8</v>
      </c>
      <c r="H142" s="35" t="s">
        <v>1866</v>
      </c>
      <c r="I142" s="35" t="s">
        <v>1861</v>
      </c>
      <c r="J142" s="36" t="b">
        <f>FALSE()</f>
        <v>0</v>
      </c>
      <c r="K142" s="35" t="s">
        <v>1865</v>
      </c>
    </row>
    <row r="143" spans="5:11" ht="15" customHeight="1" x14ac:dyDescent="0.3">
      <c r="E143" s="34">
        <v>45888</v>
      </c>
      <c r="F143" s="35">
        <v>2025</v>
      </c>
      <c r="G143" s="35">
        <v>8</v>
      </c>
      <c r="H143" s="35" t="s">
        <v>1866</v>
      </c>
      <c r="I143" s="35" t="s">
        <v>1846</v>
      </c>
      <c r="J143" s="36" t="b">
        <f>FALSE()</f>
        <v>0</v>
      </c>
      <c r="K143" s="35" t="s">
        <v>1865</v>
      </c>
    </row>
    <row r="144" spans="5:11" ht="23.25" customHeight="1" x14ac:dyDescent="0.3">
      <c r="E144" s="34">
        <v>45889</v>
      </c>
      <c r="F144" s="35">
        <v>2025</v>
      </c>
      <c r="G144" s="35">
        <v>8</v>
      </c>
      <c r="H144" s="35" t="s">
        <v>1866</v>
      </c>
      <c r="I144" s="35" t="s">
        <v>1850</v>
      </c>
      <c r="J144" s="36" t="b">
        <f>FALSE()</f>
        <v>0</v>
      </c>
      <c r="K144" s="35" t="s">
        <v>1865</v>
      </c>
    </row>
    <row r="145" spans="5:11" ht="15" customHeight="1" x14ac:dyDescent="0.3">
      <c r="E145" s="34">
        <v>45890</v>
      </c>
      <c r="F145" s="35">
        <v>2025</v>
      </c>
      <c r="G145" s="35">
        <v>8</v>
      </c>
      <c r="H145" s="35" t="s">
        <v>1866</v>
      </c>
      <c r="I145" s="35" t="s">
        <v>1853</v>
      </c>
      <c r="J145" s="36" t="b">
        <f>FALSE()</f>
        <v>0</v>
      </c>
      <c r="K145" s="35" t="s">
        <v>1865</v>
      </c>
    </row>
    <row r="146" spans="5:11" ht="15" customHeight="1" x14ac:dyDescent="0.3">
      <c r="E146" s="34">
        <v>45891</v>
      </c>
      <c r="F146" s="35">
        <v>2025</v>
      </c>
      <c r="G146" s="35">
        <v>8</v>
      </c>
      <c r="H146" s="35" t="s">
        <v>1866</v>
      </c>
      <c r="I146" s="35" t="s">
        <v>1856</v>
      </c>
      <c r="J146" s="36" t="b">
        <f>FALSE()</f>
        <v>0</v>
      </c>
      <c r="K146" s="35" t="s">
        <v>1865</v>
      </c>
    </row>
    <row r="147" spans="5:11" ht="15" customHeight="1" x14ac:dyDescent="0.3">
      <c r="E147" s="34">
        <v>45892</v>
      </c>
      <c r="F147" s="35">
        <v>2025</v>
      </c>
      <c r="G147" s="35">
        <v>8</v>
      </c>
      <c r="H147" s="35" t="s">
        <v>1866</v>
      </c>
      <c r="I147" s="35" t="s">
        <v>1859</v>
      </c>
      <c r="J147" s="36" t="b">
        <f>TRUE()</f>
        <v>1</v>
      </c>
      <c r="K147" s="35" t="s">
        <v>1865</v>
      </c>
    </row>
    <row r="148" spans="5:11" ht="15" customHeight="1" x14ac:dyDescent="0.3">
      <c r="E148" s="34">
        <v>45893</v>
      </c>
      <c r="F148" s="35">
        <v>2025</v>
      </c>
      <c r="G148" s="35">
        <v>8</v>
      </c>
      <c r="H148" s="35" t="s">
        <v>1866</v>
      </c>
      <c r="I148" s="35" t="s">
        <v>1860</v>
      </c>
      <c r="J148" s="36" t="b">
        <f>TRUE()</f>
        <v>1</v>
      </c>
      <c r="K148" s="35" t="s">
        <v>1865</v>
      </c>
    </row>
    <row r="149" spans="5:11" ht="15" customHeight="1" x14ac:dyDescent="0.3">
      <c r="E149" s="34">
        <v>45894</v>
      </c>
      <c r="F149" s="35">
        <v>2025</v>
      </c>
      <c r="G149" s="35">
        <v>8</v>
      </c>
      <c r="H149" s="35" t="s">
        <v>1866</v>
      </c>
      <c r="I149" s="35" t="s">
        <v>1861</v>
      </c>
      <c r="J149" s="36" t="b">
        <f>FALSE()</f>
        <v>0</v>
      </c>
      <c r="K149" s="35" t="s">
        <v>1865</v>
      </c>
    </row>
    <row r="150" spans="5:11" ht="15" customHeight="1" x14ac:dyDescent="0.3">
      <c r="E150" s="34">
        <v>45895</v>
      </c>
      <c r="F150" s="35">
        <v>2025</v>
      </c>
      <c r="G150" s="35">
        <v>8</v>
      </c>
      <c r="H150" s="35" t="s">
        <v>1866</v>
      </c>
      <c r="I150" s="35" t="s">
        <v>1846</v>
      </c>
      <c r="J150" s="36" t="b">
        <f>FALSE()</f>
        <v>0</v>
      </c>
      <c r="K150" s="35" t="s">
        <v>1865</v>
      </c>
    </row>
    <row r="151" spans="5:11" ht="23.25" customHeight="1" x14ac:dyDescent="0.3">
      <c r="E151" s="34">
        <v>45896</v>
      </c>
      <c r="F151" s="35">
        <v>2025</v>
      </c>
      <c r="G151" s="35">
        <v>8</v>
      </c>
      <c r="H151" s="35" t="s">
        <v>1866</v>
      </c>
      <c r="I151" s="35" t="s">
        <v>1850</v>
      </c>
      <c r="J151" s="36" t="b">
        <f>FALSE()</f>
        <v>0</v>
      </c>
      <c r="K151" s="35" t="s">
        <v>1865</v>
      </c>
    </row>
    <row r="152" spans="5:11" ht="15" customHeight="1" x14ac:dyDescent="0.3">
      <c r="E152" s="34">
        <v>45897</v>
      </c>
      <c r="F152" s="35">
        <v>2025</v>
      </c>
      <c r="G152" s="35">
        <v>8</v>
      </c>
      <c r="H152" s="35" t="s">
        <v>1866</v>
      </c>
      <c r="I152" s="35" t="s">
        <v>1853</v>
      </c>
      <c r="J152" s="36" t="b">
        <f>FALSE()</f>
        <v>0</v>
      </c>
      <c r="K152" s="35" t="s">
        <v>1865</v>
      </c>
    </row>
    <row r="153" spans="5:11" ht="15" customHeight="1" x14ac:dyDescent="0.3">
      <c r="E153" s="34">
        <v>45898</v>
      </c>
      <c r="F153" s="35">
        <v>2025</v>
      </c>
      <c r="G153" s="35">
        <v>8</v>
      </c>
      <c r="H153" s="35" t="s">
        <v>1866</v>
      </c>
      <c r="I153" s="35" t="s">
        <v>1856</v>
      </c>
      <c r="J153" s="36" t="b">
        <f>FALSE()</f>
        <v>0</v>
      </c>
      <c r="K153" s="35" t="s">
        <v>1865</v>
      </c>
    </row>
    <row r="154" spans="5:11" ht="15" customHeight="1" x14ac:dyDescent="0.3">
      <c r="E154" s="34">
        <v>45899</v>
      </c>
      <c r="F154" s="35">
        <v>2025</v>
      </c>
      <c r="G154" s="35">
        <v>8</v>
      </c>
      <c r="H154" s="35" t="s">
        <v>1866</v>
      </c>
      <c r="I154" s="35" t="s">
        <v>1859</v>
      </c>
      <c r="J154" s="36" t="b">
        <f>TRUE()</f>
        <v>1</v>
      </c>
      <c r="K154" s="35" t="s">
        <v>1865</v>
      </c>
    </row>
    <row r="155" spans="5:11" ht="15" customHeight="1" x14ac:dyDescent="0.3">
      <c r="E155" s="34">
        <v>45900</v>
      </c>
      <c r="F155" s="35">
        <v>2025</v>
      </c>
      <c r="G155" s="35">
        <v>8</v>
      </c>
      <c r="H155" s="35" t="s">
        <v>1866</v>
      </c>
      <c r="I155" s="35" t="s">
        <v>1860</v>
      </c>
      <c r="J155" s="36" t="b">
        <f>TRUE()</f>
        <v>1</v>
      </c>
      <c r="K155" s="35" t="s">
        <v>1865</v>
      </c>
    </row>
    <row r="156" spans="5:11" ht="15" customHeight="1" x14ac:dyDescent="0.3">
      <c r="E156" s="34">
        <v>45901</v>
      </c>
      <c r="F156" s="35">
        <v>2025</v>
      </c>
      <c r="G156" s="35">
        <v>9</v>
      </c>
      <c r="H156" s="35" t="s">
        <v>1867</v>
      </c>
      <c r="I156" s="35" t="s">
        <v>1861</v>
      </c>
      <c r="J156" s="36" t="b">
        <f>FALSE()</f>
        <v>0</v>
      </c>
      <c r="K156" s="35" t="s">
        <v>1865</v>
      </c>
    </row>
    <row r="157" spans="5:11" ht="15" customHeight="1" x14ac:dyDescent="0.3">
      <c r="E157" s="34">
        <v>45902</v>
      </c>
      <c r="F157" s="35">
        <v>2025</v>
      </c>
      <c r="G157" s="35">
        <v>9</v>
      </c>
      <c r="H157" s="35" t="s">
        <v>1867</v>
      </c>
      <c r="I157" s="35" t="s">
        <v>1846</v>
      </c>
      <c r="J157" s="36" t="b">
        <f>FALSE()</f>
        <v>0</v>
      </c>
      <c r="K157" s="35" t="s">
        <v>1865</v>
      </c>
    </row>
    <row r="158" spans="5:11" ht="23.25" customHeight="1" x14ac:dyDescent="0.3">
      <c r="E158" s="34">
        <v>45903</v>
      </c>
      <c r="F158" s="35">
        <v>2025</v>
      </c>
      <c r="G158" s="35">
        <v>9</v>
      </c>
      <c r="H158" s="35" t="s">
        <v>1867</v>
      </c>
      <c r="I158" s="35" t="s">
        <v>1850</v>
      </c>
      <c r="J158" s="36" t="b">
        <f>FALSE()</f>
        <v>0</v>
      </c>
      <c r="K158" s="35" t="s">
        <v>1865</v>
      </c>
    </row>
    <row r="159" spans="5:11" ht="15" customHeight="1" x14ac:dyDescent="0.3">
      <c r="E159" s="34">
        <v>45904</v>
      </c>
      <c r="F159" s="35">
        <v>2025</v>
      </c>
      <c r="G159" s="35">
        <v>9</v>
      </c>
      <c r="H159" s="35" t="s">
        <v>1867</v>
      </c>
      <c r="I159" s="35" t="s">
        <v>1853</v>
      </c>
      <c r="J159" s="36" t="b">
        <f>FALSE()</f>
        <v>0</v>
      </c>
      <c r="K159" s="35" t="s">
        <v>1865</v>
      </c>
    </row>
    <row r="160" spans="5:11" ht="15" customHeight="1" x14ac:dyDescent="0.3">
      <c r="E160" s="34">
        <v>45905</v>
      </c>
      <c r="F160" s="35">
        <v>2025</v>
      </c>
      <c r="G160" s="35">
        <v>9</v>
      </c>
      <c r="H160" s="35" t="s">
        <v>1867</v>
      </c>
      <c r="I160" s="35" t="s">
        <v>1856</v>
      </c>
      <c r="J160" s="36" t="b">
        <f>FALSE()</f>
        <v>0</v>
      </c>
      <c r="K160" s="35" t="s">
        <v>1865</v>
      </c>
    </row>
    <row r="161" spans="5:11" ht="15" customHeight="1" x14ac:dyDescent="0.3">
      <c r="E161" s="34">
        <v>45906</v>
      </c>
      <c r="F161" s="35">
        <v>2025</v>
      </c>
      <c r="G161" s="35">
        <v>9</v>
      </c>
      <c r="H161" s="35" t="s">
        <v>1867</v>
      </c>
      <c r="I161" s="35" t="s">
        <v>1859</v>
      </c>
      <c r="J161" s="36" t="b">
        <f>TRUE()</f>
        <v>1</v>
      </c>
      <c r="K161" s="35" t="s">
        <v>1865</v>
      </c>
    </row>
    <row r="162" spans="5:11" ht="15" customHeight="1" x14ac:dyDescent="0.3">
      <c r="E162" s="34">
        <v>45907</v>
      </c>
      <c r="F162" s="35">
        <v>2025</v>
      </c>
      <c r="G162" s="35">
        <v>9</v>
      </c>
      <c r="H162" s="35" t="s">
        <v>1867</v>
      </c>
      <c r="I162" s="35" t="s">
        <v>1860</v>
      </c>
      <c r="J162" s="36" t="b">
        <f>TRUE()</f>
        <v>1</v>
      </c>
      <c r="K162" s="35" t="s">
        <v>1865</v>
      </c>
    </row>
    <row r="163" spans="5:11" ht="15" customHeight="1" x14ac:dyDescent="0.3">
      <c r="E163" s="34">
        <v>45908</v>
      </c>
      <c r="F163" s="35">
        <v>2025</v>
      </c>
      <c r="G163" s="35">
        <v>9</v>
      </c>
      <c r="H163" s="35" t="s">
        <v>1867</v>
      </c>
      <c r="I163" s="35" t="s">
        <v>1861</v>
      </c>
      <c r="J163" s="36" t="b">
        <f>FALSE()</f>
        <v>0</v>
      </c>
      <c r="K163" s="35" t="s">
        <v>1865</v>
      </c>
    </row>
    <row r="164" spans="5:11" ht="15" customHeight="1" x14ac:dyDescent="0.3">
      <c r="E164" s="34">
        <v>45909</v>
      </c>
      <c r="F164" s="35">
        <v>2025</v>
      </c>
      <c r="G164" s="35">
        <v>9</v>
      </c>
      <c r="H164" s="35" t="s">
        <v>1867</v>
      </c>
      <c r="I164" s="35" t="s">
        <v>1846</v>
      </c>
      <c r="J164" s="36" t="b">
        <f>FALSE()</f>
        <v>0</v>
      </c>
      <c r="K164" s="35" t="s">
        <v>1865</v>
      </c>
    </row>
    <row r="165" spans="5:11" ht="23.25" customHeight="1" x14ac:dyDescent="0.3">
      <c r="E165" s="34">
        <v>45910</v>
      </c>
      <c r="F165" s="35">
        <v>2025</v>
      </c>
      <c r="G165" s="35">
        <v>9</v>
      </c>
      <c r="H165" s="35" t="s">
        <v>1867</v>
      </c>
      <c r="I165" s="35" t="s">
        <v>1850</v>
      </c>
      <c r="J165" s="36" t="b">
        <f>FALSE()</f>
        <v>0</v>
      </c>
      <c r="K165" s="35" t="s">
        <v>1865</v>
      </c>
    </row>
    <row r="166" spans="5:11" ht="15" customHeight="1" x14ac:dyDescent="0.3">
      <c r="E166" s="34">
        <v>45911</v>
      </c>
      <c r="F166" s="35">
        <v>2025</v>
      </c>
      <c r="G166" s="35">
        <v>9</v>
      </c>
      <c r="H166" s="35" t="s">
        <v>1867</v>
      </c>
      <c r="I166" s="35" t="s">
        <v>1853</v>
      </c>
      <c r="J166" s="36" t="b">
        <f>FALSE()</f>
        <v>0</v>
      </c>
      <c r="K166" s="35" t="s">
        <v>1865</v>
      </c>
    </row>
    <row r="167" spans="5:11" ht="15" customHeight="1" x14ac:dyDescent="0.3">
      <c r="E167" s="34">
        <v>45912</v>
      </c>
      <c r="F167" s="35">
        <v>2025</v>
      </c>
      <c r="G167" s="35">
        <v>9</v>
      </c>
      <c r="H167" s="35" t="s">
        <v>1867</v>
      </c>
      <c r="I167" s="35" t="s">
        <v>1856</v>
      </c>
      <c r="J167" s="36" t="b">
        <f>FALSE()</f>
        <v>0</v>
      </c>
      <c r="K167" s="35" t="s">
        <v>1865</v>
      </c>
    </row>
    <row r="168" spans="5:11" ht="15" customHeight="1" x14ac:dyDescent="0.3">
      <c r="E168" s="34">
        <v>45913</v>
      </c>
      <c r="F168" s="35">
        <v>2025</v>
      </c>
      <c r="G168" s="35">
        <v>9</v>
      </c>
      <c r="H168" s="35" t="s">
        <v>1867</v>
      </c>
      <c r="I168" s="35" t="s">
        <v>1859</v>
      </c>
      <c r="J168" s="36" t="b">
        <f>TRUE()</f>
        <v>1</v>
      </c>
      <c r="K168" s="35" t="s">
        <v>1865</v>
      </c>
    </row>
    <row r="169" spans="5:11" ht="15" customHeight="1" x14ac:dyDescent="0.3">
      <c r="E169" s="34">
        <v>45914</v>
      </c>
      <c r="F169" s="35">
        <v>2025</v>
      </c>
      <c r="G169" s="35">
        <v>9</v>
      </c>
      <c r="H169" s="35" t="s">
        <v>1867</v>
      </c>
      <c r="I169" s="35" t="s">
        <v>1860</v>
      </c>
      <c r="J169" s="36" t="b">
        <f>TRUE()</f>
        <v>1</v>
      </c>
      <c r="K169" s="35" t="s">
        <v>1865</v>
      </c>
    </row>
    <row r="170" spans="5:11" ht="15" customHeight="1" x14ac:dyDescent="0.3">
      <c r="E170" s="34">
        <v>45915</v>
      </c>
      <c r="F170" s="35">
        <v>2025</v>
      </c>
      <c r="G170" s="35">
        <v>9</v>
      </c>
      <c r="H170" s="35" t="s">
        <v>1867</v>
      </c>
      <c r="I170" s="35" t="s">
        <v>1861</v>
      </c>
      <c r="J170" s="36" t="b">
        <f>FALSE()</f>
        <v>0</v>
      </c>
      <c r="K170" s="35" t="s">
        <v>1865</v>
      </c>
    </row>
    <row r="171" spans="5:11" ht="15" customHeight="1" x14ac:dyDescent="0.3">
      <c r="E171" s="34">
        <v>45916</v>
      </c>
      <c r="F171" s="35">
        <v>2025</v>
      </c>
      <c r="G171" s="35">
        <v>9</v>
      </c>
      <c r="H171" s="35" t="s">
        <v>1867</v>
      </c>
      <c r="I171" s="35" t="s">
        <v>1846</v>
      </c>
      <c r="J171" s="36" t="b">
        <f>FALSE()</f>
        <v>0</v>
      </c>
      <c r="K171" s="35" t="s">
        <v>1865</v>
      </c>
    </row>
    <row r="172" spans="5:11" ht="23.25" customHeight="1" x14ac:dyDescent="0.3">
      <c r="E172" s="34">
        <v>45917</v>
      </c>
      <c r="F172" s="35">
        <v>2025</v>
      </c>
      <c r="G172" s="35">
        <v>9</v>
      </c>
      <c r="H172" s="35" t="s">
        <v>1867</v>
      </c>
      <c r="I172" s="35" t="s">
        <v>1850</v>
      </c>
      <c r="J172" s="36" t="b">
        <f>FALSE()</f>
        <v>0</v>
      </c>
      <c r="K172" s="35" t="s">
        <v>1865</v>
      </c>
    </row>
    <row r="173" spans="5:11" ht="15" customHeight="1" x14ac:dyDescent="0.3">
      <c r="E173" s="34">
        <v>45918</v>
      </c>
      <c r="F173" s="35">
        <v>2025</v>
      </c>
      <c r="G173" s="35">
        <v>9</v>
      </c>
      <c r="H173" s="35" t="s">
        <v>1867</v>
      </c>
      <c r="I173" s="35" t="s">
        <v>1853</v>
      </c>
      <c r="J173" s="36" t="b">
        <f>FALSE()</f>
        <v>0</v>
      </c>
      <c r="K173" s="35" t="s">
        <v>1865</v>
      </c>
    </row>
    <row r="174" spans="5:11" ht="15" customHeight="1" x14ac:dyDescent="0.3">
      <c r="E174" s="34">
        <v>45919</v>
      </c>
      <c r="F174" s="35">
        <v>2025</v>
      </c>
      <c r="G174" s="35">
        <v>9</v>
      </c>
      <c r="H174" s="35" t="s">
        <v>1867</v>
      </c>
      <c r="I174" s="35" t="s">
        <v>1856</v>
      </c>
      <c r="J174" s="36" t="b">
        <f>FALSE()</f>
        <v>0</v>
      </c>
      <c r="K174" s="35" t="s">
        <v>1865</v>
      </c>
    </row>
    <row r="175" spans="5:11" ht="15" customHeight="1" x14ac:dyDescent="0.3">
      <c r="E175" s="34">
        <v>45920</v>
      </c>
      <c r="F175" s="35">
        <v>2025</v>
      </c>
      <c r="G175" s="35">
        <v>9</v>
      </c>
      <c r="H175" s="35" t="s">
        <v>1867</v>
      </c>
      <c r="I175" s="35" t="s">
        <v>1859</v>
      </c>
      <c r="J175" s="36" t="b">
        <f>TRUE()</f>
        <v>1</v>
      </c>
      <c r="K175" s="35" t="s">
        <v>1865</v>
      </c>
    </row>
    <row r="176" spans="5:11" ht="15" customHeight="1" x14ac:dyDescent="0.3">
      <c r="E176" s="34">
        <v>45921</v>
      </c>
      <c r="F176" s="35">
        <v>2025</v>
      </c>
      <c r="G176" s="35">
        <v>9</v>
      </c>
      <c r="H176" s="35" t="s">
        <v>1867</v>
      </c>
      <c r="I176" s="35" t="s">
        <v>1860</v>
      </c>
      <c r="J176" s="36" t="b">
        <f>TRUE()</f>
        <v>1</v>
      </c>
      <c r="K176" s="35" t="s">
        <v>1865</v>
      </c>
    </row>
    <row r="177" spans="5:11" ht="15" customHeight="1" x14ac:dyDescent="0.3">
      <c r="E177" s="34">
        <v>45922</v>
      </c>
      <c r="F177" s="35">
        <v>2025</v>
      </c>
      <c r="G177" s="35">
        <v>9</v>
      </c>
      <c r="H177" s="35" t="s">
        <v>1867</v>
      </c>
      <c r="I177" s="35" t="s">
        <v>1861</v>
      </c>
      <c r="J177" s="36" t="b">
        <f>FALSE()</f>
        <v>0</v>
      </c>
      <c r="K177" s="35" t="s">
        <v>1865</v>
      </c>
    </row>
    <row r="178" spans="5:11" ht="15" customHeight="1" x14ac:dyDescent="0.3">
      <c r="E178" s="34">
        <v>45923</v>
      </c>
      <c r="F178" s="35">
        <v>2025</v>
      </c>
      <c r="G178" s="35">
        <v>9</v>
      </c>
      <c r="H178" s="35" t="s">
        <v>1867</v>
      </c>
      <c r="I178" s="35" t="s">
        <v>1846</v>
      </c>
      <c r="J178" s="36" t="b">
        <f>FALSE()</f>
        <v>0</v>
      </c>
      <c r="K178" s="35" t="s">
        <v>1865</v>
      </c>
    </row>
    <row r="179" spans="5:11" ht="23.25" customHeight="1" x14ac:dyDescent="0.3">
      <c r="E179" s="34">
        <v>45924</v>
      </c>
      <c r="F179" s="35">
        <v>2025</v>
      </c>
      <c r="G179" s="35">
        <v>9</v>
      </c>
      <c r="H179" s="35" t="s">
        <v>1867</v>
      </c>
      <c r="I179" s="35" t="s">
        <v>1850</v>
      </c>
      <c r="J179" s="36" t="b">
        <f>FALSE()</f>
        <v>0</v>
      </c>
      <c r="K179" s="35" t="s">
        <v>1865</v>
      </c>
    </row>
    <row r="180" spans="5:11" ht="15" customHeight="1" x14ac:dyDescent="0.3">
      <c r="E180" s="34">
        <v>45925</v>
      </c>
      <c r="F180" s="35">
        <v>2025</v>
      </c>
      <c r="G180" s="35">
        <v>9</v>
      </c>
      <c r="H180" s="35" t="s">
        <v>1867</v>
      </c>
      <c r="I180" s="35" t="s">
        <v>1853</v>
      </c>
      <c r="J180" s="36" t="b">
        <f>FALSE()</f>
        <v>0</v>
      </c>
      <c r="K180" s="35" t="s">
        <v>1865</v>
      </c>
    </row>
    <row r="181" spans="5:11" ht="15" customHeight="1" x14ac:dyDescent="0.3">
      <c r="E181" s="34">
        <v>45926</v>
      </c>
      <c r="F181" s="35">
        <v>2025</v>
      </c>
      <c r="G181" s="35">
        <v>9</v>
      </c>
      <c r="H181" s="35" t="s">
        <v>1867</v>
      </c>
      <c r="I181" s="35" t="s">
        <v>1856</v>
      </c>
      <c r="J181" s="36" t="b">
        <f>FALSE()</f>
        <v>0</v>
      </c>
      <c r="K181" s="35" t="s">
        <v>1865</v>
      </c>
    </row>
    <row r="182" spans="5:11" ht="15" customHeight="1" x14ac:dyDescent="0.3">
      <c r="E182" s="34">
        <v>45927</v>
      </c>
      <c r="F182" s="35">
        <v>2025</v>
      </c>
      <c r="G182" s="35">
        <v>9</v>
      </c>
      <c r="H182" s="35" t="s">
        <v>1867</v>
      </c>
      <c r="I182" s="35" t="s">
        <v>1859</v>
      </c>
      <c r="J182" s="36" t="b">
        <f>TRUE()</f>
        <v>1</v>
      </c>
      <c r="K182" s="35" t="s">
        <v>1865</v>
      </c>
    </row>
    <row r="183" spans="5:11" ht="15" customHeight="1" x14ac:dyDescent="0.3">
      <c r="E183" s="34">
        <v>45928</v>
      </c>
      <c r="F183" s="35">
        <v>2025</v>
      </c>
      <c r="G183" s="35">
        <v>9</v>
      </c>
      <c r="H183" s="35" t="s">
        <v>1867</v>
      </c>
      <c r="I183" s="35" t="s">
        <v>1860</v>
      </c>
      <c r="J183" s="36" t="b">
        <f>TRUE()</f>
        <v>1</v>
      </c>
      <c r="K183" s="35" t="s">
        <v>1865</v>
      </c>
    </row>
    <row r="184" spans="5:11" ht="15" customHeight="1" x14ac:dyDescent="0.3">
      <c r="E184" s="34">
        <v>45929</v>
      </c>
      <c r="F184" s="35">
        <v>2025</v>
      </c>
      <c r="G184" s="35">
        <v>9</v>
      </c>
      <c r="H184" s="35" t="s">
        <v>1867</v>
      </c>
      <c r="I184" s="35" t="s">
        <v>1861</v>
      </c>
      <c r="J184" s="36" t="b">
        <f>FALSE()</f>
        <v>0</v>
      </c>
      <c r="K184" s="35" t="s">
        <v>1865</v>
      </c>
    </row>
    <row r="185" spans="5:11" ht="15" customHeight="1" x14ac:dyDescent="0.3">
      <c r="E185" s="34">
        <v>45930</v>
      </c>
      <c r="F185" s="35">
        <v>2025</v>
      </c>
      <c r="G185" s="35">
        <v>9</v>
      </c>
      <c r="H185" s="35" t="s">
        <v>1867</v>
      </c>
      <c r="I185" s="35" t="s">
        <v>1846</v>
      </c>
      <c r="J185" s="36" t="b">
        <f>FALSE()</f>
        <v>0</v>
      </c>
      <c r="K185" s="35" t="s">
        <v>1865</v>
      </c>
    </row>
    <row r="186" spans="5:11" ht="23.25" customHeight="1" x14ac:dyDescent="0.3">
      <c r="E186" s="34">
        <v>45931</v>
      </c>
      <c r="F186" s="35">
        <v>2025</v>
      </c>
      <c r="G186" s="35">
        <v>10</v>
      </c>
      <c r="H186" s="35" t="s">
        <v>1868</v>
      </c>
      <c r="I186" s="35" t="s">
        <v>1850</v>
      </c>
      <c r="J186" s="36" t="b">
        <f>FALSE()</f>
        <v>0</v>
      </c>
      <c r="K186" s="35" t="s">
        <v>1869</v>
      </c>
    </row>
    <row r="187" spans="5:11" ht="15" customHeight="1" x14ac:dyDescent="0.3">
      <c r="E187" s="34">
        <v>45932</v>
      </c>
      <c r="F187" s="35">
        <v>2025</v>
      </c>
      <c r="G187" s="35">
        <v>10</v>
      </c>
      <c r="H187" s="35" t="s">
        <v>1868</v>
      </c>
      <c r="I187" s="35" t="s">
        <v>1853</v>
      </c>
      <c r="J187" s="36" t="b">
        <f>FALSE()</f>
        <v>0</v>
      </c>
      <c r="K187" s="35" t="s">
        <v>1869</v>
      </c>
    </row>
    <row r="188" spans="5:11" ht="15" customHeight="1" x14ac:dyDescent="0.3">
      <c r="E188" s="34">
        <v>45933</v>
      </c>
      <c r="F188" s="35">
        <v>2025</v>
      </c>
      <c r="G188" s="35">
        <v>10</v>
      </c>
      <c r="H188" s="35" t="s">
        <v>1868</v>
      </c>
      <c r="I188" s="35" t="s">
        <v>1856</v>
      </c>
      <c r="J188" s="36" t="b">
        <f>FALSE()</f>
        <v>0</v>
      </c>
      <c r="K188" s="35" t="s">
        <v>1869</v>
      </c>
    </row>
    <row r="189" spans="5:11" ht="15" customHeight="1" x14ac:dyDescent="0.3">
      <c r="E189" s="34">
        <v>45934</v>
      </c>
      <c r="F189" s="35">
        <v>2025</v>
      </c>
      <c r="G189" s="35">
        <v>10</v>
      </c>
      <c r="H189" s="35" t="s">
        <v>1868</v>
      </c>
      <c r="I189" s="35" t="s">
        <v>1859</v>
      </c>
      <c r="J189" s="36" t="b">
        <f>TRUE()</f>
        <v>1</v>
      </c>
      <c r="K189" s="35" t="s">
        <v>1869</v>
      </c>
    </row>
    <row r="190" spans="5:11" ht="15" customHeight="1" x14ac:dyDescent="0.3">
      <c r="E190" s="34">
        <v>45935</v>
      </c>
      <c r="F190" s="35">
        <v>2025</v>
      </c>
      <c r="G190" s="35">
        <v>10</v>
      </c>
      <c r="H190" s="35" t="s">
        <v>1868</v>
      </c>
      <c r="I190" s="35" t="s">
        <v>1860</v>
      </c>
      <c r="J190" s="36" t="b">
        <f>TRUE()</f>
        <v>1</v>
      </c>
      <c r="K190" s="35" t="s">
        <v>1869</v>
      </c>
    </row>
    <row r="191" spans="5:11" ht="15" customHeight="1" x14ac:dyDescent="0.3">
      <c r="E191" s="34">
        <v>45936</v>
      </c>
      <c r="F191" s="35">
        <v>2025</v>
      </c>
      <c r="G191" s="35">
        <v>10</v>
      </c>
      <c r="H191" s="35" t="s">
        <v>1868</v>
      </c>
      <c r="I191" s="35" t="s">
        <v>1861</v>
      </c>
      <c r="J191" s="36" t="b">
        <f>FALSE()</f>
        <v>0</v>
      </c>
      <c r="K191" s="35" t="s">
        <v>1869</v>
      </c>
    </row>
    <row r="192" spans="5:11" ht="15" customHeight="1" x14ac:dyDescent="0.3">
      <c r="E192" s="34">
        <v>45937</v>
      </c>
      <c r="F192" s="35">
        <v>2025</v>
      </c>
      <c r="G192" s="35">
        <v>10</v>
      </c>
      <c r="H192" s="35" t="s">
        <v>1868</v>
      </c>
      <c r="I192" s="35" t="s">
        <v>1846</v>
      </c>
      <c r="J192" s="36" t="b">
        <f>FALSE()</f>
        <v>0</v>
      </c>
      <c r="K192" s="35" t="s">
        <v>1869</v>
      </c>
    </row>
    <row r="193" spans="5:11" ht="23.25" customHeight="1" x14ac:dyDescent="0.3">
      <c r="E193" s="34">
        <v>45938</v>
      </c>
      <c r="F193" s="35">
        <v>2025</v>
      </c>
      <c r="G193" s="35">
        <v>10</v>
      </c>
      <c r="H193" s="35" t="s">
        <v>1868</v>
      </c>
      <c r="I193" s="35" t="s">
        <v>1850</v>
      </c>
      <c r="J193" s="36" t="b">
        <f>FALSE()</f>
        <v>0</v>
      </c>
      <c r="K193" s="35" t="s">
        <v>1869</v>
      </c>
    </row>
    <row r="194" spans="5:11" ht="15" customHeight="1" x14ac:dyDescent="0.3">
      <c r="E194" s="34">
        <v>45939</v>
      </c>
      <c r="F194" s="35">
        <v>2025</v>
      </c>
      <c r="G194" s="35">
        <v>10</v>
      </c>
      <c r="H194" s="35" t="s">
        <v>1868</v>
      </c>
      <c r="I194" s="35" t="s">
        <v>1853</v>
      </c>
      <c r="J194" s="36" t="b">
        <f>FALSE()</f>
        <v>0</v>
      </c>
      <c r="K194" s="35" t="s">
        <v>1869</v>
      </c>
    </row>
    <row r="195" spans="5:11" ht="15" customHeight="1" x14ac:dyDescent="0.3">
      <c r="E195" s="34">
        <v>45940</v>
      </c>
      <c r="F195" s="35">
        <v>2025</v>
      </c>
      <c r="G195" s="35">
        <v>10</v>
      </c>
      <c r="H195" s="35" t="s">
        <v>1868</v>
      </c>
      <c r="I195" s="35" t="s">
        <v>1856</v>
      </c>
      <c r="J195" s="36" t="b">
        <f>FALSE()</f>
        <v>0</v>
      </c>
      <c r="K195" s="35" t="s">
        <v>1869</v>
      </c>
    </row>
    <row r="196" spans="5:11" ht="15" customHeight="1" x14ac:dyDescent="0.3">
      <c r="E196" s="34">
        <v>45941</v>
      </c>
      <c r="F196" s="35">
        <v>2025</v>
      </c>
      <c r="G196" s="35">
        <v>10</v>
      </c>
      <c r="H196" s="35" t="s">
        <v>1868</v>
      </c>
      <c r="I196" s="35" t="s">
        <v>1859</v>
      </c>
      <c r="J196" s="36" t="b">
        <f>TRUE()</f>
        <v>1</v>
      </c>
      <c r="K196" s="35" t="s">
        <v>1869</v>
      </c>
    </row>
    <row r="197" spans="5:11" ht="15" customHeight="1" x14ac:dyDescent="0.3">
      <c r="E197" s="34">
        <v>45942</v>
      </c>
      <c r="F197" s="35">
        <v>2025</v>
      </c>
      <c r="G197" s="35">
        <v>10</v>
      </c>
      <c r="H197" s="35" t="s">
        <v>1868</v>
      </c>
      <c r="I197" s="35" t="s">
        <v>1860</v>
      </c>
      <c r="J197" s="36" t="b">
        <f>TRUE()</f>
        <v>1</v>
      </c>
      <c r="K197" s="35" t="s">
        <v>1869</v>
      </c>
    </row>
    <row r="198" spans="5:11" ht="15" customHeight="1" x14ac:dyDescent="0.3">
      <c r="E198" s="34">
        <v>45943</v>
      </c>
      <c r="F198" s="35">
        <v>2025</v>
      </c>
      <c r="G198" s="35">
        <v>10</v>
      </c>
      <c r="H198" s="35" t="s">
        <v>1868</v>
      </c>
      <c r="I198" s="35" t="s">
        <v>1861</v>
      </c>
      <c r="J198" s="36" t="b">
        <f>FALSE()</f>
        <v>0</v>
      </c>
      <c r="K198" s="35" t="s">
        <v>1869</v>
      </c>
    </row>
    <row r="199" spans="5:11" ht="15" customHeight="1" x14ac:dyDescent="0.3">
      <c r="E199" s="34">
        <v>45944</v>
      </c>
      <c r="F199" s="35">
        <v>2025</v>
      </c>
      <c r="G199" s="35">
        <v>10</v>
      </c>
      <c r="H199" s="35" t="s">
        <v>1868</v>
      </c>
      <c r="I199" s="35" t="s">
        <v>1846</v>
      </c>
      <c r="J199" s="36" t="b">
        <f>FALSE()</f>
        <v>0</v>
      </c>
      <c r="K199" s="35" t="s">
        <v>1869</v>
      </c>
    </row>
    <row r="200" spans="5:11" ht="23.25" customHeight="1" x14ac:dyDescent="0.3">
      <c r="E200" s="34">
        <v>45945</v>
      </c>
      <c r="F200" s="35">
        <v>2025</v>
      </c>
      <c r="G200" s="35">
        <v>10</v>
      </c>
      <c r="H200" s="35" t="s">
        <v>1868</v>
      </c>
      <c r="I200" s="35" t="s">
        <v>1850</v>
      </c>
      <c r="J200" s="36" t="b">
        <f>FALSE()</f>
        <v>0</v>
      </c>
      <c r="K200" s="35" t="s">
        <v>1869</v>
      </c>
    </row>
    <row r="201" spans="5:11" ht="15" customHeight="1" x14ac:dyDescent="0.3">
      <c r="E201" s="34">
        <v>45946</v>
      </c>
      <c r="F201" s="35">
        <v>2025</v>
      </c>
      <c r="G201" s="35">
        <v>10</v>
      </c>
      <c r="H201" s="35" t="s">
        <v>1868</v>
      </c>
      <c r="I201" s="35" t="s">
        <v>1853</v>
      </c>
      <c r="J201" s="36" t="b">
        <f>FALSE()</f>
        <v>0</v>
      </c>
      <c r="K201" s="35" t="s">
        <v>1869</v>
      </c>
    </row>
    <row r="202" spans="5:11" ht="15" customHeight="1" x14ac:dyDescent="0.3">
      <c r="E202" s="34">
        <v>45947</v>
      </c>
      <c r="F202" s="35">
        <v>2025</v>
      </c>
      <c r="G202" s="35">
        <v>10</v>
      </c>
      <c r="H202" s="35" t="s">
        <v>1868</v>
      </c>
      <c r="I202" s="35" t="s">
        <v>1856</v>
      </c>
      <c r="J202" s="36" t="b">
        <f>FALSE()</f>
        <v>0</v>
      </c>
      <c r="K202" s="35" t="s">
        <v>1869</v>
      </c>
    </row>
    <row r="203" spans="5:11" ht="15" customHeight="1" x14ac:dyDescent="0.3">
      <c r="E203" s="34">
        <v>45948</v>
      </c>
      <c r="F203" s="35">
        <v>2025</v>
      </c>
      <c r="G203" s="35">
        <v>10</v>
      </c>
      <c r="H203" s="35" t="s">
        <v>1868</v>
      </c>
      <c r="I203" s="35" t="s">
        <v>1859</v>
      </c>
      <c r="J203" s="36" t="b">
        <f>TRUE()</f>
        <v>1</v>
      </c>
      <c r="K203" s="35" t="s">
        <v>1869</v>
      </c>
    </row>
    <row r="204" spans="5:11" ht="15" customHeight="1" x14ac:dyDescent="0.3">
      <c r="E204" s="34">
        <v>45949</v>
      </c>
      <c r="F204" s="35">
        <v>2025</v>
      </c>
      <c r="G204" s="35">
        <v>10</v>
      </c>
      <c r="H204" s="35" t="s">
        <v>1868</v>
      </c>
      <c r="I204" s="35" t="s">
        <v>1860</v>
      </c>
      <c r="J204" s="36" t="b">
        <f>TRUE()</f>
        <v>1</v>
      </c>
      <c r="K204" s="35" t="s">
        <v>1869</v>
      </c>
    </row>
    <row r="205" spans="5:11" ht="15" customHeight="1" x14ac:dyDescent="0.3">
      <c r="E205" s="34">
        <v>45950</v>
      </c>
      <c r="F205" s="35">
        <v>2025</v>
      </c>
      <c r="G205" s="35">
        <v>10</v>
      </c>
      <c r="H205" s="35" t="s">
        <v>1868</v>
      </c>
      <c r="I205" s="35" t="s">
        <v>1861</v>
      </c>
      <c r="J205" s="36" t="b">
        <f>FALSE()</f>
        <v>0</v>
      </c>
      <c r="K205" s="35" t="s">
        <v>1869</v>
      </c>
    </row>
    <row r="206" spans="5:11" ht="15" customHeight="1" x14ac:dyDescent="0.3">
      <c r="E206" s="34">
        <v>45951</v>
      </c>
      <c r="F206" s="35">
        <v>2025</v>
      </c>
      <c r="G206" s="35">
        <v>10</v>
      </c>
      <c r="H206" s="35" t="s">
        <v>1868</v>
      </c>
      <c r="I206" s="35" t="s">
        <v>1846</v>
      </c>
      <c r="J206" s="36" t="b">
        <f>FALSE()</f>
        <v>0</v>
      </c>
      <c r="K206" s="35" t="s">
        <v>1869</v>
      </c>
    </row>
    <row r="207" spans="5:11" ht="23.25" customHeight="1" x14ac:dyDescent="0.3">
      <c r="E207" s="34">
        <v>45952</v>
      </c>
      <c r="F207" s="35">
        <v>2025</v>
      </c>
      <c r="G207" s="35">
        <v>10</v>
      </c>
      <c r="H207" s="35" t="s">
        <v>1868</v>
      </c>
      <c r="I207" s="35" t="s">
        <v>1850</v>
      </c>
      <c r="J207" s="36" t="b">
        <f>FALSE()</f>
        <v>0</v>
      </c>
      <c r="K207" s="35" t="s">
        <v>1869</v>
      </c>
    </row>
    <row r="208" spans="5:11" ht="15" customHeight="1" x14ac:dyDescent="0.3">
      <c r="E208" s="34">
        <v>45953</v>
      </c>
      <c r="F208" s="35">
        <v>2025</v>
      </c>
      <c r="G208" s="35">
        <v>10</v>
      </c>
      <c r="H208" s="35" t="s">
        <v>1868</v>
      </c>
      <c r="I208" s="35" t="s">
        <v>1853</v>
      </c>
      <c r="J208" s="36" t="b">
        <f>FALSE()</f>
        <v>0</v>
      </c>
      <c r="K208" s="35" t="s">
        <v>1869</v>
      </c>
    </row>
    <row r="209" spans="5:11" ht="15" customHeight="1" x14ac:dyDescent="0.3">
      <c r="E209" s="34">
        <v>45954</v>
      </c>
      <c r="F209" s="35">
        <v>2025</v>
      </c>
      <c r="G209" s="35">
        <v>10</v>
      </c>
      <c r="H209" s="35" t="s">
        <v>1868</v>
      </c>
      <c r="I209" s="35" t="s">
        <v>1856</v>
      </c>
      <c r="J209" s="36" t="b">
        <f>FALSE()</f>
        <v>0</v>
      </c>
      <c r="K209" s="35" t="s">
        <v>1869</v>
      </c>
    </row>
    <row r="210" spans="5:11" ht="15" customHeight="1" x14ac:dyDescent="0.3">
      <c r="E210" s="34">
        <v>45955</v>
      </c>
      <c r="F210" s="35">
        <v>2025</v>
      </c>
      <c r="G210" s="35">
        <v>10</v>
      </c>
      <c r="H210" s="35" t="s">
        <v>1868</v>
      </c>
      <c r="I210" s="35" t="s">
        <v>1859</v>
      </c>
      <c r="J210" s="36" t="b">
        <f>TRUE()</f>
        <v>1</v>
      </c>
      <c r="K210" s="35" t="s">
        <v>1869</v>
      </c>
    </row>
    <row r="211" spans="5:11" ht="15" customHeight="1" x14ac:dyDescent="0.3">
      <c r="E211" s="34">
        <v>45956</v>
      </c>
      <c r="F211" s="35">
        <v>2025</v>
      </c>
      <c r="G211" s="35">
        <v>10</v>
      </c>
      <c r="H211" s="35" t="s">
        <v>1868</v>
      </c>
      <c r="I211" s="35" t="s">
        <v>1860</v>
      </c>
      <c r="J211" s="36" t="b">
        <f>TRUE()</f>
        <v>1</v>
      </c>
      <c r="K211" s="35" t="s">
        <v>1869</v>
      </c>
    </row>
    <row r="212" spans="5:11" ht="15" customHeight="1" x14ac:dyDescent="0.3">
      <c r="E212" s="34">
        <v>45957</v>
      </c>
      <c r="F212" s="35">
        <v>2025</v>
      </c>
      <c r="G212" s="35">
        <v>10</v>
      </c>
      <c r="H212" s="35" t="s">
        <v>1868</v>
      </c>
      <c r="I212" s="35" t="s">
        <v>1861</v>
      </c>
      <c r="J212" s="36" t="b">
        <f>FALSE()</f>
        <v>0</v>
      </c>
      <c r="K212" s="35" t="s">
        <v>1869</v>
      </c>
    </row>
    <row r="213" spans="5:11" ht="15" customHeight="1" x14ac:dyDescent="0.3">
      <c r="E213" s="34">
        <v>45958</v>
      </c>
      <c r="F213" s="35">
        <v>2025</v>
      </c>
      <c r="G213" s="35">
        <v>10</v>
      </c>
      <c r="H213" s="35" t="s">
        <v>1868</v>
      </c>
      <c r="I213" s="35" t="s">
        <v>1846</v>
      </c>
      <c r="J213" s="36" t="b">
        <f>FALSE()</f>
        <v>0</v>
      </c>
      <c r="K213" s="35" t="s">
        <v>1869</v>
      </c>
    </row>
    <row r="214" spans="5:11" ht="23.25" customHeight="1" x14ac:dyDescent="0.3">
      <c r="E214" s="34">
        <v>45959</v>
      </c>
      <c r="F214" s="35">
        <v>2025</v>
      </c>
      <c r="G214" s="35">
        <v>10</v>
      </c>
      <c r="H214" s="35" t="s">
        <v>1868</v>
      </c>
      <c r="I214" s="35" t="s">
        <v>1850</v>
      </c>
      <c r="J214" s="36" t="b">
        <f>FALSE()</f>
        <v>0</v>
      </c>
      <c r="K214" s="35" t="s">
        <v>1869</v>
      </c>
    </row>
    <row r="215" spans="5:11" ht="15" customHeight="1" x14ac:dyDescent="0.3">
      <c r="E215" s="34">
        <v>45960</v>
      </c>
      <c r="F215" s="35">
        <v>2025</v>
      </c>
      <c r="G215" s="35">
        <v>10</v>
      </c>
      <c r="H215" s="35" t="s">
        <v>1868</v>
      </c>
      <c r="I215" s="35" t="s">
        <v>1853</v>
      </c>
      <c r="J215" s="36" t="b">
        <f>FALSE()</f>
        <v>0</v>
      </c>
      <c r="K215" s="35" t="s">
        <v>1869</v>
      </c>
    </row>
    <row r="216" spans="5:11" ht="15" customHeight="1" x14ac:dyDescent="0.3">
      <c r="E216" s="34">
        <v>45961</v>
      </c>
      <c r="F216" s="35">
        <v>2025</v>
      </c>
      <c r="G216" s="35">
        <v>10</v>
      </c>
      <c r="H216" s="35" t="s">
        <v>1868</v>
      </c>
      <c r="I216" s="35" t="s">
        <v>1856</v>
      </c>
      <c r="J216" s="36" t="b">
        <f>FALSE()</f>
        <v>0</v>
      </c>
      <c r="K216" s="35" t="s">
        <v>1869</v>
      </c>
    </row>
    <row r="217" spans="5:11" ht="15" customHeight="1" x14ac:dyDescent="0.3">
      <c r="E217" s="34">
        <v>45962</v>
      </c>
      <c r="F217" s="35">
        <v>2025</v>
      </c>
      <c r="G217" s="35">
        <v>11</v>
      </c>
      <c r="H217" s="35" t="s">
        <v>1870</v>
      </c>
      <c r="I217" s="35" t="s">
        <v>1859</v>
      </c>
      <c r="J217" s="36" t="b">
        <f>TRUE()</f>
        <v>1</v>
      </c>
      <c r="K217" s="35" t="s">
        <v>1869</v>
      </c>
    </row>
    <row r="218" spans="5:11" ht="15" customHeight="1" x14ac:dyDescent="0.3">
      <c r="E218" s="34">
        <v>45963</v>
      </c>
      <c r="F218" s="35">
        <v>2025</v>
      </c>
      <c r="G218" s="35">
        <v>11</v>
      </c>
      <c r="H218" s="35" t="s">
        <v>1870</v>
      </c>
      <c r="I218" s="35" t="s">
        <v>1860</v>
      </c>
      <c r="J218" s="36" t="b">
        <f>TRUE()</f>
        <v>1</v>
      </c>
      <c r="K218" s="35" t="s">
        <v>1869</v>
      </c>
    </row>
    <row r="219" spans="5:11" ht="15" customHeight="1" x14ac:dyDescent="0.3">
      <c r="E219" s="34">
        <v>45964</v>
      </c>
      <c r="F219" s="35">
        <v>2025</v>
      </c>
      <c r="G219" s="35">
        <v>11</v>
      </c>
      <c r="H219" s="35" t="s">
        <v>1870</v>
      </c>
      <c r="I219" s="35" t="s">
        <v>1861</v>
      </c>
      <c r="J219" s="36" t="b">
        <f>FALSE()</f>
        <v>0</v>
      </c>
      <c r="K219" s="35" t="s">
        <v>1869</v>
      </c>
    </row>
    <row r="220" spans="5:11" ht="15" customHeight="1" x14ac:dyDescent="0.3">
      <c r="E220" s="34">
        <v>45965</v>
      </c>
      <c r="F220" s="35">
        <v>2025</v>
      </c>
      <c r="G220" s="35">
        <v>11</v>
      </c>
      <c r="H220" s="35" t="s">
        <v>1870</v>
      </c>
      <c r="I220" s="35" t="s">
        <v>1846</v>
      </c>
      <c r="J220" s="36" t="b">
        <f>FALSE()</f>
        <v>0</v>
      </c>
      <c r="K220" s="35" t="s">
        <v>1869</v>
      </c>
    </row>
    <row r="221" spans="5:11" ht="23.25" customHeight="1" x14ac:dyDescent="0.3">
      <c r="E221" s="34">
        <v>45966</v>
      </c>
      <c r="F221" s="35">
        <v>2025</v>
      </c>
      <c r="G221" s="35">
        <v>11</v>
      </c>
      <c r="H221" s="35" t="s">
        <v>1870</v>
      </c>
      <c r="I221" s="35" t="s">
        <v>1850</v>
      </c>
      <c r="J221" s="36" t="b">
        <f>FALSE()</f>
        <v>0</v>
      </c>
      <c r="K221" s="35" t="s">
        <v>1869</v>
      </c>
    </row>
    <row r="222" spans="5:11" ht="15" customHeight="1" x14ac:dyDescent="0.3">
      <c r="E222" s="34">
        <v>45967</v>
      </c>
      <c r="F222" s="35">
        <v>2025</v>
      </c>
      <c r="G222" s="35">
        <v>11</v>
      </c>
      <c r="H222" s="35" t="s">
        <v>1870</v>
      </c>
      <c r="I222" s="35" t="s">
        <v>1853</v>
      </c>
      <c r="J222" s="36" t="b">
        <f>FALSE()</f>
        <v>0</v>
      </c>
      <c r="K222" s="35" t="s">
        <v>1869</v>
      </c>
    </row>
    <row r="223" spans="5:11" ht="15" customHeight="1" x14ac:dyDescent="0.3">
      <c r="E223" s="34">
        <v>45968</v>
      </c>
      <c r="F223" s="35">
        <v>2025</v>
      </c>
      <c r="G223" s="35">
        <v>11</v>
      </c>
      <c r="H223" s="35" t="s">
        <v>1870</v>
      </c>
      <c r="I223" s="35" t="s">
        <v>1856</v>
      </c>
      <c r="J223" s="36" t="b">
        <f>FALSE()</f>
        <v>0</v>
      </c>
      <c r="K223" s="35" t="s">
        <v>1869</v>
      </c>
    </row>
    <row r="224" spans="5:11" ht="15" customHeight="1" x14ac:dyDescent="0.3">
      <c r="E224" s="34">
        <v>45969</v>
      </c>
      <c r="F224" s="35">
        <v>2025</v>
      </c>
      <c r="G224" s="35">
        <v>11</v>
      </c>
      <c r="H224" s="35" t="s">
        <v>1870</v>
      </c>
      <c r="I224" s="35" t="s">
        <v>1859</v>
      </c>
      <c r="J224" s="36" t="b">
        <f>TRUE()</f>
        <v>1</v>
      </c>
      <c r="K224" s="35" t="s">
        <v>1869</v>
      </c>
    </row>
    <row r="225" spans="5:11" ht="15" customHeight="1" x14ac:dyDescent="0.3">
      <c r="E225" s="34">
        <v>45970</v>
      </c>
      <c r="F225" s="35">
        <v>2025</v>
      </c>
      <c r="G225" s="35">
        <v>11</v>
      </c>
      <c r="H225" s="35" t="s">
        <v>1870</v>
      </c>
      <c r="I225" s="35" t="s">
        <v>1860</v>
      </c>
      <c r="J225" s="36" t="b">
        <f>TRUE()</f>
        <v>1</v>
      </c>
      <c r="K225" s="35" t="s">
        <v>1869</v>
      </c>
    </row>
    <row r="226" spans="5:11" ht="15" customHeight="1" x14ac:dyDescent="0.3">
      <c r="E226" s="34">
        <v>45971</v>
      </c>
      <c r="F226" s="35">
        <v>2025</v>
      </c>
      <c r="G226" s="35">
        <v>11</v>
      </c>
      <c r="H226" s="35" t="s">
        <v>1870</v>
      </c>
      <c r="I226" s="35" t="s">
        <v>1861</v>
      </c>
      <c r="J226" s="36" t="b">
        <f>FALSE()</f>
        <v>0</v>
      </c>
      <c r="K226" s="35" t="s">
        <v>1869</v>
      </c>
    </row>
    <row r="227" spans="5:11" ht="15" customHeight="1" x14ac:dyDescent="0.3">
      <c r="E227" s="34">
        <v>45972</v>
      </c>
      <c r="F227" s="35">
        <v>2025</v>
      </c>
      <c r="G227" s="35">
        <v>11</v>
      </c>
      <c r="H227" s="35" t="s">
        <v>1870</v>
      </c>
      <c r="I227" s="35" t="s">
        <v>1846</v>
      </c>
      <c r="J227" s="36" t="b">
        <f>FALSE()</f>
        <v>0</v>
      </c>
      <c r="K227" s="35" t="s">
        <v>1869</v>
      </c>
    </row>
    <row r="228" spans="5:11" ht="23.25" customHeight="1" x14ac:dyDescent="0.3">
      <c r="E228" s="34">
        <v>45973</v>
      </c>
      <c r="F228" s="35">
        <v>2025</v>
      </c>
      <c r="G228" s="35">
        <v>11</v>
      </c>
      <c r="H228" s="35" t="s">
        <v>1870</v>
      </c>
      <c r="I228" s="35" t="s">
        <v>1850</v>
      </c>
      <c r="J228" s="36" t="b">
        <f>FALSE()</f>
        <v>0</v>
      </c>
      <c r="K228" s="35" t="s">
        <v>1869</v>
      </c>
    </row>
    <row r="229" spans="5:11" ht="15" customHeight="1" x14ac:dyDescent="0.3">
      <c r="E229" s="34">
        <v>45974</v>
      </c>
      <c r="F229" s="35">
        <v>2025</v>
      </c>
      <c r="G229" s="35">
        <v>11</v>
      </c>
      <c r="H229" s="35" t="s">
        <v>1870</v>
      </c>
      <c r="I229" s="35" t="s">
        <v>1853</v>
      </c>
      <c r="J229" s="36" t="b">
        <f>FALSE()</f>
        <v>0</v>
      </c>
      <c r="K229" s="35" t="s">
        <v>1869</v>
      </c>
    </row>
    <row r="230" spans="5:11" ht="15" customHeight="1" x14ac:dyDescent="0.3">
      <c r="E230" s="34">
        <v>45975</v>
      </c>
      <c r="F230" s="35">
        <v>2025</v>
      </c>
      <c r="G230" s="35">
        <v>11</v>
      </c>
      <c r="H230" s="35" t="s">
        <v>1870</v>
      </c>
      <c r="I230" s="35" t="s">
        <v>1856</v>
      </c>
      <c r="J230" s="36" t="b">
        <f>FALSE()</f>
        <v>0</v>
      </c>
      <c r="K230" s="35" t="s">
        <v>1869</v>
      </c>
    </row>
    <row r="231" spans="5:11" ht="15" customHeight="1" x14ac:dyDescent="0.3">
      <c r="E231" s="34">
        <v>45976</v>
      </c>
      <c r="F231" s="35">
        <v>2025</v>
      </c>
      <c r="G231" s="35">
        <v>11</v>
      </c>
      <c r="H231" s="35" t="s">
        <v>1870</v>
      </c>
      <c r="I231" s="35" t="s">
        <v>1859</v>
      </c>
      <c r="J231" s="36" t="b">
        <f>TRUE()</f>
        <v>1</v>
      </c>
      <c r="K231" s="35" t="s">
        <v>1869</v>
      </c>
    </row>
    <row r="232" spans="5:11" ht="15" customHeight="1" x14ac:dyDescent="0.3">
      <c r="E232" s="34">
        <v>45977</v>
      </c>
      <c r="F232" s="35">
        <v>2025</v>
      </c>
      <c r="G232" s="35">
        <v>11</v>
      </c>
      <c r="H232" s="35" t="s">
        <v>1870</v>
      </c>
      <c r="I232" s="35" t="s">
        <v>1860</v>
      </c>
      <c r="J232" s="36" t="b">
        <f>TRUE()</f>
        <v>1</v>
      </c>
      <c r="K232" s="35" t="s">
        <v>1869</v>
      </c>
    </row>
    <row r="233" spans="5:11" ht="15" customHeight="1" x14ac:dyDescent="0.3">
      <c r="E233" s="34">
        <v>45978</v>
      </c>
      <c r="F233" s="35">
        <v>2025</v>
      </c>
      <c r="G233" s="35">
        <v>11</v>
      </c>
      <c r="H233" s="35" t="s">
        <v>1870</v>
      </c>
      <c r="I233" s="35" t="s">
        <v>1861</v>
      </c>
      <c r="J233" s="36" t="b">
        <f>FALSE()</f>
        <v>0</v>
      </c>
      <c r="K233" s="35" t="s">
        <v>1869</v>
      </c>
    </row>
    <row r="234" spans="5:11" ht="15" customHeight="1" x14ac:dyDescent="0.3">
      <c r="E234" s="34">
        <v>45979</v>
      </c>
      <c r="F234" s="35">
        <v>2025</v>
      </c>
      <c r="G234" s="35">
        <v>11</v>
      </c>
      <c r="H234" s="35" t="s">
        <v>1870</v>
      </c>
      <c r="I234" s="35" t="s">
        <v>1846</v>
      </c>
      <c r="J234" s="36" t="b">
        <f>FALSE()</f>
        <v>0</v>
      </c>
      <c r="K234" s="35" t="s">
        <v>1869</v>
      </c>
    </row>
    <row r="235" spans="5:11" ht="23.25" customHeight="1" x14ac:dyDescent="0.3">
      <c r="E235" s="34">
        <v>45980</v>
      </c>
      <c r="F235" s="35">
        <v>2025</v>
      </c>
      <c r="G235" s="35">
        <v>11</v>
      </c>
      <c r="H235" s="35" t="s">
        <v>1870</v>
      </c>
      <c r="I235" s="35" t="s">
        <v>1850</v>
      </c>
      <c r="J235" s="36" t="b">
        <f>FALSE()</f>
        <v>0</v>
      </c>
      <c r="K235" s="35" t="s">
        <v>1869</v>
      </c>
    </row>
    <row r="236" spans="5:11" ht="15" customHeight="1" x14ac:dyDescent="0.3">
      <c r="E236" s="34">
        <v>45981</v>
      </c>
      <c r="F236" s="35">
        <v>2025</v>
      </c>
      <c r="G236" s="35">
        <v>11</v>
      </c>
      <c r="H236" s="35" t="s">
        <v>1870</v>
      </c>
      <c r="I236" s="35" t="s">
        <v>1853</v>
      </c>
      <c r="J236" s="36" t="b">
        <f>FALSE()</f>
        <v>0</v>
      </c>
      <c r="K236" s="35" t="s">
        <v>1869</v>
      </c>
    </row>
    <row r="237" spans="5:11" ht="15" customHeight="1" x14ac:dyDescent="0.3">
      <c r="E237" s="34">
        <v>45982</v>
      </c>
      <c r="F237" s="35">
        <v>2025</v>
      </c>
      <c r="G237" s="35">
        <v>11</v>
      </c>
      <c r="H237" s="35" t="s">
        <v>1870</v>
      </c>
      <c r="I237" s="35" t="s">
        <v>1856</v>
      </c>
      <c r="J237" s="36" t="b">
        <f>FALSE()</f>
        <v>0</v>
      </c>
      <c r="K237" s="35" t="s">
        <v>1869</v>
      </c>
    </row>
    <row r="238" spans="5:11" ht="15" customHeight="1" x14ac:dyDescent="0.3">
      <c r="E238" s="34">
        <v>45983</v>
      </c>
      <c r="F238" s="35">
        <v>2025</v>
      </c>
      <c r="G238" s="35">
        <v>11</v>
      </c>
      <c r="H238" s="35" t="s">
        <v>1870</v>
      </c>
      <c r="I238" s="35" t="s">
        <v>1859</v>
      </c>
      <c r="J238" s="36" t="b">
        <f>TRUE()</f>
        <v>1</v>
      </c>
      <c r="K238" s="35" t="s">
        <v>1869</v>
      </c>
    </row>
    <row r="239" spans="5:11" ht="15" customHeight="1" x14ac:dyDescent="0.3">
      <c r="E239" s="34">
        <v>45984</v>
      </c>
      <c r="F239" s="35">
        <v>2025</v>
      </c>
      <c r="G239" s="35">
        <v>11</v>
      </c>
      <c r="H239" s="35" t="s">
        <v>1870</v>
      </c>
      <c r="I239" s="35" t="s">
        <v>1860</v>
      </c>
      <c r="J239" s="36" t="b">
        <f>TRUE()</f>
        <v>1</v>
      </c>
      <c r="K239" s="35" t="s">
        <v>1869</v>
      </c>
    </row>
    <row r="240" spans="5:11" ht="15" customHeight="1" x14ac:dyDescent="0.3">
      <c r="E240" s="34">
        <v>45985</v>
      </c>
      <c r="F240" s="35">
        <v>2025</v>
      </c>
      <c r="G240" s="35">
        <v>11</v>
      </c>
      <c r="H240" s="35" t="s">
        <v>1870</v>
      </c>
      <c r="I240" s="35" t="s">
        <v>1861</v>
      </c>
      <c r="J240" s="36" t="b">
        <f>FALSE()</f>
        <v>0</v>
      </c>
      <c r="K240" s="35" t="s">
        <v>1869</v>
      </c>
    </row>
    <row r="241" spans="5:11" ht="15" customHeight="1" x14ac:dyDescent="0.3">
      <c r="E241" s="34">
        <v>45986</v>
      </c>
      <c r="F241" s="35">
        <v>2025</v>
      </c>
      <c r="G241" s="35">
        <v>11</v>
      </c>
      <c r="H241" s="35" t="s">
        <v>1870</v>
      </c>
      <c r="I241" s="35" t="s">
        <v>1846</v>
      </c>
      <c r="J241" s="36" t="b">
        <f>FALSE()</f>
        <v>0</v>
      </c>
      <c r="K241" s="35" t="s">
        <v>1869</v>
      </c>
    </row>
    <row r="242" spans="5:11" ht="23.25" customHeight="1" x14ac:dyDescent="0.3">
      <c r="E242" s="34">
        <v>45987</v>
      </c>
      <c r="F242" s="35">
        <v>2025</v>
      </c>
      <c r="G242" s="35">
        <v>11</v>
      </c>
      <c r="H242" s="35" t="s">
        <v>1870</v>
      </c>
      <c r="I242" s="35" t="s">
        <v>1850</v>
      </c>
      <c r="J242" s="36" t="b">
        <f>FALSE()</f>
        <v>0</v>
      </c>
      <c r="K242" s="35" t="s">
        <v>1869</v>
      </c>
    </row>
    <row r="243" spans="5:11" ht="15" customHeight="1" x14ac:dyDescent="0.3">
      <c r="E243" s="34">
        <v>45988</v>
      </c>
      <c r="F243" s="35">
        <v>2025</v>
      </c>
      <c r="G243" s="35">
        <v>11</v>
      </c>
      <c r="H243" s="35" t="s">
        <v>1870</v>
      </c>
      <c r="I243" s="35" t="s">
        <v>1853</v>
      </c>
      <c r="J243" s="36" t="b">
        <f>FALSE()</f>
        <v>0</v>
      </c>
      <c r="K243" s="35" t="s">
        <v>1869</v>
      </c>
    </row>
    <row r="244" spans="5:11" ht="15" customHeight="1" x14ac:dyDescent="0.3">
      <c r="E244" s="34">
        <v>45989</v>
      </c>
      <c r="F244" s="35">
        <v>2025</v>
      </c>
      <c r="G244" s="35">
        <v>11</v>
      </c>
      <c r="H244" s="35" t="s">
        <v>1870</v>
      </c>
      <c r="I244" s="35" t="s">
        <v>1856</v>
      </c>
      <c r="J244" s="36" t="b">
        <f>FALSE()</f>
        <v>0</v>
      </c>
      <c r="K244" s="35" t="s">
        <v>1869</v>
      </c>
    </row>
    <row r="245" spans="5:11" ht="15" customHeight="1" x14ac:dyDescent="0.3">
      <c r="E245" s="34">
        <v>45990</v>
      </c>
      <c r="F245" s="35">
        <v>2025</v>
      </c>
      <c r="G245" s="35">
        <v>11</v>
      </c>
      <c r="H245" s="35" t="s">
        <v>1870</v>
      </c>
      <c r="I245" s="35" t="s">
        <v>1859</v>
      </c>
      <c r="J245" s="36" t="b">
        <f>TRUE()</f>
        <v>1</v>
      </c>
      <c r="K245" s="35" t="s">
        <v>1869</v>
      </c>
    </row>
    <row r="246" spans="5:11" ht="15" customHeight="1" x14ac:dyDescent="0.3">
      <c r="E246" s="34">
        <v>45991</v>
      </c>
      <c r="F246" s="35">
        <v>2025</v>
      </c>
      <c r="G246" s="35">
        <v>11</v>
      </c>
      <c r="H246" s="35" t="s">
        <v>1870</v>
      </c>
      <c r="I246" s="35" t="s">
        <v>1860</v>
      </c>
      <c r="J246" s="36" t="b">
        <f>TRUE()</f>
        <v>1</v>
      </c>
      <c r="K246" s="35" t="s">
        <v>1869</v>
      </c>
    </row>
    <row r="247" spans="5:11" ht="15" customHeight="1" x14ac:dyDescent="0.3">
      <c r="E247" s="34">
        <v>45992</v>
      </c>
      <c r="F247" s="35">
        <v>2025</v>
      </c>
      <c r="G247" s="35">
        <v>12</v>
      </c>
      <c r="H247" s="35" t="s">
        <v>1871</v>
      </c>
      <c r="I247" s="35" t="s">
        <v>1861</v>
      </c>
      <c r="J247" s="36" t="b">
        <f>FALSE()</f>
        <v>0</v>
      </c>
      <c r="K247" s="35" t="s">
        <v>1869</v>
      </c>
    </row>
    <row r="248" spans="5:11" ht="15" customHeight="1" x14ac:dyDescent="0.3">
      <c r="E248" s="34">
        <v>45993</v>
      </c>
      <c r="F248" s="35">
        <v>2025</v>
      </c>
      <c r="G248" s="35">
        <v>12</v>
      </c>
      <c r="H248" s="35" t="s">
        <v>1871</v>
      </c>
      <c r="I248" s="35" t="s">
        <v>1846</v>
      </c>
      <c r="J248" s="36" t="b">
        <f>FALSE()</f>
        <v>0</v>
      </c>
      <c r="K248" s="35" t="s">
        <v>1869</v>
      </c>
    </row>
    <row r="249" spans="5:11" ht="23.25" customHeight="1" x14ac:dyDescent="0.3">
      <c r="E249" s="34">
        <v>45994</v>
      </c>
      <c r="F249" s="35">
        <v>2025</v>
      </c>
      <c r="G249" s="35">
        <v>12</v>
      </c>
      <c r="H249" s="35" t="s">
        <v>1871</v>
      </c>
      <c r="I249" s="35" t="s">
        <v>1850</v>
      </c>
      <c r="J249" s="36" t="b">
        <f>FALSE()</f>
        <v>0</v>
      </c>
      <c r="K249" s="35" t="s">
        <v>1869</v>
      </c>
    </row>
    <row r="250" spans="5:11" ht="15" customHeight="1" x14ac:dyDescent="0.3">
      <c r="E250" s="34">
        <v>45995</v>
      </c>
      <c r="F250" s="35">
        <v>2025</v>
      </c>
      <c r="G250" s="35">
        <v>12</v>
      </c>
      <c r="H250" s="35" t="s">
        <v>1871</v>
      </c>
      <c r="I250" s="35" t="s">
        <v>1853</v>
      </c>
      <c r="J250" s="36" t="b">
        <f>FALSE()</f>
        <v>0</v>
      </c>
      <c r="K250" s="35" t="s">
        <v>1869</v>
      </c>
    </row>
    <row r="251" spans="5:11" ht="15" customHeight="1" x14ac:dyDescent="0.3">
      <c r="E251" s="34">
        <v>45996</v>
      </c>
      <c r="F251" s="35">
        <v>2025</v>
      </c>
      <c r="G251" s="35">
        <v>12</v>
      </c>
      <c r="H251" s="35" t="s">
        <v>1871</v>
      </c>
      <c r="I251" s="35" t="s">
        <v>1856</v>
      </c>
      <c r="J251" s="36" t="b">
        <f>FALSE()</f>
        <v>0</v>
      </c>
      <c r="K251" s="35" t="s">
        <v>1869</v>
      </c>
    </row>
    <row r="252" spans="5:11" ht="15" customHeight="1" x14ac:dyDescent="0.3">
      <c r="E252" s="34">
        <v>45997</v>
      </c>
      <c r="F252" s="35">
        <v>2025</v>
      </c>
      <c r="G252" s="35">
        <v>12</v>
      </c>
      <c r="H252" s="35" t="s">
        <v>1871</v>
      </c>
      <c r="I252" s="35" t="s">
        <v>1859</v>
      </c>
      <c r="J252" s="36" t="b">
        <f>TRUE()</f>
        <v>1</v>
      </c>
      <c r="K252" s="35" t="s">
        <v>1869</v>
      </c>
    </row>
    <row r="253" spans="5:11" ht="15" customHeight="1" x14ac:dyDescent="0.3">
      <c r="E253" s="34">
        <v>45998</v>
      </c>
      <c r="F253" s="35">
        <v>2025</v>
      </c>
      <c r="G253" s="35">
        <v>12</v>
      </c>
      <c r="H253" s="35" t="s">
        <v>1871</v>
      </c>
      <c r="I253" s="35" t="s">
        <v>1860</v>
      </c>
      <c r="J253" s="36" t="b">
        <f>TRUE()</f>
        <v>1</v>
      </c>
      <c r="K253" s="35" t="s">
        <v>1869</v>
      </c>
    </row>
    <row r="254" spans="5:11" ht="15" customHeight="1" x14ac:dyDescent="0.3">
      <c r="E254" s="34">
        <v>45999</v>
      </c>
      <c r="F254" s="35">
        <v>2025</v>
      </c>
      <c r="G254" s="35">
        <v>12</v>
      </c>
      <c r="H254" s="35" t="s">
        <v>1871</v>
      </c>
      <c r="I254" s="35" t="s">
        <v>1861</v>
      </c>
      <c r="J254" s="36" t="b">
        <f>FALSE()</f>
        <v>0</v>
      </c>
      <c r="K254" s="35" t="s">
        <v>1869</v>
      </c>
    </row>
    <row r="255" spans="5:11" ht="15" customHeight="1" x14ac:dyDescent="0.3">
      <c r="E255" s="34">
        <v>46000</v>
      </c>
      <c r="F255" s="35">
        <v>2025</v>
      </c>
      <c r="G255" s="35">
        <v>12</v>
      </c>
      <c r="H255" s="35" t="s">
        <v>1871</v>
      </c>
      <c r="I255" s="35" t="s">
        <v>1846</v>
      </c>
      <c r="J255" s="36" t="b">
        <f>FALSE()</f>
        <v>0</v>
      </c>
      <c r="K255" s="35" t="s">
        <v>1869</v>
      </c>
    </row>
    <row r="256" spans="5:11" ht="23.25" customHeight="1" x14ac:dyDescent="0.3">
      <c r="E256" s="34">
        <v>46001</v>
      </c>
      <c r="F256" s="35">
        <v>2025</v>
      </c>
      <c r="G256" s="35">
        <v>12</v>
      </c>
      <c r="H256" s="35" t="s">
        <v>1871</v>
      </c>
      <c r="I256" s="35" t="s">
        <v>1850</v>
      </c>
      <c r="J256" s="36" t="b">
        <f>FALSE()</f>
        <v>0</v>
      </c>
      <c r="K256" s="35" t="s">
        <v>1869</v>
      </c>
    </row>
    <row r="257" spans="5:11" ht="15" customHeight="1" x14ac:dyDescent="0.3">
      <c r="E257" s="34">
        <v>46002</v>
      </c>
      <c r="F257" s="35">
        <v>2025</v>
      </c>
      <c r="G257" s="35">
        <v>12</v>
      </c>
      <c r="H257" s="35" t="s">
        <v>1871</v>
      </c>
      <c r="I257" s="35" t="s">
        <v>1853</v>
      </c>
      <c r="J257" s="36" t="b">
        <f>FALSE()</f>
        <v>0</v>
      </c>
      <c r="K257" s="35" t="s">
        <v>1869</v>
      </c>
    </row>
    <row r="258" spans="5:11" ht="15" customHeight="1" x14ac:dyDescent="0.3">
      <c r="E258" s="34">
        <v>46003</v>
      </c>
      <c r="F258" s="35">
        <v>2025</v>
      </c>
      <c r="G258" s="35">
        <v>12</v>
      </c>
      <c r="H258" s="35" t="s">
        <v>1871</v>
      </c>
      <c r="I258" s="35" t="s">
        <v>1856</v>
      </c>
      <c r="J258" s="36" t="b">
        <f>FALSE()</f>
        <v>0</v>
      </c>
      <c r="K258" s="35" t="s">
        <v>1869</v>
      </c>
    </row>
    <row r="259" spans="5:11" ht="15" customHeight="1" x14ac:dyDescent="0.3">
      <c r="E259" s="34">
        <v>46004</v>
      </c>
      <c r="F259" s="35">
        <v>2025</v>
      </c>
      <c r="G259" s="35">
        <v>12</v>
      </c>
      <c r="H259" s="35" t="s">
        <v>1871</v>
      </c>
      <c r="I259" s="35" t="s">
        <v>1859</v>
      </c>
      <c r="J259" s="36" t="b">
        <f>TRUE()</f>
        <v>1</v>
      </c>
      <c r="K259" s="35" t="s">
        <v>1869</v>
      </c>
    </row>
    <row r="260" spans="5:11" ht="15" customHeight="1" x14ac:dyDescent="0.3">
      <c r="E260" s="34">
        <v>46005</v>
      </c>
      <c r="F260" s="35">
        <v>2025</v>
      </c>
      <c r="G260" s="35">
        <v>12</v>
      </c>
      <c r="H260" s="35" t="s">
        <v>1871</v>
      </c>
      <c r="I260" s="35" t="s">
        <v>1860</v>
      </c>
      <c r="J260" s="36" t="b">
        <f>TRUE()</f>
        <v>1</v>
      </c>
      <c r="K260" s="35" t="s">
        <v>1869</v>
      </c>
    </row>
    <row r="261" spans="5:11" ht="15" customHeight="1" x14ac:dyDescent="0.3">
      <c r="E261" s="34">
        <v>46006</v>
      </c>
      <c r="F261" s="35">
        <v>2025</v>
      </c>
      <c r="G261" s="35">
        <v>12</v>
      </c>
      <c r="H261" s="35" t="s">
        <v>1871</v>
      </c>
      <c r="I261" s="35" t="s">
        <v>1861</v>
      </c>
      <c r="J261" s="36" t="b">
        <f>FALSE()</f>
        <v>0</v>
      </c>
      <c r="K261" s="35" t="s">
        <v>1869</v>
      </c>
    </row>
    <row r="262" spans="5:11" ht="15" customHeight="1" x14ac:dyDescent="0.3">
      <c r="E262" s="34">
        <v>46007</v>
      </c>
      <c r="F262" s="35">
        <v>2025</v>
      </c>
      <c r="G262" s="35">
        <v>12</v>
      </c>
      <c r="H262" s="35" t="s">
        <v>1871</v>
      </c>
      <c r="I262" s="35" t="s">
        <v>1846</v>
      </c>
      <c r="J262" s="36" t="b">
        <f>FALSE()</f>
        <v>0</v>
      </c>
      <c r="K262" s="35" t="s">
        <v>1869</v>
      </c>
    </row>
    <row r="263" spans="5:11" ht="23.25" customHeight="1" x14ac:dyDescent="0.3">
      <c r="E263" s="34">
        <v>46008</v>
      </c>
      <c r="F263" s="35">
        <v>2025</v>
      </c>
      <c r="G263" s="35">
        <v>12</v>
      </c>
      <c r="H263" s="35" t="s">
        <v>1871</v>
      </c>
      <c r="I263" s="35" t="s">
        <v>1850</v>
      </c>
      <c r="J263" s="36" t="b">
        <f>FALSE()</f>
        <v>0</v>
      </c>
      <c r="K263" s="35" t="s">
        <v>1869</v>
      </c>
    </row>
    <row r="264" spans="5:11" ht="15" customHeight="1" x14ac:dyDescent="0.3">
      <c r="E264" s="34">
        <v>46009</v>
      </c>
      <c r="F264" s="35">
        <v>2025</v>
      </c>
      <c r="G264" s="35">
        <v>12</v>
      </c>
      <c r="H264" s="35" t="s">
        <v>1871</v>
      </c>
      <c r="I264" s="35" t="s">
        <v>1853</v>
      </c>
      <c r="J264" s="36" t="b">
        <f>FALSE()</f>
        <v>0</v>
      </c>
      <c r="K264" s="35" t="s">
        <v>1869</v>
      </c>
    </row>
    <row r="265" spans="5:11" ht="15" customHeight="1" x14ac:dyDescent="0.3">
      <c r="E265" s="34">
        <v>46010</v>
      </c>
      <c r="F265" s="35">
        <v>2025</v>
      </c>
      <c r="G265" s="35">
        <v>12</v>
      </c>
      <c r="H265" s="35" t="s">
        <v>1871</v>
      </c>
      <c r="I265" s="35" t="s">
        <v>1856</v>
      </c>
      <c r="J265" s="36" t="b">
        <f>FALSE()</f>
        <v>0</v>
      </c>
      <c r="K265" s="35" t="s">
        <v>1869</v>
      </c>
    </row>
    <row r="266" spans="5:11" ht="15" customHeight="1" x14ac:dyDescent="0.3">
      <c r="E266" s="34">
        <v>46011</v>
      </c>
      <c r="F266" s="35">
        <v>2025</v>
      </c>
      <c r="G266" s="35">
        <v>12</v>
      </c>
      <c r="H266" s="35" t="s">
        <v>1871</v>
      </c>
      <c r="I266" s="35" t="s">
        <v>1859</v>
      </c>
      <c r="J266" s="36" t="b">
        <f>TRUE()</f>
        <v>1</v>
      </c>
      <c r="K266" s="35" t="s">
        <v>1869</v>
      </c>
    </row>
    <row r="267" spans="5:11" ht="15" customHeight="1" x14ac:dyDescent="0.3">
      <c r="E267" s="34">
        <v>46012</v>
      </c>
      <c r="F267" s="35">
        <v>2025</v>
      </c>
      <c r="G267" s="35">
        <v>12</v>
      </c>
      <c r="H267" s="35" t="s">
        <v>1871</v>
      </c>
      <c r="I267" s="35" t="s">
        <v>1860</v>
      </c>
      <c r="J267" s="36" t="b">
        <f>TRUE()</f>
        <v>1</v>
      </c>
      <c r="K267" s="35" t="s">
        <v>1869</v>
      </c>
    </row>
    <row r="268" spans="5:11" ht="15" customHeight="1" x14ac:dyDescent="0.3">
      <c r="E268" s="34">
        <v>46013</v>
      </c>
      <c r="F268" s="35">
        <v>2025</v>
      </c>
      <c r="G268" s="35">
        <v>12</v>
      </c>
      <c r="H268" s="35" t="s">
        <v>1871</v>
      </c>
      <c r="I268" s="35" t="s">
        <v>1861</v>
      </c>
      <c r="J268" s="36" t="b">
        <f>FALSE()</f>
        <v>0</v>
      </c>
      <c r="K268" s="35" t="s">
        <v>1869</v>
      </c>
    </row>
    <row r="269" spans="5:11" ht="15" customHeight="1" x14ac:dyDescent="0.3">
      <c r="E269" s="34">
        <v>46014</v>
      </c>
      <c r="F269" s="35">
        <v>2025</v>
      </c>
      <c r="G269" s="35">
        <v>12</v>
      </c>
      <c r="H269" s="35" t="s">
        <v>1871</v>
      </c>
      <c r="I269" s="35" t="s">
        <v>1846</v>
      </c>
      <c r="J269" s="36" t="b">
        <f>FALSE()</f>
        <v>0</v>
      </c>
      <c r="K269" s="35" t="s">
        <v>1869</v>
      </c>
    </row>
    <row r="270" spans="5:11" ht="23.25" customHeight="1" x14ac:dyDescent="0.3">
      <c r="E270" s="34">
        <v>46015</v>
      </c>
      <c r="F270" s="35">
        <v>2025</v>
      </c>
      <c r="G270" s="35">
        <v>12</v>
      </c>
      <c r="H270" s="35" t="s">
        <v>1871</v>
      </c>
      <c r="I270" s="35" t="s">
        <v>1850</v>
      </c>
      <c r="J270" s="36" t="b">
        <f>FALSE()</f>
        <v>0</v>
      </c>
      <c r="K270" s="35" t="s">
        <v>1869</v>
      </c>
    </row>
    <row r="271" spans="5:11" ht="15" customHeight="1" x14ac:dyDescent="0.3">
      <c r="E271" s="34">
        <v>46016</v>
      </c>
      <c r="F271" s="35">
        <v>2025</v>
      </c>
      <c r="G271" s="35">
        <v>12</v>
      </c>
      <c r="H271" s="35" t="s">
        <v>1871</v>
      </c>
      <c r="I271" s="35" t="s">
        <v>1853</v>
      </c>
      <c r="J271" s="36" t="b">
        <f>FALSE()</f>
        <v>0</v>
      </c>
      <c r="K271" s="35" t="s">
        <v>1869</v>
      </c>
    </row>
    <row r="272" spans="5:11" ht="15" customHeight="1" x14ac:dyDescent="0.3">
      <c r="E272" s="34">
        <v>46017</v>
      </c>
      <c r="F272" s="35">
        <v>2025</v>
      </c>
      <c r="G272" s="35">
        <v>12</v>
      </c>
      <c r="H272" s="35" t="s">
        <v>1871</v>
      </c>
      <c r="I272" s="35" t="s">
        <v>1856</v>
      </c>
      <c r="J272" s="36" t="b">
        <f>FALSE()</f>
        <v>0</v>
      </c>
      <c r="K272" s="35" t="s">
        <v>1869</v>
      </c>
    </row>
    <row r="273" spans="5:11" ht="15" customHeight="1" x14ac:dyDescent="0.3">
      <c r="E273" s="34">
        <v>46018</v>
      </c>
      <c r="F273" s="35">
        <v>2025</v>
      </c>
      <c r="G273" s="35">
        <v>12</v>
      </c>
      <c r="H273" s="35" t="s">
        <v>1871</v>
      </c>
      <c r="I273" s="35" t="s">
        <v>1859</v>
      </c>
      <c r="J273" s="36" t="b">
        <f>TRUE()</f>
        <v>1</v>
      </c>
      <c r="K273" s="35" t="s">
        <v>1869</v>
      </c>
    </row>
    <row r="274" spans="5:11" ht="15" customHeight="1" x14ac:dyDescent="0.3">
      <c r="E274" s="34">
        <v>46019</v>
      </c>
      <c r="F274" s="35">
        <v>2025</v>
      </c>
      <c r="G274" s="35">
        <v>12</v>
      </c>
      <c r="H274" s="35" t="s">
        <v>1871</v>
      </c>
      <c r="I274" s="35" t="s">
        <v>1860</v>
      </c>
      <c r="J274" s="36" t="b">
        <f>TRUE()</f>
        <v>1</v>
      </c>
      <c r="K274" s="35" t="s">
        <v>1869</v>
      </c>
    </row>
    <row r="275" spans="5:11" ht="15" customHeight="1" x14ac:dyDescent="0.3">
      <c r="E275" s="34">
        <v>46020</v>
      </c>
      <c r="F275" s="35">
        <v>2025</v>
      </c>
      <c r="G275" s="35">
        <v>12</v>
      </c>
      <c r="H275" s="35" t="s">
        <v>1871</v>
      </c>
      <c r="I275" s="35" t="s">
        <v>1861</v>
      </c>
      <c r="J275" s="36" t="b">
        <f>FALSE()</f>
        <v>0</v>
      </c>
      <c r="K275" s="35" t="s">
        <v>1869</v>
      </c>
    </row>
    <row r="276" spans="5:11" ht="15" customHeight="1" x14ac:dyDescent="0.3">
      <c r="E276" s="34">
        <v>46021</v>
      </c>
      <c r="F276" s="35">
        <v>2025</v>
      </c>
      <c r="G276" s="35">
        <v>12</v>
      </c>
      <c r="H276" s="35" t="s">
        <v>1871</v>
      </c>
      <c r="I276" s="35" t="s">
        <v>1846</v>
      </c>
      <c r="J276" s="36" t="b">
        <f>FALSE()</f>
        <v>0</v>
      </c>
      <c r="K276" s="35" t="s">
        <v>1869</v>
      </c>
    </row>
    <row r="277" spans="5:11" ht="23.25" customHeight="1" x14ac:dyDescent="0.3">
      <c r="E277" s="34">
        <v>46022</v>
      </c>
      <c r="F277" s="35">
        <v>2025</v>
      </c>
      <c r="G277" s="35">
        <v>12</v>
      </c>
      <c r="H277" s="35" t="s">
        <v>1871</v>
      </c>
      <c r="I277" s="35" t="s">
        <v>1850</v>
      </c>
      <c r="J277" s="36" t="b">
        <f>FALSE()</f>
        <v>0</v>
      </c>
      <c r="K277" s="35" t="s">
        <v>1869</v>
      </c>
    </row>
    <row r="278" spans="5:11" ht="15" customHeight="1" x14ac:dyDescent="0.3">
      <c r="E278" s="34">
        <v>46023</v>
      </c>
      <c r="F278" s="35">
        <v>2026</v>
      </c>
      <c r="G278" s="35">
        <v>1</v>
      </c>
      <c r="H278" s="35" t="s">
        <v>1872</v>
      </c>
      <c r="I278" s="35" t="s">
        <v>1853</v>
      </c>
      <c r="J278" s="36" t="b">
        <f>FALSE()</f>
        <v>0</v>
      </c>
      <c r="K278" s="35" t="s">
        <v>1873</v>
      </c>
    </row>
    <row r="279" spans="5:11" ht="15" customHeight="1" x14ac:dyDescent="0.3">
      <c r="E279" s="34">
        <v>46024</v>
      </c>
      <c r="F279" s="35">
        <v>2026</v>
      </c>
      <c r="G279" s="35">
        <v>1</v>
      </c>
      <c r="H279" s="35" t="s">
        <v>1872</v>
      </c>
      <c r="I279" s="35" t="s">
        <v>1856</v>
      </c>
      <c r="J279" s="36" t="b">
        <f>FALSE()</f>
        <v>0</v>
      </c>
      <c r="K279" s="35" t="s">
        <v>1873</v>
      </c>
    </row>
    <row r="280" spans="5:11" ht="15" customHeight="1" x14ac:dyDescent="0.3">
      <c r="E280" s="34">
        <v>46025</v>
      </c>
      <c r="F280" s="35">
        <v>2026</v>
      </c>
      <c r="G280" s="35">
        <v>1</v>
      </c>
      <c r="H280" s="35" t="s">
        <v>1872</v>
      </c>
      <c r="I280" s="35" t="s">
        <v>1859</v>
      </c>
      <c r="J280" s="36" t="b">
        <f>TRUE()</f>
        <v>1</v>
      </c>
      <c r="K280" s="35" t="s">
        <v>1873</v>
      </c>
    </row>
    <row r="281" spans="5:11" ht="15" customHeight="1" x14ac:dyDescent="0.3">
      <c r="E281" s="34">
        <v>46026</v>
      </c>
      <c r="F281" s="35">
        <v>2026</v>
      </c>
      <c r="G281" s="35">
        <v>1</v>
      </c>
      <c r="H281" s="35" t="s">
        <v>1872</v>
      </c>
      <c r="I281" s="35" t="s">
        <v>1860</v>
      </c>
      <c r="J281" s="36" t="b">
        <f>TRUE()</f>
        <v>1</v>
      </c>
      <c r="K281" s="35" t="s">
        <v>1873</v>
      </c>
    </row>
    <row r="282" spans="5:11" ht="15" customHeight="1" x14ac:dyDescent="0.3">
      <c r="E282" s="34">
        <v>46027</v>
      </c>
      <c r="F282" s="35">
        <v>2026</v>
      </c>
      <c r="G282" s="35">
        <v>1</v>
      </c>
      <c r="H282" s="35" t="s">
        <v>1872</v>
      </c>
      <c r="I282" s="35" t="s">
        <v>1861</v>
      </c>
      <c r="J282" s="36" t="b">
        <f>FALSE()</f>
        <v>0</v>
      </c>
      <c r="K282" s="35" t="s">
        <v>1873</v>
      </c>
    </row>
    <row r="283" spans="5:11" ht="15" customHeight="1" x14ac:dyDescent="0.3">
      <c r="E283" s="34">
        <v>46028</v>
      </c>
      <c r="F283" s="35">
        <v>2026</v>
      </c>
      <c r="G283" s="35">
        <v>1</v>
      </c>
      <c r="H283" s="35" t="s">
        <v>1872</v>
      </c>
      <c r="I283" s="35" t="s">
        <v>1846</v>
      </c>
      <c r="J283" s="36" t="b">
        <f>FALSE()</f>
        <v>0</v>
      </c>
      <c r="K283" s="35" t="s">
        <v>1873</v>
      </c>
    </row>
    <row r="284" spans="5:11" ht="23.25" customHeight="1" x14ac:dyDescent="0.3">
      <c r="E284" s="34">
        <v>46029</v>
      </c>
      <c r="F284" s="35">
        <v>2026</v>
      </c>
      <c r="G284" s="35">
        <v>1</v>
      </c>
      <c r="H284" s="35" t="s">
        <v>1872</v>
      </c>
      <c r="I284" s="35" t="s">
        <v>1850</v>
      </c>
      <c r="J284" s="36" t="b">
        <f>FALSE()</f>
        <v>0</v>
      </c>
      <c r="K284" s="35" t="s">
        <v>1873</v>
      </c>
    </row>
    <row r="285" spans="5:11" ht="15" customHeight="1" x14ac:dyDescent="0.3">
      <c r="E285" s="34">
        <v>46030</v>
      </c>
      <c r="F285" s="35">
        <v>2026</v>
      </c>
      <c r="G285" s="35">
        <v>1</v>
      </c>
      <c r="H285" s="35" t="s">
        <v>1872</v>
      </c>
      <c r="I285" s="35" t="s">
        <v>1853</v>
      </c>
      <c r="J285" s="36" t="b">
        <f>FALSE()</f>
        <v>0</v>
      </c>
      <c r="K285" s="35" t="s">
        <v>1873</v>
      </c>
    </row>
    <row r="286" spans="5:11" ht="15" customHeight="1" x14ac:dyDescent="0.3">
      <c r="E286" s="34">
        <v>46031</v>
      </c>
      <c r="F286" s="35">
        <v>2026</v>
      </c>
      <c r="G286" s="35">
        <v>1</v>
      </c>
      <c r="H286" s="35" t="s">
        <v>1872</v>
      </c>
      <c r="I286" s="35" t="s">
        <v>1856</v>
      </c>
      <c r="J286" s="36" t="b">
        <f>FALSE()</f>
        <v>0</v>
      </c>
      <c r="K286" s="35" t="s">
        <v>1873</v>
      </c>
    </row>
    <row r="287" spans="5:11" ht="15" customHeight="1" x14ac:dyDescent="0.3">
      <c r="E287" s="34">
        <v>46032</v>
      </c>
      <c r="F287" s="35">
        <v>2026</v>
      </c>
      <c r="G287" s="35">
        <v>1</v>
      </c>
      <c r="H287" s="35" t="s">
        <v>1872</v>
      </c>
      <c r="I287" s="35" t="s">
        <v>1859</v>
      </c>
      <c r="J287" s="36" t="b">
        <f>TRUE()</f>
        <v>1</v>
      </c>
      <c r="K287" s="35" t="s">
        <v>1873</v>
      </c>
    </row>
    <row r="288" spans="5:11" ht="15" customHeight="1" x14ac:dyDescent="0.3">
      <c r="E288" s="34">
        <v>46033</v>
      </c>
      <c r="F288" s="35">
        <v>2026</v>
      </c>
      <c r="G288" s="35">
        <v>1</v>
      </c>
      <c r="H288" s="35" t="s">
        <v>1872</v>
      </c>
      <c r="I288" s="35" t="s">
        <v>1860</v>
      </c>
      <c r="J288" s="36" t="b">
        <f>TRUE()</f>
        <v>1</v>
      </c>
      <c r="K288" s="35" t="s">
        <v>1873</v>
      </c>
    </row>
    <row r="289" spans="5:11" ht="15" customHeight="1" x14ac:dyDescent="0.3">
      <c r="E289" s="34">
        <v>46034</v>
      </c>
      <c r="F289" s="35">
        <v>2026</v>
      </c>
      <c r="G289" s="35">
        <v>1</v>
      </c>
      <c r="H289" s="35" t="s">
        <v>1872</v>
      </c>
      <c r="I289" s="35" t="s">
        <v>1861</v>
      </c>
      <c r="J289" s="36" t="b">
        <f>FALSE()</f>
        <v>0</v>
      </c>
      <c r="K289" s="35" t="s">
        <v>1873</v>
      </c>
    </row>
    <row r="290" spans="5:11" ht="15" customHeight="1" x14ac:dyDescent="0.3">
      <c r="E290" s="34">
        <v>46035</v>
      </c>
      <c r="F290" s="35">
        <v>2026</v>
      </c>
      <c r="G290" s="35">
        <v>1</v>
      </c>
      <c r="H290" s="35" t="s">
        <v>1872</v>
      </c>
      <c r="I290" s="35" t="s">
        <v>1846</v>
      </c>
      <c r="J290" s="36" t="b">
        <f>FALSE()</f>
        <v>0</v>
      </c>
      <c r="K290" s="35" t="s">
        <v>1873</v>
      </c>
    </row>
    <row r="291" spans="5:11" ht="23.25" customHeight="1" x14ac:dyDescent="0.3">
      <c r="E291" s="34">
        <v>46036</v>
      </c>
      <c r="F291" s="35">
        <v>2026</v>
      </c>
      <c r="G291" s="35">
        <v>1</v>
      </c>
      <c r="H291" s="35" t="s">
        <v>1872</v>
      </c>
      <c r="I291" s="35" t="s">
        <v>1850</v>
      </c>
      <c r="J291" s="36" t="b">
        <f>FALSE()</f>
        <v>0</v>
      </c>
      <c r="K291" s="35" t="s">
        <v>1873</v>
      </c>
    </row>
    <row r="292" spans="5:11" ht="15" customHeight="1" x14ac:dyDescent="0.3">
      <c r="E292" s="34">
        <v>46037</v>
      </c>
      <c r="F292" s="35">
        <v>2026</v>
      </c>
      <c r="G292" s="35">
        <v>1</v>
      </c>
      <c r="H292" s="35" t="s">
        <v>1872</v>
      </c>
      <c r="I292" s="35" t="s">
        <v>1853</v>
      </c>
      <c r="J292" s="36" t="b">
        <f>FALSE()</f>
        <v>0</v>
      </c>
      <c r="K292" s="35" t="s">
        <v>1873</v>
      </c>
    </row>
    <row r="293" spans="5:11" ht="15" customHeight="1" x14ac:dyDescent="0.3">
      <c r="E293" s="34">
        <v>46038</v>
      </c>
      <c r="F293" s="35">
        <v>2026</v>
      </c>
      <c r="G293" s="35">
        <v>1</v>
      </c>
      <c r="H293" s="35" t="s">
        <v>1872</v>
      </c>
      <c r="I293" s="35" t="s">
        <v>1856</v>
      </c>
      <c r="J293" s="36" t="b">
        <f>FALSE()</f>
        <v>0</v>
      </c>
      <c r="K293" s="35" t="s">
        <v>1873</v>
      </c>
    </row>
    <row r="294" spans="5:11" ht="15" customHeight="1" x14ac:dyDescent="0.3">
      <c r="E294" s="34">
        <v>46039</v>
      </c>
      <c r="F294" s="35">
        <v>2026</v>
      </c>
      <c r="G294" s="35">
        <v>1</v>
      </c>
      <c r="H294" s="35" t="s">
        <v>1872</v>
      </c>
      <c r="I294" s="35" t="s">
        <v>1859</v>
      </c>
      <c r="J294" s="36" t="b">
        <f>TRUE()</f>
        <v>1</v>
      </c>
      <c r="K294" s="35" t="s">
        <v>1873</v>
      </c>
    </row>
    <row r="295" spans="5:11" ht="15" customHeight="1" x14ac:dyDescent="0.3">
      <c r="E295" s="34">
        <v>46040</v>
      </c>
      <c r="F295" s="35">
        <v>2026</v>
      </c>
      <c r="G295" s="35">
        <v>1</v>
      </c>
      <c r="H295" s="35" t="s">
        <v>1872</v>
      </c>
      <c r="I295" s="35" t="s">
        <v>1860</v>
      </c>
      <c r="J295" s="36" t="b">
        <f>TRUE()</f>
        <v>1</v>
      </c>
      <c r="K295" s="35" t="s">
        <v>1873</v>
      </c>
    </row>
    <row r="296" spans="5:11" ht="15" customHeight="1" x14ac:dyDescent="0.3">
      <c r="E296" s="34">
        <v>46041</v>
      </c>
      <c r="F296" s="35">
        <v>2026</v>
      </c>
      <c r="G296" s="35">
        <v>1</v>
      </c>
      <c r="H296" s="35" t="s">
        <v>1872</v>
      </c>
      <c r="I296" s="35" t="s">
        <v>1861</v>
      </c>
      <c r="J296" s="36" t="b">
        <f>FALSE()</f>
        <v>0</v>
      </c>
      <c r="K296" s="35" t="s">
        <v>1873</v>
      </c>
    </row>
    <row r="297" spans="5:11" ht="15" customHeight="1" x14ac:dyDescent="0.3">
      <c r="E297" s="34">
        <v>46042</v>
      </c>
      <c r="F297" s="35">
        <v>2026</v>
      </c>
      <c r="G297" s="35">
        <v>1</v>
      </c>
      <c r="H297" s="35" t="s">
        <v>1872</v>
      </c>
      <c r="I297" s="35" t="s">
        <v>1846</v>
      </c>
      <c r="J297" s="36" t="b">
        <f>FALSE()</f>
        <v>0</v>
      </c>
      <c r="K297" s="35" t="s">
        <v>1873</v>
      </c>
    </row>
    <row r="298" spans="5:11" ht="23.25" customHeight="1" x14ac:dyDescent="0.3">
      <c r="E298" s="34">
        <v>46043</v>
      </c>
      <c r="F298" s="35">
        <v>2026</v>
      </c>
      <c r="G298" s="35">
        <v>1</v>
      </c>
      <c r="H298" s="35" t="s">
        <v>1872</v>
      </c>
      <c r="I298" s="35" t="s">
        <v>1850</v>
      </c>
      <c r="J298" s="36" t="b">
        <f>FALSE()</f>
        <v>0</v>
      </c>
      <c r="K298" s="35" t="s">
        <v>1873</v>
      </c>
    </row>
    <row r="299" spans="5:11" ht="15" customHeight="1" x14ac:dyDescent="0.3">
      <c r="E299" s="34">
        <v>46044</v>
      </c>
      <c r="F299" s="35">
        <v>2026</v>
      </c>
      <c r="G299" s="35">
        <v>1</v>
      </c>
      <c r="H299" s="35" t="s">
        <v>1872</v>
      </c>
      <c r="I299" s="35" t="s">
        <v>1853</v>
      </c>
      <c r="J299" s="36" t="b">
        <f>FALSE()</f>
        <v>0</v>
      </c>
      <c r="K299" s="35" t="s">
        <v>1873</v>
      </c>
    </row>
    <row r="300" spans="5:11" ht="15" customHeight="1" x14ac:dyDescent="0.3">
      <c r="E300" s="34">
        <v>46045</v>
      </c>
      <c r="F300" s="35">
        <v>2026</v>
      </c>
      <c r="G300" s="35">
        <v>1</v>
      </c>
      <c r="H300" s="35" t="s">
        <v>1872</v>
      </c>
      <c r="I300" s="35" t="s">
        <v>1856</v>
      </c>
      <c r="J300" s="36" t="b">
        <f>FALSE()</f>
        <v>0</v>
      </c>
      <c r="K300" s="35" t="s">
        <v>1873</v>
      </c>
    </row>
    <row r="301" spans="5:11" ht="15" customHeight="1" x14ac:dyDescent="0.3">
      <c r="E301" s="34">
        <v>46046</v>
      </c>
      <c r="F301" s="35">
        <v>2026</v>
      </c>
      <c r="G301" s="35">
        <v>1</v>
      </c>
      <c r="H301" s="35" t="s">
        <v>1872</v>
      </c>
      <c r="I301" s="35" t="s">
        <v>1859</v>
      </c>
      <c r="J301" s="36" t="b">
        <f>TRUE()</f>
        <v>1</v>
      </c>
      <c r="K301" s="35" t="s">
        <v>1873</v>
      </c>
    </row>
    <row r="302" spans="5:11" ht="15" customHeight="1" x14ac:dyDescent="0.3">
      <c r="E302" s="34">
        <v>46047</v>
      </c>
      <c r="F302" s="35">
        <v>2026</v>
      </c>
      <c r="G302" s="35">
        <v>1</v>
      </c>
      <c r="H302" s="35" t="s">
        <v>1872</v>
      </c>
      <c r="I302" s="35" t="s">
        <v>1860</v>
      </c>
      <c r="J302" s="36" t="b">
        <f>TRUE()</f>
        <v>1</v>
      </c>
      <c r="K302" s="35" t="s">
        <v>1873</v>
      </c>
    </row>
    <row r="303" spans="5:11" ht="15" customHeight="1" x14ac:dyDescent="0.3">
      <c r="E303" s="34">
        <v>46048</v>
      </c>
      <c r="F303" s="35">
        <v>2026</v>
      </c>
      <c r="G303" s="35">
        <v>1</v>
      </c>
      <c r="H303" s="35" t="s">
        <v>1872</v>
      </c>
      <c r="I303" s="35" t="s">
        <v>1861</v>
      </c>
      <c r="J303" s="36" t="b">
        <f>FALSE()</f>
        <v>0</v>
      </c>
      <c r="K303" s="35" t="s">
        <v>1873</v>
      </c>
    </row>
    <row r="304" spans="5:11" ht="15" customHeight="1" x14ac:dyDescent="0.3">
      <c r="E304" s="34">
        <v>46049</v>
      </c>
      <c r="F304" s="35">
        <v>2026</v>
      </c>
      <c r="G304" s="35">
        <v>1</v>
      </c>
      <c r="H304" s="35" t="s">
        <v>1872</v>
      </c>
      <c r="I304" s="35" t="s">
        <v>1846</v>
      </c>
      <c r="J304" s="36" t="b">
        <f>FALSE()</f>
        <v>0</v>
      </c>
      <c r="K304" s="35" t="s">
        <v>1873</v>
      </c>
    </row>
    <row r="305" spans="5:11" ht="23.25" customHeight="1" x14ac:dyDescent="0.3">
      <c r="E305" s="34">
        <v>46050</v>
      </c>
      <c r="F305" s="35">
        <v>2026</v>
      </c>
      <c r="G305" s="35">
        <v>1</v>
      </c>
      <c r="H305" s="35" t="s">
        <v>1872</v>
      </c>
      <c r="I305" s="35" t="s">
        <v>1850</v>
      </c>
      <c r="J305" s="36" t="b">
        <f>FALSE()</f>
        <v>0</v>
      </c>
      <c r="K305" s="35" t="s">
        <v>1873</v>
      </c>
    </row>
    <row r="306" spans="5:11" ht="15" customHeight="1" x14ac:dyDescent="0.3">
      <c r="E306" s="34">
        <v>46051</v>
      </c>
      <c r="F306" s="35">
        <v>2026</v>
      </c>
      <c r="G306" s="35">
        <v>1</v>
      </c>
      <c r="H306" s="35" t="s">
        <v>1872</v>
      </c>
      <c r="I306" s="35" t="s">
        <v>1853</v>
      </c>
      <c r="J306" s="36" t="b">
        <f>FALSE()</f>
        <v>0</v>
      </c>
      <c r="K306" s="35" t="s">
        <v>1873</v>
      </c>
    </row>
    <row r="307" spans="5:11" ht="15" customHeight="1" x14ac:dyDescent="0.3">
      <c r="E307" s="34">
        <v>46052</v>
      </c>
      <c r="F307" s="35">
        <v>2026</v>
      </c>
      <c r="G307" s="35">
        <v>1</v>
      </c>
      <c r="H307" s="35" t="s">
        <v>1872</v>
      </c>
      <c r="I307" s="35" t="s">
        <v>1856</v>
      </c>
      <c r="J307" s="36" t="b">
        <f>FALSE()</f>
        <v>0</v>
      </c>
      <c r="K307" s="35" t="s">
        <v>1873</v>
      </c>
    </row>
    <row r="308" spans="5:11" ht="15" customHeight="1" x14ac:dyDescent="0.3">
      <c r="E308" s="34">
        <v>46053</v>
      </c>
      <c r="F308" s="35">
        <v>2026</v>
      </c>
      <c r="G308" s="35">
        <v>1</v>
      </c>
      <c r="H308" s="35" t="s">
        <v>1872</v>
      </c>
      <c r="I308" s="35" t="s">
        <v>1859</v>
      </c>
      <c r="J308" s="36" t="b">
        <f>TRUE()</f>
        <v>1</v>
      </c>
      <c r="K308" s="35" t="s">
        <v>1873</v>
      </c>
    </row>
    <row r="309" spans="5:11" ht="15" customHeight="1" x14ac:dyDescent="0.3">
      <c r="E309" s="34">
        <v>46054</v>
      </c>
      <c r="F309" s="35">
        <v>2026</v>
      </c>
      <c r="G309" s="35">
        <v>2</v>
      </c>
      <c r="H309" s="35" t="s">
        <v>1874</v>
      </c>
      <c r="I309" s="35" t="s">
        <v>1860</v>
      </c>
      <c r="J309" s="36" t="b">
        <f>TRUE()</f>
        <v>1</v>
      </c>
      <c r="K309" s="35" t="s">
        <v>1873</v>
      </c>
    </row>
    <row r="310" spans="5:11" ht="15" customHeight="1" x14ac:dyDescent="0.3">
      <c r="E310" s="34">
        <v>46055</v>
      </c>
      <c r="F310" s="35">
        <v>2026</v>
      </c>
      <c r="G310" s="35">
        <v>2</v>
      </c>
      <c r="H310" s="35" t="s">
        <v>1874</v>
      </c>
      <c r="I310" s="35" t="s">
        <v>1861</v>
      </c>
      <c r="J310" s="36" t="b">
        <f>FALSE()</f>
        <v>0</v>
      </c>
      <c r="K310" s="35" t="s">
        <v>1873</v>
      </c>
    </row>
    <row r="311" spans="5:11" ht="15" customHeight="1" x14ac:dyDescent="0.3">
      <c r="E311" s="34">
        <v>46056</v>
      </c>
      <c r="F311" s="35">
        <v>2026</v>
      </c>
      <c r="G311" s="35">
        <v>2</v>
      </c>
      <c r="H311" s="35" t="s">
        <v>1874</v>
      </c>
      <c r="I311" s="35" t="s">
        <v>1846</v>
      </c>
      <c r="J311" s="36" t="b">
        <f>FALSE()</f>
        <v>0</v>
      </c>
      <c r="K311" s="35" t="s">
        <v>1873</v>
      </c>
    </row>
    <row r="312" spans="5:11" ht="23.25" customHeight="1" x14ac:dyDescent="0.3">
      <c r="E312" s="34">
        <v>46057</v>
      </c>
      <c r="F312" s="35">
        <v>2026</v>
      </c>
      <c r="G312" s="35">
        <v>2</v>
      </c>
      <c r="H312" s="35" t="s">
        <v>1874</v>
      </c>
      <c r="I312" s="35" t="s">
        <v>1850</v>
      </c>
      <c r="J312" s="36" t="b">
        <f>FALSE()</f>
        <v>0</v>
      </c>
      <c r="K312" s="35" t="s">
        <v>1873</v>
      </c>
    </row>
    <row r="313" spans="5:11" ht="15" customHeight="1" x14ac:dyDescent="0.3">
      <c r="E313" s="34">
        <v>46058</v>
      </c>
      <c r="F313" s="35">
        <v>2026</v>
      </c>
      <c r="G313" s="35">
        <v>2</v>
      </c>
      <c r="H313" s="35" t="s">
        <v>1874</v>
      </c>
      <c r="I313" s="35" t="s">
        <v>1853</v>
      </c>
      <c r="J313" s="36" t="b">
        <f>FALSE()</f>
        <v>0</v>
      </c>
      <c r="K313" s="35" t="s">
        <v>1873</v>
      </c>
    </row>
    <row r="314" spans="5:11" ht="15" customHeight="1" x14ac:dyDescent="0.3">
      <c r="E314" s="34">
        <v>46059</v>
      </c>
      <c r="F314" s="35">
        <v>2026</v>
      </c>
      <c r="G314" s="35">
        <v>2</v>
      </c>
      <c r="H314" s="35" t="s">
        <v>1874</v>
      </c>
      <c r="I314" s="35" t="s">
        <v>1856</v>
      </c>
      <c r="J314" s="36" t="b">
        <f>FALSE()</f>
        <v>0</v>
      </c>
      <c r="K314" s="35" t="s">
        <v>1873</v>
      </c>
    </row>
    <row r="315" spans="5:11" ht="15" customHeight="1" x14ac:dyDescent="0.3">
      <c r="E315" s="34">
        <v>46060</v>
      </c>
      <c r="F315" s="35">
        <v>2026</v>
      </c>
      <c r="G315" s="35">
        <v>2</v>
      </c>
      <c r="H315" s="35" t="s">
        <v>1874</v>
      </c>
      <c r="I315" s="35" t="s">
        <v>1859</v>
      </c>
      <c r="J315" s="36" t="b">
        <f>TRUE()</f>
        <v>1</v>
      </c>
      <c r="K315" s="35" t="s">
        <v>1873</v>
      </c>
    </row>
    <row r="316" spans="5:11" ht="15" customHeight="1" x14ac:dyDescent="0.3">
      <c r="E316" s="34">
        <v>46061</v>
      </c>
      <c r="F316" s="35">
        <v>2026</v>
      </c>
      <c r="G316" s="35">
        <v>2</v>
      </c>
      <c r="H316" s="35" t="s">
        <v>1874</v>
      </c>
      <c r="I316" s="35" t="s">
        <v>1860</v>
      </c>
      <c r="J316" s="36" t="b">
        <f>TRUE()</f>
        <v>1</v>
      </c>
      <c r="K316" s="35" t="s">
        <v>1873</v>
      </c>
    </row>
    <row r="317" spans="5:11" ht="15" customHeight="1" x14ac:dyDescent="0.3">
      <c r="E317" s="34">
        <v>46062</v>
      </c>
      <c r="F317" s="35">
        <v>2026</v>
      </c>
      <c r="G317" s="35">
        <v>2</v>
      </c>
      <c r="H317" s="35" t="s">
        <v>1874</v>
      </c>
      <c r="I317" s="35" t="s">
        <v>1861</v>
      </c>
      <c r="J317" s="36" t="b">
        <f>FALSE()</f>
        <v>0</v>
      </c>
      <c r="K317" s="35" t="s">
        <v>1873</v>
      </c>
    </row>
    <row r="318" spans="5:11" ht="15" customHeight="1" x14ac:dyDescent="0.3">
      <c r="E318" s="34">
        <v>46063</v>
      </c>
      <c r="F318" s="35">
        <v>2026</v>
      </c>
      <c r="G318" s="35">
        <v>2</v>
      </c>
      <c r="H318" s="35" t="s">
        <v>1874</v>
      </c>
      <c r="I318" s="35" t="s">
        <v>1846</v>
      </c>
      <c r="J318" s="36" t="b">
        <f>FALSE()</f>
        <v>0</v>
      </c>
      <c r="K318" s="35" t="s">
        <v>1873</v>
      </c>
    </row>
    <row r="319" spans="5:11" ht="23.25" customHeight="1" x14ac:dyDescent="0.3">
      <c r="E319" s="34">
        <v>46064</v>
      </c>
      <c r="F319" s="35">
        <v>2026</v>
      </c>
      <c r="G319" s="35">
        <v>2</v>
      </c>
      <c r="H319" s="35" t="s">
        <v>1874</v>
      </c>
      <c r="I319" s="35" t="s">
        <v>1850</v>
      </c>
      <c r="J319" s="36" t="b">
        <f>FALSE()</f>
        <v>0</v>
      </c>
      <c r="K319" s="35" t="s">
        <v>1873</v>
      </c>
    </row>
    <row r="320" spans="5:11" ht="15" customHeight="1" x14ac:dyDescent="0.3">
      <c r="E320" s="34">
        <v>46065</v>
      </c>
      <c r="F320" s="35">
        <v>2026</v>
      </c>
      <c r="G320" s="35">
        <v>2</v>
      </c>
      <c r="H320" s="35" t="s">
        <v>1874</v>
      </c>
      <c r="I320" s="35" t="s">
        <v>1853</v>
      </c>
      <c r="J320" s="36" t="b">
        <f>FALSE()</f>
        <v>0</v>
      </c>
      <c r="K320" s="35" t="s">
        <v>1873</v>
      </c>
    </row>
    <row r="321" spans="5:11" ht="15" customHeight="1" x14ac:dyDescent="0.3">
      <c r="E321" s="34">
        <v>46066</v>
      </c>
      <c r="F321" s="35">
        <v>2026</v>
      </c>
      <c r="G321" s="35">
        <v>2</v>
      </c>
      <c r="H321" s="35" t="s">
        <v>1874</v>
      </c>
      <c r="I321" s="35" t="s">
        <v>1856</v>
      </c>
      <c r="J321" s="36" t="b">
        <f>FALSE()</f>
        <v>0</v>
      </c>
      <c r="K321" s="35" t="s">
        <v>1873</v>
      </c>
    </row>
    <row r="322" spans="5:11" ht="15" customHeight="1" x14ac:dyDescent="0.3">
      <c r="E322" s="34">
        <v>46067</v>
      </c>
      <c r="F322" s="35">
        <v>2026</v>
      </c>
      <c r="G322" s="35">
        <v>2</v>
      </c>
      <c r="H322" s="35" t="s">
        <v>1874</v>
      </c>
      <c r="I322" s="35" t="s">
        <v>1859</v>
      </c>
      <c r="J322" s="36" t="b">
        <f>TRUE()</f>
        <v>1</v>
      </c>
      <c r="K322" s="35" t="s">
        <v>1873</v>
      </c>
    </row>
    <row r="323" spans="5:11" ht="15" customHeight="1" x14ac:dyDescent="0.3">
      <c r="E323" s="34">
        <v>46068</v>
      </c>
      <c r="F323" s="35">
        <v>2026</v>
      </c>
      <c r="G323" s="35">
        <v>2</v>
      </c>
      <c r="H323" s="35" t="s">
        <v>1874</v>
      </c>
      <c r="I323" s="35" t="s">
        <v>1860</v>
      </c>
      <c r="J323" s="36" t="b">
        <f>TRUE()</f>
        <v>1</v>
      </c>
      <c r="K323" s="35" t="s">
        <v>1873</v>
      </c>
    </row>
    <row r="324" spans="5:11" ht="15" customHeight="1" x14ac:dyDescent="0.3">
      <c r="E324" s="34">
        <v>46069</v>
      </c>
      <c r="F324" s="35">
        <v>2026</v>
      </c>
      <c r="G324" s="35">
        <v>2</v>
      </c>
      <c r="H324" s="35" t="s">
        <v>1874</v>
      </c>
      <c r="I324" s="35" t="s">
        <v>1861</v>
      </c>
      <c r="J324" s="36" t="b">
        <f>FALSE()</f>
        <v>0</v>
      </c>
      <c r="K324" s="35" t="s">
        <v>1873</v>
      </c>
    </row>
    <row r="325" spans="5:11" ht="15" customHeight="1" x14ac:dyDescent="0.3">
      <c r="E325" s="34">
        <v>46070</v>
      </c>
      <c r="F325" s="35">
        <v>2026</v>
      </c>
      <c r="G325" s="35">
        <v>2</v>
      </c>
      <c r="H325" s="35" t="s">
        <v>1874</v>
      </c>
      <c r="I325" s="35" t="s">
        <v>1846</v>
      </c>
      <c r="J325" s="36" t="b">
        <f>FALSE()</f>
        <v>0</v>
      </c>
      <c r="K325" s="35" t="s">
        <v>1873</v>
      </c>
    </row>
    <row r="326" spans="5:11" ht="23.25" customHeight="1" x14ac:dyDescent="0.3">
      <c r="E326" s="34">
        <v>46071</v>
      </c>
      <c r="F326" s="35">
        <v>2026</v>
      </c>
      <c r="G326" s="35">
        <v>2</v>
      </c>
      <c r="H326" s="35" t="s">
        <v>1874</v>
      </c>
      <c r="I326" s="35" t="s">
        <v>1850</v>
      </c>
      <c r="J326" s="36" t="b">
        <f>FALSE()</f>
        <v>0</v>
      </c>
      <c r="K326" s="35" t="s">
        <v>1873</v>
      </c>
    </row>
    <row r="327" spans="5:11" ht="15" customHeight="1" x14ac:dyDescent="0.3">
      <c r="E327" s="34">
        <v>46072</v>
      </c>
      <c r="F327" s="35">
        <v>2026</v>
      </c>
      <c r="G327" s="35">
        <v>2</v>
      </c>
      <c r="H327" s="35" t="s">
        <v>1874</v>
      </c>
      <c r="I327" s="35" t="s">
        <v>1853</v>
      </c>
      <c r="J327" s="36" t="b">
        <f>FALSE()</f>
        <v>0</v>
      </c>
      <c r="K327" s="35" t="s">
        <v>1873</v>
      </c>
    </row>
    <row r="328" spans="5:11" ht="15" customHeight="1" x14ac:dyDescent="0.3">
      <c r="E328" s="34">
        <v>46073</v>
      </c>
      <c r="F328" s="35">
        <v>2026</v>
      </c>
      <c r="G328" s="35">
        <v>2</v>
      </c>
      <c r="H328" s="35" t="s">
        <v>1874</v>
      </c>
      <c r="I328" s="35" t="s">
        <v>1856</v>
      </c>
      <c r="J328" s="36" t="b">
        <f>FALSE()</f>
        <v>0</v>
      </c>
      <c r="K328" s="35" t="s">
        <v>1873</v>
      </c>
    </row>
    <row r="329" spans="5:11" ht="15" customHeight="1" x14ac:dyDescent="0.3">
      <c r="E329" s="34">
        <v>46074</v>
      </c>
      <c r="F329" s="35">
        <v>2026</v>
      </c>
      <c r="G329" s="35">
        <v>2</v>
      </c>
      <c r="H329" s="35" t="s">
        <v>1874</v>
      </c>
      <c r="I329" s="35" t="s">
        <v>1859</v>
      </c>
      <c r="J329" s="36" t="b">
        <f>TRUE()</f>
        <v>1</v>
      </c>
      <c r="K329" s="35" t="s">
        <v>1873</v>
      </c>
    </row>
    <row r="330" spans="5:11" ht="15" customHeight="1" x14ac:dyDescent="0.3">
      <c r="E330" s="34">
        <v>46075</v>
      </c>
      <c r="F330" s="35">
        <v>2026</v>
      </c>
      <c r="G330" s="35">
        <v>2</v>
      </c>
      <c r="H330" s="35" t="s">
        <v>1874</v>
      </c>
      <c r="I330" s="35" t="s">
        <v>1860</v>
      </c>
      <c r="J330" s="36" t="b">
        <f>TRUE()</f>
        <v>1</v>
      </c>
      <c r="K330" s="35" t="s">
        <v>1873</v>
      </c>
    </row>
    <row r="331" spans="5:11" ht="15" customHeight="1" x14ac:dyDescent="0.3">
      <c r="E331" s="34">
        <v>46076</v>
      </c>
      <c r="F331" s="35">
        <v>2026</v>
      </c>
      <c r="G331" s="35">
        <v>2</v>
      </c>
      <c r="H331" s="35" t="s">
        <v>1874</v>
      </c>
      <c r="I331" s="35" t="s">
        <v>1861</v>
      </c>
      <c r="J331" s="36" t="b">
        <f>FALSE()</f>
        <v>0</v>
      </c>
      <c r="K331" s="35" t="s">
        <v>1873</v>
      </c>
    </row>
    <row r="332" spans="5:11" ht="15" customHeight="1" x14ac:dyDescent="0.3">
      <c r="E332" s="34">
        <v>46077</v>
      </c>
      <c r="F332" s="35">
        <v>2026</v>
      </c>
      <c r="G332" s="35">
        <v>2</v>
      </c>
      <c r="H332" s="35" t="s">
        <v>1874</v>
      </c>
      <c r="I332" s="35" t="s">
        <v>1846</v>
      </c>
      <c r="J332" s="36" t="b">
        <f>FALSE()</f>
        <v>0</v>
      </c>
      <c r="K332" s="35" t="s">
        <v>1873</v>
      </c>
    </row>
    <row r="333" spans="5:11" ht="23.25" customHeight="1" x14ac:dyDescent="0.3">
      <c r="E333" s="34">
        <v>46078</v>
      </c>
      <c r="F333" s="35">
        <v>2026</v>
      </c>
      <c r="G333" s="35">
        <v>2</v>
      </c>
      <c r="H333" s="35" t="s">
        <v>1874</v>
      </c>
      <c r="I333" s="35" t="s">
        <v>1850</v>
      </c>
      <c r="J333" s="36" t="b">
        <f>FALSE()</f>
        <v>0</v>
      </c>
      <c r="K333" s="35" t="s">
        <v>1873</v>
      </c>
    </row>
    <row r="334" spans="5:11" ht="15" customHeight="1" x14ac:dyDescent="0.3">
      <c r="E334" s="34">
        <v>46079</v>
      </c>
      <c r="F334" s="35">
        <v>2026</v>
      </c>
      <c r="G334" s="35">
        <v>2</v>
      </c>
      <c r="H334" s="35" t="s">
        <v>1874</v>
      </c>
      <c r="I334" s="35" t="s">
        <v>1853</v>
      </c>
      <c r="J334" s="36" t="b">
        <f>FALSE()</f>
        <v>0</v>
      </c>
      <c r="K334" s="35" t="s">
        <v>1873</v>
      </c>
    </row>
    <row r="335" spans="5:11" ht="15" customHeight="1" x14ac:dyDescent="0.3">
      <c r="E335" s="34">
        <v>46080</v>
      </c>
      <c r="F335" s="35">
        <v>2026</v>
      </c>
      <c r="G335" s="35">
        <v>2</v>
      </c>
      <c r="H335" s="35" t="s">
        <v>1874</v>
      </c>
      <c r="I335" s="35" t="s">
        <v>1856</v>
      </c>
      <c r="J335" s="36" t="b">
        <f>FALSE()</f>
        <v>0</v>
      </c>
      <c r="K335" s="35" t="s">
        <v>1873</v>
      </c>
    </row>
    <row r="336" spans="5:11" ht="15" customHeight="1" x14ac:dyDescent="0.3">
      <c r="E336" s="34">
        <v>46081</v>
      </c>
      <c r="F336" s="35">
        <v>2026</v>
      </c>
      <c r="G336" s="35">
        <v>2</v>
      </c>
      <c r="H336" s="35" t="s">
        <v>1874</v>
      </c>
      <c r="I336" s="35" t="s">
        <v>1859</v>
      </c>
      <c r="J336" s="36" t="b">
        <f>TRUE()</f>
        <v>1</v>
      </c>
      <c r="K336" s="35" t="s">
        <v>1873</v>
      </c>
    </row>
    <row r="337" spans="5:11" ht="15" customHeight="1" x14ac:dyDescent="0.3">
      <c r="E337" s="34">
        <v>46082</v>
      </c>
      <c r="F337" s="35">
        <v>2026</v>
      </c>
      <c r="G337" s="35">
        <v>3</v>
      </c>
      <c r="H337" s="35" t="s">
        <v>1875</v>
      </c>
      <c r="I337" s="35" t="s">
        <v>1860</v>
      </c>
      <c r="J337" s="36" t="b">
        <f>TRUE()</f>
        <v>1</v>
      </c>
      <c r="K337" s="35" t="s">
        <v>1873</v>
      </c>
    </row>
    <row r="338" spans="5:11" ht="15" customHeight="1" x14ac:dyDescent="0.3">
      <c r="E338" s="34">
        <v>46083</v>
      </c>
      <c r="F338" s="35">
        <v>2026</v>
      </c>
      <c r="G338" s="35">
        <v>3</v>
      </c>
      <c r="H338" s="35" t="s">
        <v>1875</v>
      </c>
      <c r="I338" s="35" t="s">
        <v>1861</v>
      </c>
      <c r="J338" s="36" t="b">
        <f>FALSE()</f>
        <v>0</v>
      </c>
      <c r="K338" s="35" t="s">
        <v>1873</v>
      </c>
    </row>
    <row r="339" spans="5:11" ht="15" customHeight="1" x14ac:dyDescent="0.3">
      <c r="E339" s="34">
        <v>46084</v>
      </c>
      <c r="F339" s="35">
        <v>2026</v>
      </c>
      <c r="G339" s="35">
        <v>3</v>
      </c>
      <c r="H339" s="35" t="s">
        <v>1875</v>
      </c>
      <c r="I339" s="35" t="s">
        <v>1846</v>
      </c>
      <c r="J339" s="36" t="b">
        <f>FALSE()</f>
        <v>0</v>
      </c>
      <c r="K339" s="35" t="s">
        <v>1873</v>
      </c>
    </row>
    <row r="340" spans="5:11" ht="23.25" customHeight="1" x14ac:dyDescent="0.3">
      <c r="E340" s="34">
        <v>46085</v>
      </c>
      <c r="F340" s="35">
        <v>2026</v>
      </c>
      <c r="G340" s="35">
        <v>3</v>
      </c>
      <c r="H340" s="35" t="s">
        <v>1875</v>
      </c>
      <c r="I340" s="35" t="s">
        <v>1850</v>
      </c>
      <c r="J340" s="36" t="b">
        <f>FALSE()</f>
        <v>0</v>
      </c>
      <c r="K340" s="35" t="s">
        <v>1873</v>
      </c>
    </row>
    <row r="341" spans="5:11" ht="15" customHeight="1" x14ac:dyDescent="0.3">
      <c r="E341" s="34">
        <v>46086</v>
      </c>
      <c r="F341" s="35">
        <v>2026</v>
      </c>
      <c r="G341" s="35">
        <v>3</v>
      </c>
      <c r="H341" s="35" t="s">
        <v>1875</v>
      </c>
      <c r="I341" s="35" t="s">
        <v>1853</v>
      </c>
      <c r="J341" s="36" t="b">
        <f>FALSE()</f>
        <v>0</v>
      </c>
      <c r="K341" s="35" t="s">
        <v>1873</v>
      </c>
    </row>
    <row r="342" spans="5:11" ht="15" customHeight="1" x14ac:dyDescent="0.3">
      <c r="E342" s="34">
        <v>46087</v>
      </c>
      <c r="F342" s="35">
        <v>2026</v>
      </c>
      <c r="G342" s="35">
        <v>3</v>
      </c>
      <c r="H342" s="35" t="s">
        <v>1875</v>
      </c>
      <c r="I342" s="35" t="s">
        <v>1856</v>
      </c>
      <c r="J342" s="36" t="b">
        <f>FALSE()</f>
        <v>0</v>
      </c>
      <c r="K342" s="35" t="s">
        <v>1873</v>
      </c>
    </row>
    <row r="343" spans="5:11" ht="15" customHeight="1" x14ac:dyDescent="0.3">
      <c r="E343" s="34">
        <v>46088</v>
      </c>
      <c r="F343" s="35">
        <v>2026</v>
      </c>
      <c r="G343" s="35">
        <v>3</v>
      </c>
      <c r="H343" s="35" t="s">
        <v>1875</v>
      </c>
      <c r="I343" s="35" t="s">
        <v>1859</v>
      </c>
      <c r="J343" s="36" t="b">
        <f>TRUE()</f>
        <v>1</v>
      </c>
      <c r="K343" s="35" t="s">
        <v>1873</v>
      </c>
    </row>
    <row r="344" spans="5:11" ht="15" customHeight="1" x14ac:dyDescent="0.3">
      <c r="E344" s="34">
        <v>46089</v>
      </c>
      <c r="F344" s="35">
        <v>2026</v>
      </c>
      <c r="G344" s="35">
        <v>3</v>
      </c>
      <c r="H344" s="35" t="s">
        <v>1875</v>
      </c>
      <c r="I344" s="35" t="s">
        <v>1860</v>
      </c>
      <c r="J344" s="36" t="b">
        <f>TRUE()</f>
        <v>1</v>
      </c>
      <c r="K344" s="35" t="s">
        <v>1873</v>
      </c>
    </row>
    <row r="345" spans="5:11" ht="15" customHeight="1" x14ac:dyDescent="0.3">
      <c r="E345" s="34">
        <v>46090</v>
      </c>
      <c r="F345" s="35">
        <v>2026</v>
      </c>
      <c r="G345" s="35">
        <v>3</v>
      </c>
      <c r="H345" s="35" t="s">
        <v>1875</v>
      </c>
      <c r="I345" s="35" t="s">
        <v>1861</v>
      </c>
      <c r="J345" s="36" t="b">
        <f>FALSE()</f>
        <v>0</v>
      </c>
      <c r="K345" s="35" t="s">
        <v>1873</v>
      </c>
    </row>
    <row r="346" spans="5:11" ht="15" customHeight="1" x14ac:dyDescent="0.3">
      <c r="E346" s="34">
        <v>46091</v>
      </c>
      <c r="F346" s="35">
        <v>2026</v>
      </c>
      <c r="G346" s="35">
        <v>3</v>
      </c>
      <c r="H346" s="35" t="s">
        <v>1875</v>
      </c>
      <c r="I346" s="35" t="s">
        <v>1846</v>
      </c>
      <c r="J346" s="36" t="b">
        <f>FALSE()</f>
        <v>0</v>
      </c>
      <c r="K346" s="35" t="s">
        <v>1873</v>
      </c>
    </row>
    <row r="347" spans="5:11" ht="23.25" customHeight="1" x14ac:dyDescent="0.3">
      <c r="E347" s="34">
        <v>46092</v>
      </c>
      <c r="F347" s="35">
        <v>2026</v>
      </c>
      <c r="G347" s="35">
        <v>3</v>
      </c>
      <c r="H347" s="35" t="s">
        <v>1875</v>
      </c>
      <c r="I347" s="35" t="s">
        <v>1850</v>
      </c>
      <c r="J347" s="36" t="b">
        <f>FALSE()</f>
        <v>0</v>
      </c>
      <c r="K347" s="35" t="s">
        <v>1873</v>
      </c>
    </row>
    <row r="348" spans="5:11" ht="15" customHeight="1" x14ac:dyDescent="0.3">
      <c r="E348" s="34">
        <v>46093</v>
      </c>
      <c r="F348" s="35">
        <v>2026</v>
      </c>
      <c r="G348" s="35">
        <v>3</v>
      </c>
      <c r="H348" s="35" t="s">
        <v>1875</v>
      </c>
      <c r="I348" s="35" t="s">
        <v>1853</v>
      </c>
      <c r="J348" s="36" t="b">
        <f>FALSE()</f>
        <v>0</v>
      </c>
      <c r="K348" s="35" t="s">
        <v>1873</v>
      </c>
    </row>
    <row r="349" spans="5:11" ht="15" customHeight="1" x14ac:dyDescent="0.3">
      <c r="E349" s="34">
        <v>46094</v>
      </c>
      <c r="F349" s="35">
        <v>2026</v>
      </c>
      <c r="G349" s="35">
        <v>3</v>
      </c>
      <c r="H349" s="35" t="s">
        <v>1875</v>
      </c>
      <c r="I349" s="35" t="s">
        <v>1856</v>
      </c>
      <c r="J349" s="36" t="b">
        <f>FALSE()</f>
        <v>0</v>
      </c>
      <c r="K349" s="35" t="s">
        <v>1873</v>
      </c>
    </row>
    <row r="350" spans="5:11" ht="15" customHeight="1" x14ac:dyDescent="0.3">
      <c r="E350" s="34">
        <v>46095</v>
      </c>
      <c r="F350" s="35">
        <v>2026</v>
      </c>
      <c r="G350" s="35">
        <v>3</v>
      </c>
      <c r="H350" s="35" t="s">
        <v>1875</v>
      </c>
      <c r="I350" s="35" t="s">
        <v>1859</v>
      </c>
      <c r="J350" s="36" t="b">
        <f>TRUE()</f>
        <v>1</v>
      </c>
      <c r="K350" s="35" t="s">
        <v>1873</v>
      </c>
    </row>
    <row r="351" spans="5:11" ht="15" customHeight="1" x14ac:dyDescent="0.3">
      <c r="E351" s="34">
        <v>46096</v>
      </c>
      <c r="F351" s="35">
        <v>2026</v>
      </c>
      <c r="G351" s="35">
        <v>3</v>
      </c>
      <c r="H351" s="35" t="s">
        <v>1875</v>
      </c>
      <c r="I351" s="35" t="s">
        <v>1860</v>
      </c>
      <c r="J351" s="36" t="b">
        <f>TRUE()</f>
        <v>1</v>
      </c>
      <c r="K351" s="35" t="s">
        <v>1873</v>
      </c>
    </row>
    <row r="352" spans="5:11" ht="15" customHeight="1" x14ac:dyDescent="0.3">
      <c r="E352" s="34">
        <v>46097</v>
      </c>
      <c r="F352" s="35">
        <v>2026</v>
      </c>
      <c r="G352" s="35">
        <v>3</v>
      </c>
      <c r="H352" s="35" t="s">
        <v>1875</v>
      </c>
      <c r="I352" s="35" t="s">
        <v>1861</v>
      </c>
      <c r="J352" s="36" t="b">
        <f>FALSE()</f>
        <v>0</v>
      </c>
      <c r="K352" s="35" t="s">
        <v>1873</v>
      </c>
    </row>
    <row r="353" spans="5:11" ht="15" customHeight="1" x14ac:dyDescent="0.3">
      <c r="E353" s="34">
        <v>46098</v>
      </c>
      <c r="F353" s="35">
        <v>2026</v>
      </c>
      <c r="G353" s="35">
        <v>3</v>
      </c>
      <c r="H353" s="35" t="s">
        <v>1875</v>
      </c>
      <c r="I353" s="35" t="s">
        <v>1846</v>
      </c>
      <c r="J353" s="36" t="b">
        <f>FALSE()</f>
        <v>0</v>
      </c>
      <c r="K353" s="35" t="s">
        <v>1873</v>
      </c>
    </row>
    <row r="354" spans="5:11" ht="23.25" customHeight="1" x14ac:dyDescent="0.3">
      <c r="E354" s="34">
        <v>46099</v>
      </c>
      <c r="F354" s="35">
        <v>2026</v>
      </c>
      <c r="G354" s="35">
        <v>3</v>
      </c>
      <c r="H354" s="35" t="s">
        <v>1875</v>
      </c>
      <c r="I354" s="35" t="s">
        <v>1850</v>
      </c>
      <c r="J354" s="36" t="b">
        <f>FALSE()</f>
        <v>0</v>
      </c>
      <c r="K354" s="35" t="s">
        <v>1873</v>
      </c>
    </row>
    <row r="355" spans="5:11" ht="15" customHeight="1" x14ac:dyDescent="0.3">
      <c r="E355" s="34">
        <v>46100</v>
      </c>
      <c r="F355" s="35">
        <v>2026</v>
      </c>
      <c r="G355" s="35">
        <v>3</v>
      </c>
      <c r="H355" s="35" t="s">
        <v>1875</v>
      </c>
      <c r="I355" s="35" t="s">
        <v>1853</v>
      </c>
      <c r="J355" s="36" t="b">
        <f>FALSE()</f>
        <v>0</v>
      </c>
      <c r="K355" s="35" t="s">
        <v>1873</v>
      </c>
    </row>
    <row r="356" spans="5:11" ht="15" customHeight="1" x14ac:dyDescent="0.3">
      <c r="E356" s="34">
        <v>46101</v>
      </c>
      <c r="F356" s="35">
        <v>2026</v>
      </c>
      <c r="G356" s="35">
        <v>3</v>
      </c>
      <c r="H356" s="35" t="s">
        <v>1875</v>
      </c>
      <c r="I356" s="35" t="s">
        <v>1856</v>
      </c>
      <c r="J356" s="36" t="b">
        <f>FALSE()</f>
        <v>0</v>
      </c>
      <c r="K356" s="35" t="s">
        <v>1873</v>
      </c>
    </row>
    <row r="357" spans="5:11" ht="15" customHeight="1" x14ac:dyDescent="0.3">
      <c r="E357" s="34">
        <v>46102</v>
      </c>
      <c r="F357" s="35">
        <v>2026</v>
      </c>
      <c r="G357" s="35">
        <v>3</v>
      </c>
      <c r="H357" s="35" t="s">
        <v>1875</v>
      </c>
      <c r="I357" s="35" t="s">
        <v>1859</v>
      </c>
      <c r="J357" s="36" t="b">
        <f>TRUE()</f>
        <v>1</v>
      </c>
      <c r="K357" s="35" t="s">
        <v>1873</v>
      </c>
    </row>
    <row r="358" spans="5:11" ht="15" customHeight="1" x14ac:dyDescent="0.3">
      <c r="E358" s="34">
        <v>46103</v>
      </c>
      <c r="F358" s="35">
        <v>2026</v>
      </c>
      <c r="G358" s="35">
        <v>3</v>
      </c>
      <c r="H358" s="35" t="s">
        <v>1875</v>
      </c>
      <c r="I358" s="35" t="s">
        <v>1860</v>
      </c>
      <c r="J358" s="36" t="b">
        <f>TRUE()</f>
        <v>1</v>
      </c>
      <c r="K358" s="35" t="s">
        <v>1873</v>
      </c>
    </row>
    <row r="359" spans="5:11" ht="15" customHeight="1" x14ac:dyDescent="0.3">
      <c r="E359" s="34">
        <v>46104</v>
      </c>
      <c r="F359" s="35">
        <v>2026</v>
      </c>
      <c r="G359" s="35">
        <v>3</v>
      </c>
      <c r="H359" s="35" t="s">
        <v>1875</v>
      </c>
      <c r="I359" s="35" t="s">
        <v>1861</v>
      </c>
      <c r="J359" s="36" t="b">
        <f>FALSE()</f>
        <v>0</v>
      </c>
      <c r="K359" s="35" t="s">
        <v>1873</v>
      </c>
    </row>
    <row r="360" spans="5:11" ht="15" customHeight="1" x14ac:dyDescent="0.3">
      <c r="E360" s="34">
        <v>46105</v>
      </c>
      <c r="F360" s="35">
        <v>2026</v>
      </c>
      <c r="G360" s="35">
        <v>3</v>
      </c>
      <c r="H360" s="35" t="s">
        <v>1875</v>
      </c>
      <c r="I360" s="35" t="s">
        <v>1846</v>
      </c>
      <c r="J360" s="36" t="b">
        <f>FALSE()</f>
        <v>0</v>
      </c>
      <c r="K360" s="35" t="s">
        <v>1873</v>
      </c>
    </row>
    <row r="361" spans="5:11" ht="23.25" customHeight="1" x14ac:dyDescent="0.3">
      <c r="E361" s="34">
        <v>46106</v>
      </c>
      <c r="F361" s="35">
        <v>2026</v>
      </c>
      <c r="G361" s="35">
        <v>3</v>
      </c>
      <c r="H361" s="35" t="s">
        <v>1875</v>
      </c>
      <c r="I361" s="35" t="s">
        <v>1850</v>
      </c>
      <c r="J361" s="36" t="b">
        <f>FALSE()</f>
        <v>0</v>
      </c>
      <c r="K361" s="35" t="s">
        <v>1873</v>
      </c>
    </row>
    <row r="362" spans="5:11" ht="15" customHeight="1" x14ac:dyDescent="0.3">
      <c r="E362" s="34">
        <v>46107</v>
      </c>
      <c r="F362" s="35">
        <v>2026</v>
      </c>
      <c r="G362" s="35">
        <v>3</v>
      </c>
      <c r="H362" s="35" t="s">
        <v>1875</v>
      </c>
      <c r="I362" s="35" t="s">
        <v>1853</v>
      </c>
      <c r="J362" s="36" t="b">
        <f>FALSE()</f>
        <v>0</v>
      </c>
      <c r="K362" s="35" t="s">
        <v>1873</v>
      </c>
    </row>
    <row r="363" spans="5:11" ht="15" customHeight="1" x14ac:dyDescent="0.3">
      <c r="E363" s="34">
        <v>46108</v>
      </c>
      <c r="F363" s="35">
        <v>2026</v>
      </c>
      <c r="G363" s="35">
        <v>3</v>
      </c>
      <c r="H363" s="35" t="s">
        <v>1875</v>
      </c>
      <c r="I363" s="35" t="s">
        <v>1856</v>
      </c>
      <c r="J363" s="36" t="b">
        <f>FALSE()</f>
        <v>0</v>
      </c>
      <c r="K363" s="35" t="s">
        <v>1873</v>
      </c>
    </row>
    <row r="364" spans="5:11" ht="15" customHeight="1" x14ac:dyDescent="0.3">
      <c r="E364" s="34">
        <v>46109</v>
      </c>
      <c r="F364" s="35">
        <v>2026</v>
      </c>
      <c r="G364" s="35">
        <v>3</v>
      </c>
      <c r="H364" s="35" t="s">
        <v>1875</v>
      </c>
      <c r="I364" s="35" t="s">
        <v>1859</v>
      </c>
      <c r="J364" s="36" t="b">
        <f>TRUE()</f>
        <v>1</v>
      </c>
      <c r="K364" s="35" t="s">
        <v>1873</v>
      </c>
    </row>
    <row r="365" spans="5:11" ht="15" customHeight="1" x14ac:dyDescent="0.3">
      <c r="E365" s="34">
        <v>46110</v>
      </c>
      <c r="F365" s="35">
        <v>2026</v>
      </c>
      <c r="G365" s="35">
        <v>3</v>
      </c>
      <c r="H365" s="35" t="s">
        <v>1875</v>
      </c>
      <c r="I365" s="35" t="s">
        <v>1860</v>
      </c>
      <c r="J365" s="36" t="b">
        <f>TRUE()</f>
        <v>1</v>
      </c>
      <c r="K365" s="35" t="s">
        <v>1873</v>
      </c>
    </row>
    <row r="366" spans="5:11" ht="15" customHeight="1" x14ac:dyDescent="0.3">
      <c r="E366" s="34">
        <v>46111</v>
      </c>
      <c r="F366" s="35">
        <v>2026</v>
      </c>
      <c r="G366" s="35">
        <v>3</v>
      </c>
      <c r="H366" s="35" t="s">
        <v>1875</v>
      </c>
      <c r="I366" s="35" t="s">
        <v>1861</v>
      </c>
      <c r="J366" s="36" t="b">
        <f>FALSE()</f>
        <v>0</v>
      </c>
      <c r="K366" s="35" t="s">
        <v>1873</v>
      </c>
    </row>
    <row r="367" spans="5:11" ht="15" customHeight="1" x14ac:dyDescent="0.3">
      <c r="E367" s="34">
        <v>46112</v>
      </c>
      <c r="F367" s="35">
        <v>2026</v>
      </c>
      <c r="G367" s="35">
        <v>3</v>
      </c>
      <c r="H367" s="35" t="s">
        <v>1875</v>
      </c>
      <c r="I367" s="35" t="s">
        <v>1846</v>
      </c>
      <c r="J367" s="36" t="b">
        <f>FALSE()</f>
        <v>0</v>
      </c>
      <c r="K367" s="35" t="s">
        <v>1873</v>
      </c>
    </row>
  </sheetData>
  <mergeCells count="2">
    <mergeCell ref="A1:C1"/>
    <mergeCell ref="E1:I1"/>
  </mergeCells>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C3E50"/>
  </sheetPr>
  <dimension ref="A1:D20"/>
  <sheetViews>
    <sheetView showRowColHeaders="0" zoomScale="86" zoomScaleNormal="55" workbookViewId="0">
      <selection activeCell="A17" sqref="A17"/>
    </sheetView>
  </sheetViews>
  <sheetFormatPr defaultColWidth="8.6640625" defaultRowHeight="14.4" x14ac:dyDescent="0.3"/>
  <cols>
    <col min="1" max="1" width="22" style="1" customWidth="1"/>
    <col min="2" max="2" width="35" style="1" customWidth="1"/>
    <col min="3" max="3" width="58" style="1" customWidth="1"/>
    <col min="4" max="4" width="22" style="1" customWidth="1"/>
  </cols>
  <sheetData>
    <row r="1" spans="1:4" ht="15" customHeight="1" x14ac:dyDescent="0.3">
      <c r="A1" s="85" t="s">
        <v>1876</v>
      </c>
      <c r="B1" s="85"/>
      <c r="C1" s="85"/>
      <c r="D1" s="85"/>
    </row>
    <row r="2" spans="1:4" ht="15" customHeight="1" x14ac:dyDescent="0.3">
      <c r="A2" s="13" t="s">
        <v>1877</v>
      </c>
      <c r="B2" s="13" t="s">
        <v>1878</v>
      </c>
      <c r="C2" s="13" t="s">
        <v>1879</v>
      </c>
      <c r="D2" s="13" t="s">
        <v>1880</v>
      </c>
    </row>
    <row r="3" spans="1:4" ht="15" customHeight="1" x14ac:dyDescent="0.3">
      <c r="A3" s="16" t="s">
        <v>19</v>
      </c>
      <c r="B3" s="16" t="s">
        <v>1881</v>
      </c>
      <c r="C3" s="16">
        <f>'KPI Summary'!B3</f>
        <v>200</v>
      </c>
      <c r="D3" s="16" t="s">
        <v>1882</v>
      </c>
    </row>
    <row r="4" spans="1:4" ht="15" customHeight="1" x14ac:dyDescent="0.3">
      <c r="A4" s="19" t="s">
        <v>21</v>
      </c>
      <c r="B4" s="19" t="s">
        <v>1883</v>
      </c>
      <c r="C4" s="19">
        <f>'KPI Summary'!B11</f>
        <v>10038773</v>
      </c>
      <c r="D4" s="19" t="s">
        <v>1884</v>
      </c>
    </row>
    <row r="5" spans="1:4" ht="15" customHeight="1" x14ac:dyDescent="0.3">
      <c r="A5" s="16" t="s">
        <v>1885</v>
      </c>
      <c r="B5" s="16" t="s">
        <v>1886</v>
      </c>
      <c r="C5" s="16">
        <f>AVERAGE(tblTransactions[Amount (INR)])</f>
        <v>9615.6829501915709</v>
      </c>
      <c r="D5" s="16" t="s">
        <v>1884</v>
      </c>
    </row>
    <row r="6" spans="1:4" ht="15" customHeight="1" x14ac:dyDescent="0.3">
      <c r="A6" s="19" t="s">
        <v>1887</v>
      </c>
      <c r="B6" s="19" t="s">
        <v>1888</v>
      </c>
      <c r="C6" s="19" t="s">
        <v>1889</v>
      </c>
      <c r="D6" s="19" t="s">
        <v>1890</v>
      </c>
    </row>
    <row r="7" spans="1:4" ht="15" customHeight="1" x14ac:dyDescent="0.3">
      <c r="A7" s="16" t="s">
        <v>1891</v>
      </c>
      <c r="B7" s="16" t="s">
        <v>1892</v>
      </c>
      <c r="C7" s="16" t="s">
        <v>1893</v>
      </c>
      <c r="D7" s="16" t="s">
        <v>1882</v>
      </c>
    </row>
    <row r="8" spans="1:4" ht="15" customHeight="1" x14ac:dyDescent="0.3">
      <c r="A8" s="19" t="s">
        <v>1894</v>
      </c>
      <c r="B8" s="19" t="s">
        <v>1895</v>
      </c>
      <c r="C8" s="19" t="s">
        <v>1896</v>
      </c>
      <c r="D8" s="19" t="s">
        <v>1884</v>
      </c>
    </row>
    <row r="9" spans="1:4" ht="15" customHeight="1" x14ac:dyDescent="0.3">
      <c r="A9" s="16" t="s">
        <v>1897</v>
      </c>
      <c r="B9" s="16" t="s">
        <v>1898</v>
      </c>
      <c r="C9" s="16" t="s">
        <v>1899</v>
      </c>
      <c r="D9" s="16" t="s">
        <v>1900</v>
      </c>
    </row>
    <row r="10" spans="1:4" ht="15" customHeight="1" x14ac:dyDescent="0.3">
      <c r="A10" s="19" t="s">
        <v>1901</v>
      </c>
      <c r="B10" s="19" t="s">
        <v>1902</v>
      </c>
      <c r="C10" s="19" t="s">
        <v>1903</v>
      </c>
      <c r="D10" s="19" t="s">
        <v>1904</v>
      </c>
    </row>
    <row r="11" spans="1:4" ht="15" customHeight="1" x14ac:dyDescent="0.3">
      <c r="A11" s="16" t="s">
        <v>1905</v>
      </c>
      <c r="B11" s="16" t="s">
        <v>1906</v>
      </c>
      <c r="C11" s="16" t="s">
        <v>1907</v>
      </c>
      <c r="D11" s="16" t="s">
        <v>1908</v>
      </c>
    </row>
    <row r="12" spans="1:4" ht="15" customHeight="1" x14ac:dyDescent="0.3">
      <c r="A12" s="19" t="s">
        <v>23</v>
      </c>
      <c r="B12" s="19" t="s">
        <v>1909</v>
      </c>
      <c r="C12" s="19" t="s">
        <v>1910</v>
      </c>
      <c r="D12" s="19" t="s">
        <v>1911</v>
      </c>
    </row>
    <row r="13" spans="1:4" ht="15" customHeight="1" x14ac:dyDescent="0.3">
      <c r="A13" s="16" t="s">
        <v>1809</v>
      </c>
      <c r="B13" s="16" t="s">
        <v>1912</v>
      </c>
      <c r="C13" s="16" t="s">
        <v>1913</v>
      </c>
      <c r="D13" s="16" t="s">
        <v>1911</v>
      </c>
    </row>
    <row r="14" spans="1:4" ht="15" customHeight="1" x14ac:dyDescent="0.3">
      <c r="A14" s="19" t="s">
        <v>1767</v>
      </c>
      <c r="B14" s="19" t="s">
        <v>1914</v>
      </c>
      <c r="C14" s="19" t="s">
        <v>1915</v>
      </c>
      <c r="D14" s="19" t="s">
        <v>1916</v>
      </c>
    </row>
    <row r="15" spans="1:4" ht="15" customHeight="1" x14ac:dyDescent="0.3">
      <c r="A15" s="16" t="s">
        <v>1768</v>
      </c>
      <c r="B15" s="16" t="s">
        <v>1917</v>
      </c>
      <c r="C15" s="16" t="s">
        <v>1918</v>
      </c>
      <c r="D15" s="16" t="s">
        <v>1919</v>
      </c>
    </row>
    <row r="16" spans="1:4" ht="15" customHeight="1" x14ac:dyDescent="0.3">
      <c r="A16" s="19" t="s">
        <v>1771</v>
      </c>
      <c r="B16" s="19" t="s">
        <v>1920</v>
      </c>
      <c r="C16" s="19" t="s">
        <v>1921</v>
      </c>
      <c r="D16" s="19" t="s">
        <v>1922</v>
      </c>
    </row>
    <row r="17" spans="1:4" ht="15" customHeight="1" x14ac:dyDescent="0.3">
      <c r="A17" s="16" t="s">
        <v>1923</v>
      </c>
      <c r="B17" s="16" t="s">
        <v>1924</v>
      </c>
      <c r="C17" s="16" t="s">
        <v>1925</v>
      </c>
      <c r="D17" s="16" t="s">
        <v>1926</v>
      </c>
    </row>
    <row r="18" spans="1:4" ht="15" customHeight="1" x14ac:dyDescent="0.3">
      <c r="A18" s="19" t="s">
        <v>1927</v>
      </c>
      <c r="B18" s="19" t="s">
        <v>1928</v>
      </c>
      <c r="C18" s="19" t="s">
        <v>1929</v>
      </c>
      <c r="D18" s="19" t="s">
        <v>1930</v>
      </c>
    </row>
    <row r="19" spans="1:4" ht="15" customHeight="1" x14ac:dyDescent="0.3">
      <c r="A19" s="16" t="s">
        <v>1931</v>
      </c>
      <c r="B19" s="16" t="s">
        <v>1932</v>
      </c>
      <c r="C19" s="16" t="s">
        <v>1933</v>
      </c>
      <c r="D19" s="16" t="s">
        <v>1934</v>
      </c>
    </row>
    <row r="20" spans="1:4" ht="15" customHeight="1" x14ac:dyDescent="0.3">
      <c r="A20" s="19" t="s">
        <v>1935</v>
      </c>
      <c r="B20" s="19" t="s">
        <v>1936</v>
      </c>
      <c r="C20" s="19" t="s">
        <v>1937</v>
      </c>
      <c r="D20" s="19" t="s">
        <v>1884</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Raw Data</vt:lpstr>
      <vt:lpstr>Cleaned Data</vt:lpstr>
      <vt:lpstr>Segmentation Logic</vt:lpstr>
      <vt:lpstr>KPI Summary</vt:lpstr>
      <vt:lpstr>Pivot Analysis</vt:lpstr>
      <vt:lpstr>Lookup Tables</vt:lpstr>
      <vt:lpstr>Formula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Atishey</cp:lastModifiedBy>
  <cp:revision>0</cp:revision>
  <dcterms:created xsi:type="dcterms:W3CDTF">2026-04-13T06:26:42Z</dcterms:created>
  <dcterms:modified xsi:type="dcterms:W3CDTF">2026-04-13T12:44:16Z</dcterms:modified>
  <dc:language>en-US</dc:language>
</cp:coreProperties>
</file>